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hubiC\Apollo Towers\08-IT\VBA-Templates-Git\Form Editing\"/>
    </mc:Choice>
  </mc:AlternateContent>
  <xr:revisionPtr revIDLastSave="0" documentId="12_ncr:500000_{BE75A90A-7CB8-4270-914A-327426BDC36B}" xr6:coauthVersionLast="33" xr6:coauthVersionMax="33" xr10:uidLastSave="{00000000-0000-0000-0000-000000000000}"/>
  <bookViews>
    <workbookView xWindow="0" yWindow="0" windowWidth="20490" windowHeight="7920" activeTab="1" xr2:uid="{00000000-000D-0000-FFFF-FFFF00000000}"/>
  </bookViews>
  <sheets>
    <sheet name="Form" sheetId="21" r:id="rId1"/>
    <sheet name="MySQL" sheetId="28" r:id="rId2"/>
    <sheet name="Sheet1" sheetId="36" r:id="rId3"/>
    <sheet name="EPA Calculation" sheetId="24" r:id="rId4"/>
  </sheets>
  <functionGroups builtInGroupCount="19"/>
  <externalReferences>
    <externalReference r:id="rId5"/>
  </externalReferences>
  <definedNames>
    <definedName name="_ftn1" localSheetId="0">Form!$C$165</definedName>
    <definedName name="_ftnref1" localSheetId="0">Form!$C$156</definedName>
    <definedName name="AdditionalEPA">Form!$G$116</definedName>
    <definedName name="AdditionalGround">Form!$K$127</definedName>
    <definedName name="ApolloID">Form!$G$13</definedName>
    <definedName name="AppFolder">Form!$R$4</definedName>
    <definedName name="AppHyperlink">Form!$R$3</definedName>
    <definedName name="AppName">Form!$R$5</definedName>
    <definedName name="ColoRef">#REF!</definedName>
    <definedName name="CountPrint">Form!$P$8</definedName>
    <definedName name="DataTest">Form!$R$7</definedName>
    <definedName name="ExternalData_1" localSheetId="1" hidden="1">MySQL!$A$1:$AI$2</definedName>
    <definedName name="IDMax">Form!$P$7</definedName>
    <definedName name="IsPrinting">Form!$P$6</definedName>
    <definedName name="OLE_LINK1" localSheetId="0">Form!$C$2</definedName>
    <definedName name="_xlnm.Print_Area" localSheetId="0">Form!$C$1:$L$165</definedName>
    <definedName name="PrintID">Form!$P$3</definedName>
    <definedName name="RevNo">Form!$L$3</definedName>
    <definedName name="TotalEpa">Form!$G$114</definedName>
    <definedName name="TPTWO">'[1]Site Database-Ph2'!$1:$1048576</definedName>
    <definedName name="TWO">'[1]PH 2'!$A$6:$A$723</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2" i="28" l="1"/>
  <c r="AK2" i="28"/>
  <c r="AL2" i="28"/>
  <c r="AM2" i="28" s="1"/>
  <c r="AN2" i="28" s="1"/>
  <c r="AO2" i="28"/>
  <c r="AP2" i="28"/>
  <c r="AQ2" i="28"/>
  <c r="R72" i="21" l="1"/>
  <c r="T72" i="21" s="1"/>
  <c r="R71" i="21"/>
  <c r="T71" i="21" s="1"/>
  <c r="R12" i="21" l="1"/>
  <c r="L3" i="21" s="1"/>
  <c r="C41" i="21" s="1"/>
  <c r="R5" i="21" l="1"/>
  <c r="R3" i="21" s="1"/>
  <c r="G156" i="21"/>
  <c r="P6" i="21"/>
  <c r="P5" i="21"/>
  <c r="P4" i="21"/>
  <c r="P8" i="21"/>
  <c r="P7" i="21"/>
  <c r="R59" i="21"/>
  <c r="F59" i="21" s="1"/>
  <c r="R133" i="21"/>
  <c r="G133" i="21" s="1"/>
  <c r="R137" i="21"/>
  <c r="G137" i="21" s="1"/>
  <c r="R135" i="21"/>
  <c r="G135" i="21" s="1"/>
  <c r="H44" i="21" s="1"/>
  <c r="R65" i="21"/>
  <c r="G65" i="21" s="1"/>
  <c r="R45" i="21"/>
  <c r="R48" i="21"/>
  <c r="R47" i="21"/>
  <c r="R46" i="21"/>
  <c r="H46" i="21" s="1"/>
  <c r="R44" i="21"/>
  <c r="R31" i="21"/>
  <c r="G31" i="21" s="1"/>
  <c r="R29" i="21"/>
  <c r="G29" i="21" s="1"/>
  <c r="R27" i="21"/>
  <c r="G27" i="21" s="1"/>
  <c r="R26" i="21"/>
  <c r="G26" i="21" s="1"/>
  <c r="R25" i="21"/>
  <c r="G25" i="21" s="1"/>
  <c r="R21" i="21"/>
  <c r="G21" i="21" s="1"/>
  <c r="R20" i="21"/>
  <c r="G20" i="21" s="1"/>
  <c r="R16" i="21"/>
  <c r="G16" i="21" s="1"/>
  <c r="R15" i="21"/>
  <c r="G15" i="21" s="1"/>
  <c r="R14" i="21"/>
  <c r="G14" i="21" s="1"/>
  <c r="R13" i="21"/>
  <c r="G13" i="21" s="1"/>
  <c r="R56" i="21"/>
  <c r="T56" i="21" s="1"/>
  <c r="R62" i="21"/>
  <c r="G62" i="21" s="1"/>
  <c r="R70" i="21"/>
  <c r="T70" i="21" s="1"/>
  <c r="R69" i="21"/>
  <c r="T69" i="21" s="1"/>
  <c r="K126" i="21"/>
  <c r="R156" i="21"/>
  <c r="G100" i="21"/>
  <c r="K87" i="21"/>
  <c r="H108" i="21"/>
  <c r="J90" i="21"/>
  <c r="D90" i="21"/>
  <c r="J124" i="21"/>
  <c r="E123" i="21"/>
  <c r="G92" i="21"/>
  <c r="J123" i="21"/>
  <c r="L88" i="21"/>
  <c r="D123" i="21"/>
  <c r="L91" i="21"/>
  <c r="J98" i="21"/>
  <c r="D124" i="21"/>
  <c r="H87" i="21"/>
  <c r="G90" i="21"/>
  <c r="F98" i="21"/>
  <c r="K91" i="21"/>
  <c r="F97" i="21"/>
  <c r="F109" i="21"/>
  <c r="E109" i="21"/>
  <c r="C92" i="21"/>
  <c r="G106" i="21"/>
  <c r="I100" i="21"/>
  <c r="F123" i="21"/>
  <c r="Q123" i="21"/>
  <c r="J108" i="21"/>
  <c r="E88" i="21"/>
  <c r="E124" i="21"/>
  <c r="C99" i="21"/>
  <c r="J89" i="21"/>
  <c r="G87" i="21"/>
  <c r="L87" i="21"/>
  <c r="I109" i="21"/>
  <c r="F124" i="21"/>
  <c r="L97" i="21"/>
  <c r="J106" i="21"/>
  <c r="H91" i="21"/>
  <c r="I99" i="21"/>
  <c r="F105" i="21"/>
  <c r="K89" i="21"/>
  <c r="E99" i="21"/>
  <c r="G97" i="21"/>
  <c r="K92" i="21"/>
  <c r="L99" i="21"/>
  <c r="Q124" i="21"/>
  <c r="V70" i="21" l="1"/>
  <c r="V69" i="21"/>
  <c r="G124" i="21"/>
  <c r="H124" i="21"/>
  <c r="I124" i="21"/>
  <c r="I123" i="21"/>
  <c r="H123" i="21"/>
  <c r="G123" i="21"/>
  <c r="G56" i="21"/>
  <c r="G57" i="21"/>
  <c r="D88" i="21"/>
  <c r="G88" i="21"/>
  <c r="C107" i="21"/>
  <c r="E91" i="21"/>
  <c r="C109" i="21"/>
  <c r="I98" i="21"/>
  <c r="G105" i="21"/>
  <c r="L92" i="21"/>
  <c r="D106" i="21"/>
  <c r="G109" i="21"/>
  <c r="H99" i="21"/>
  <c r="H98" i="21"/>
  <c r="F110" i="21"/>
  <c r="D99" i="21"/>
  <c r="I106" i="21"/>
  <c r="I97" i="21"/>
  <c r="E98" i="21"/>
  <c r="G108" i="21"/>
  <c r="H109" i="21"/>
  <c r="I105" i="21"/>
  <c r="D97" i="21"/>
  <c r="G98" i="21"/>
  <c r="C87" i="21"/>
  <c r="L90" i="21"/>
  <c r="C110" i="21"/>
  <c r="J100" i="21"/>
  <c r="G107" i="21"/>
  <c r="H90" i="21"/>
  <c r="H110" i="21"/>
  <c r="J99" i="21"/>
  <c r="I91" i="21"/>
  <c r="C105" i="21"/>
  <c r="F108" i="21"/>
  <c r="E110" i="21"/>
  <c r="C124" i="21"/>
  <c r="D92" i="21"/>
  <c r="F100" i="21"/>
  <c r="J91" i="21"/>
  <c r="D98" i="21"/>
  <c r="J88" i="21"/>
  <c r="K99" i="21"/>
  <c r="G110" i="21"/>
  <c r="I108" i="21"/>
  <c r="C89" i="21"/>
  <c r="H92" i="21"/>
  <c r="F90" i="21"/>
  <c r="I110" i="21"/>
  <c r="J92" i="21"/>
  <c r="K98" i="21"/>
  <c r="D109" i="21"/>
  <c r="E106" i="21"/>
  <c r="D100" i="21"/>
  <c r="K97" i="21"/>
  <c r="D110" i="21"/>
  <c r="L89" i="21"/>
  <c r="C123" i="21"/>
  <c r="F89" i="21"/>
  <c r="E108" i="21"/>
  <c r="E92" i="21"/>
  <c r="K88" i="21"/>
  <c r="E100" i="21"/>
  <c r="H107" i="21"/>
  <c r="I92" i="21"/>
  <c r="E87" i="21"/>
  <c r="C88" i="21"/>
  <c r="F106" i="21"/>
  <c r="F107" i="21"/>
  <c r="H97" i="21"/>
  <c r="F99" i="21"/>
  <c r="J105" i="21"/>
  <c r="C98" i="21"/>
  <c r="C97" i="21"/>
  <c r="D107" i="21"/>
  <c r="I88" i="21"/>
  <c r="G89" i="21"/>
  <c r="F91" i="21"/>
  <c r="I87" i="21"/>
  <c r="C106" i="21"/>
  <c r="K90" i="21"/>
  <c r="D91" i="21"/>
  <c r="J107" i="21"/>
  <c r="J110" i="21"/>
  <c r="E89" i="21"/>
  <c r="I89" i="21"/>
  <c r="H88" i="21"/>
  <c r="E107" i="21"/>
  <c r="I107" i="21"/>
  <c r="R7" i="21"/>
  <c r="E97" i="21"/>
  <c r="I90" i="21"/>
  <c r="L98" i="21"/>
  <c r="E105" i="21"/>
  <c r="K100" i="21"/>
  <c r="G91" i="21"/>
  <c r="C91" i="21"/>
  <c r="H105" i="21"/>
  <c r="H89" i="21"/>
  <c r="D105" i="21"/>
  <c r="F88" i="21"/>
  <c r="J109" i="21"/>
  <c r="L100" i="21"/>
  <c r="G99" i="21"/>
  <c r="J87" i="21"/>
  <c r="E90" i="21"/>
  <c r="C108" i="21"/>
  <c r="D108" i="21"/>
  <c r="J97" i="21"/>
  <c r="C90" i="21"/>
  <c r="C100" i="21"/>
  <c r="F92" i="21"/>
  <c r="D89" i="21"/>
  <c r="H100" i="21"/>
  <c r="H106" i="21"/>
  <c r="D87" i="21"/>
  <c r="F87" i="21"/>
  <c r="C71" i="21" l="1"/>
  <c r="P100" i="21"/>
  <c r="P98" i="21"/>
  <c r="P99" i="21"/>
  <c r="P97" i="21"/>
  <c r="K124" i="21"/>
  <c r="K123" i="21"/>
  <c r="G114" i="21" l="1"/>
  <c r="G116" i="21" s="1"/>
  <c r="H45" i="21" s="1"/>
  <c r="K125" i="21"/>
  <c r="K127" i="21" s="1"/>
  <c r="H47" i="21" s="1"/>
  <c r="H52" i="2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40site_lease" description="Connection to the '40site_lease' query in the workbook." type="5" refreshedVersion="0" background="1">
    <dbPr connection="Provider=Microsoft.Mashup.OleDb.1;Data Source=$Workbook$;Location=40site_lease;Extended Properties=&quot;&quot;" command="SELECT * FROM [40site_lease]"/>
  </connection>
</connections>
</file>

<file path=xl/sharedStrings.xml><?xml version="1.0" encoding="utf-8"?>
<sst xmlns="http://schemas.openxmlformats.org/spreadsheetml/2006/main" count="923" uniqueCount="847">
  <si>
    <t>AT Site ID</t>
  </si>
  <si>
    <t>Rev</t>
  </si>
  <si>
    <t>AYYN_0280</t>
  </si>
  <si>
    <t>ANNP_0213</t>
  </si>
  <si>
    <t>ANSG_0342</t>
  </si>
  <si>
    <t>ANSG_0431</t>
  </si>
  <si>
    <t>ANMG_0032</t>
  </si>
  <si>
    <t>ANSG_0386</t>
  </si>
  <si>
    <t>ANSG_0423</t>
  </si>
  <si>
    <t>ANSG_0445</t>
  </si>
  <si>
    <t>ACBA_0134</t>
  </si>
  <si>
    <t>ANKC_0005</t>
  </si>
  <si>
    <t>ANSG_0392</t>
  </si>
  <si>
    <t>ACBA_0109</t>
  </si>
  <si>
    <t>ANSG_0343</t>
  </si>
  <si>
    <t>ANSH_0018</t>
  </si>
  <si>
    <t>ANMG_0126</t>
  </si>
  <si>
    <t>ANMG_0012</t>
  </si>
  <si>
    <t>AYYN_0277</t>
  </si>
  <si>
    <t>ACBA_0187</t>
  </si>
  <si>
    <t>ANSG_0346</t>
  </si>
  <si>
    <t>ANSG_0391</t>
  </si>
  <si>
    <t>ACRK_0024</t>
  </si>
  <si>
    <t>ANSG_0526</t>
  </si>
  <si>
    <t>ANSG_0415</t>
  </si>
  <si>
    <t>ID</t>
  </si>
  <si>
    <t>Printing</t>
  </si>
  <si>
    <t>Batch</t>
  </si>
  <si>
    <t>Mytel ID</t>
  </si>
  <si>
    <t>ANMD_0171</t>
  </si>
  <si>
    <t>ANMD_0200</t>
  </si>
  <si>
    <t>ACBA_0094</t>
  </si>
  <si>
    <t>ANMD_0161</t>
  </si>
  <si>
    <t>ANSG_0357</t>
  </si>
  <si>
    <t>ANKC_0016</t>
  </si>
  <si>
    <t>ANNP_0305</t>
  </si>
  <si>
    <t>AYYN_0095</t>
  </si>
  <si>
    <t>ANSG_0501</t>
  </si>
  <si>
    <t>ANSG_0339</t>
  </si>
  <si>
    <t>ASMO_0267</t>
  </si>
  <si>
    <t>ASTN_0013</t>
  </si>
  <si>
    <t>ASTN_0016</t>
  </si>
  <si>
    <t>ASTN_0022</t>
  </si>
  <si>
    <t>ASTN_0056</t>
  </si>
  <si>
    <t>AYYN_0170</t>
  </si>
  <si>
    <t>ANMD_0179</t>
  </si>
  <si>
    <t>ACBA_0104</t>
  </si>
  <si>
    <t>ANKC_0009</t>
  </si>
  <si>
    <t>ANNP_0203</t>
  </si>
  <si>
    <t>ANSG_0354</t>
  </si>
  <si>
    <t>ACAY_0012</t>
  </si>
  <si>
    <t>ANSG_0394</t>
  </si>
  <si>
    <t>ANMD_0154</t>
  </si>
  <si>
    <t>ANMD_0087</t>
  </si>
  <si>
    <t>ANNP_0297</t>
  </si>
  <si>
    <t>ANSG_0348</t>
  </si>
  <si>
    <t>ANSG_0352</t>
  </si>
  <si>
    <t>ANSG_0351</t>
  </si>
  <si>
    <t>ANSH_0030</t>
  </si>
  <si>
    <t>ANSG_0353</t>
  </si>
  <si>
    <t>ASMO_0109</t>
  </si>
  <si>
    <t>ASMO_0191</t>
  </si>
  <si>
    <t>ANMG_0140</t>
  </si>
  <si>
    <t>ACAY_0008</t>
  </si>
  <si>
    <t>ACAY_0135</t>
  </si>
  <si>
    <t>ACBA_0058</t>
  </si>
  <si>
    <t>ANNP_0279</t>
  </si>
  <si>
    <t>ANNP_0254</t>
  </si>
  <si>
    <t>ACBA_0233</t>
  </si>
  <si>
    <t>ACBA_0234</t>
  </si>
  <si>
    <t>ACBA_0235</t>
  </si>
  <si>
    <t>ANMD_0012</t>
  </si>
  <si>
    <t>ANSG_0380</t>
  </si>
  <si>
    <t>AYYN_0579</t>
  </si>
  <si>
    <t>ANSH_0025</t>
  </si>
  <si>
    <t>ANMD_0221</t>
  </si>
  <si>
    <t>ANMG_0096</t>
  </si>
  <si>
    <t>ANSG_0341</t>
  </si>
  <si>
    <t>ANMG_0018</t>
  </si>
  <si>
    <t>ANMG_0098</t>
  </si>
  <si>
    <t>ANSG_0350</t>
  </si>
  <si>
    <t>ANSG_0453</t>
  </si>
  <si>
    <t>AYYN_0563</t>
  </si>
  <si>
    <t>ANSG_0433</t>
  </si>
  <si>
    <t>ANSG_0435</t>
  </si>
  <si>
    <t>AYYN_0167</t>
  </si>
  <si>
    <t>ANSG_0427</t>
  </si>
  <si>
    <t>ASKA_0155</t>
  </si>
  <si>
    <t>ASKA_0174</t>
  </si>
  <si>
    <t>AYYN_0120</t>
  </si>
  <si>
    <t>ASTN_0058</t>
  </si>
  <si>
    <t>AYYN_0548</t>
  </si>
  <si>
    <t>ACAY_0081</t>
  </si>
  <si>
    <t>ACBA_0035</t>
  </si>
  <si>
    <t>ACBA_0137</t>
  </si>
  <si>
    <t>AYYN_0110</t>
  </si>
  <si>
    <t>AYYN_0276</t>
  </si>
  <si>
    <t>AYYN_0238</t>
  </si>
  <si>
    <t>ACBA_0098</t>
  </si>
  <si>
    <t>AYYN_0252</t>
  </si>
  <si>
    <t>ACBA_0100</t>
  </si>
  <si>
    <t>AYYN_0620</t>
  </si>
  <si>
    <t>AYYN_0281</t>
  </si>
  <si>
    <t>AYYN_0429</t>
  </si>
  <si>
    <t>ACAY_0100</t>
  </si>
  <si>
    <t>ACAY_0102</t>
  </si>
  <si>
    <t>ACBA_0066</t>
  </si>
  <si>
    <t>ACBA_0237</t>
  </si>
  <si>
    <t>ACRK_0006</t>
  </si>
  <si>
    <t>ACBA_0225</t>
  </si>
  <si>
    <t>ANMD_0188</t>
  </si>
  <si>
    <t>ANSG_0440</t>
  </si>
  <si>
    <t>ANMD_0220</t>
  </si>
  <si>
    <t>ANSG_0487</t>
  </si>
  <si>
    <t>ANSG_0443</t>
  </si>
  <si>
    <t>ASTN_0015</t>
  </si>
  <si>
    <t>ACAY_0086</t>
  </si>
  <si>
    <t>ANNP_0237</t>
  </si>
  <si>
    <t>ACBA_0171</t>
  </si>
  <si>
    <t>ANSG_0381</t>
  </si>
  <si>
    <t>ACBA_0031</t>
  </si>
  <si>
    <t>ACBA_0150</t>
  </si>
  <si>
    <t>ASMO_0111</t>
  </si>
  <si>
    <t>ACAY_0017</t>
  </si>
  <si>
    <t>ACAY_0059</t>
  </si>
  <si>
    <t>ACBA_0032</t>
  </si>
  <si>
    <t>ASMO_0184</t>
  </si>
  <si>
    <t>ASMO_0112</t>
  </si>
  <si>
    <t>ANNP_0286</t>
  </si>
  <si>
    <t>AYYN_0556</t>
  </si>
  <si>
    <t>ACRK_0026</t>
  </si>
  <si>
    <t>ACRK_0028</t>
  </si>
  <si>
    <t>ASTN_0045</t>
  </si>
  <si>
    <t>AYYN_0558</t>
  </si>
  <si>
    <t>ACBA_0071</t>
  </si>
  <si>
    <t>ACBA_0042</t>
  </si>
  <si>
    <t>AYYN_0091</t>
  </si>
  <si>
    <t>ANNP_0269</t>
  </si>
  <si>
    <t>ASMO_0174</t>
  </si>
  <si>
    <t>Type</t>
  </si>
  <si>
    <t>For Printing</t>
  </si>
  <si>
    <t>Max ID</t>
  </si>
  <si>
    <t>CountPrint</t>
  </si>
  <si>
    <t>Regional Manager</t>
  </si>
  <si>
    <t>Site Type</t>
  </si>
  <si>
    <t>GBT</t>
  </si>
  <si>
    <t>ASTN_0028</t>
  </si>
  <si>
    <t>Robert Lemonnier</t>
  </si>
  <si>
    <t>AYYN_0338</t>
  </si>
  <si>
    <t>ANMD_0120</t>
  </si>
  <si>
    <t>AYYN_0099</t>
  </si>
  <si>
    <t>AYYN_0479</t>
  </si>
  <si>
    <t>AYYN_0584</t>
  </si>
  <si>
    <t>AYYN_0508</t>
  </si>
  <si>
    <t>AYYN_0268</t>
  </si>
  <si>
    <t>ANNP_0249</t>
  </si>
  <si>
    <t>ASMO_0176</t>
  </si>
  <si>
    <t>AYYN_0387</t>
  </si>
  <si>
    <t>ASMO_0180</t>
  </si>
  <si>
    <t>ASKA_0136</t>
  </si>
  <si>
    <t>AYYN_0060</t>
  </si>
  <si>
    <t>ASMO_0260</t>
  </si>
  <si>
    <t>ACAY_0019</t>
  </si>
  <si>
    <t>ASMO_0182</t>
  </si>
  <si>
    <t>ACBA_0047</t>
  </si>
  <si>
    <t>ASMO_0251</t>
  </si>
  <si>
    <t>ACAY_0154</t>
  </si>
  <si>
    <t>ANSH_0004</t>
  </si>
  <si>
    <t>ACBA_0129</t>
  </si>
  <si>
    <t>ACBA_0213</t>
  </si>
  <si>
    <t>ASMO_0221</t>
  </si>
  <si>
    <t>ACBA_0256</t>
  </si>
  <si>
    <t>ASMO_0201</t>
  </si>
  <si>
    <t>ASMO_0253</t>
  </si>
  <si>
    <t>ASTN_0030</t>
  </si>
  <si>
    <t>ASMO_0205</t>
  </si>
  <si>
    <t>ACAY_0145</t>
  </si>
  <si>
    <t>ASMO_0192</t>
  </si>
  <si>
    <t>ACBA_0142</t>
  </si>
  <si>
    <t>ASKH_0003</t>
  </si>
  <si>
    <t>ASMO_0237</t>
  </si>
  <si>
    <t>ASMO_0244</t>
  </si>
  <si>
    <t>ANSG_0402</t>
  </si>
  <si>
    <t>ANMG_0102</t>
  </si>
  <si>
    <t>ACBA_0203</t>
  </si>
  <si>
    <t>ASMO_0151</t>
  </si>
  <si>
    <t>ASTN_0031</t>
  </si>
  <si>
    <t>ASMO_0208</t>
  </si>
  <si>
    <t>ANMG_0141</t>
  </si>
  <si>
    <t>ASMO_0168</t>
  </si>
  <si>
    <t>ANSG_0437</t>
  </si>
  <si>
    <t>ASMO_0161</t>
  </si>
  <si>
    <t>ASMO_0133</t>
  </si>
  <si>
    <t>ANNP_0263</t>
  </si>
  <si>
    <t>ACBA_0149</t>
  </si>
  <si>
    <t>ANMD_0173</t>
  </si>
  <si>
    <t>ACBA_0145</t>
  </si>
  <si>
    <t>ANMG_0144</t>
  </si>
  <si>
    <t>ACAY_0082</t>
  </si>
  <si>
    <t>ANNP_0215</t>
  </si>
  <si>
    <t>ANMG_0030</t>
  </si>
  <si>
    <t>ACBA_0043</t>
  </si>
  <si>
    <t>ACAY_0024</t>
  </si>
  <si>
    <t>ANMD_0030</t>
  </si>
  <si>
    <t>ASKA_0138</t>
  </si>
  <si>
    <t>ACBA_0045</t>
  </si>
  <si>
    <t>ANMD_0029</t>
  </si>
  <si>
    <t>ACAY_0026</t>
  </si>
  <si>
    <t>ACAY_0022</t>
  </si>
  <si>
    <t>ACBA_0041</t>
  </si>
  <si>
    <t>ACBA_0079</t>
  </si>
  <si>
    <t>AYYN_0523</t>
  </si>
  <si>
    <t>ASKA_0135</t>
  </si>
  <si>
    <t>ASKA_0140</t>
  </si>
  <si>
    <t>ACBA_0128</t>
  </si>
  <si>
    <t>ACBA_0112</t>
  </si>
  <si>
    <t>ACBA_0097</t>
  </si>
  <si>
    <t>AYYN_0452</t>
  </si>
  <si>
    <t>ANNP_0299</t>
  </si>
  <si>
    <t>ASMO_0178</t>
  </si>
  <si>
    <t>ANSG_0376</t>
  </si>
  <si>
    <t>ACBA_0038</t>
  </si>
  <si>
    <t>ACBA_0039</t>
  </si>
  <si>
    <t>ANMD_0126</t>
  </si>
  <si>
    <t>ANMD_0110</t>
  </si>
  <si>
    <t>ANMG_0020</t>
  </si>
  <si>
    <t>AYYN_0274</t>
  </si>
  <si>
    <t>ASMO_0188</t>
  </si>
  <si>
    <t>ANNP_0236</t>
  </si>
  <si>
    <t>AYYN_0283</t>
  </si>
  <si>
    <t>AYYN_0223</t>
  </si>
  <si>
    <t>AYYN_0210</t>
  </si>
  <si>
    <t>ANNP_0288</t>
  </si>
  <si>
    <t>ANNP_0284</t>
  </si>
  <si>
    <t>ANNP_0301</t>
  </si>
  <si>
    <t>ANNP_0232</t>
  </si>
  <si>
    <t>ANNP_0300</t>
  </si>
  <si>
    <t>ANNP_0221</t>
  </si>
  <si>
    <t>ANMD_0138</t>
  </si>
  <si>
    <t>ANMD_0072</t>
  </si>
  <si>
    <t>ANMD_0077</t>
  </si>
  <si>
    <t>ANNP_0270</t>
  </si>
  <si>
    <t>ANNP_0277</t>
  </si>
  <si>
    <t>AYYN_0483</t>
  </si>
  <si>
    <t>AYYN_0616</t>
  </si>
  <si>
    <t>Site Information:</t>
  </si>
  <si>
    <t>TowerCo Site ID</t>
  </si>
  <si>
    <t>Lessee Site ID</t>
  </si>
  <si>
    <t>State / Region</t>
  </si>
  <si>
    <t>City / Township</t>
  </si>
  <si>
    <t>Coordinates:</t>
  </si>
  <si>
    <t>Latitude (dec.)</t>
  </si>
  <si>
    <t>Longitude (dec.)</t>
  </si>
  <si>
    <t>Tower Information:</t>
  </si>
  <si>
    <t>Tower Height (m)</t>
  </si>
  <si>
    <t>Building Height (m)</t>
  </si>
  <si>
    <t>Type of Tower:</t>
  </si>
  <si>
    <t>Rental Fees and Site Lease Term:</t>
  </si>
  <si>
    <t>Base Rent</t>
  </si>
  <si>
    <t>Additional EPA Payment</t>
  </si>
  <si>
    <t>Additional Vertical Space Payment</t>
  </si>
  <si>
    <t>Additional Ground Space Payment</t>
  </si>
  <si>
    <t>Other Rent (If Known)</t>
  </si>
  <si>
    <t>TOTAL RENT</t>
  </si>
  <si>
    <t>Tower Extension Fee:</t>
  </si>
  <si>
    <t>Tower Extension Fee</t>
  </si>
  <si>
    <t>Mandatory Completion Date</t>
  </si>
  <si>
    <t>Initial Term</t>
  </si>
  <si>
    <t>Location/Identification of Premises:</t>
  </si>
  <si>
    <t>Cables</t>
  </si>
  <si>
    <t>Qty</t>
  </si>
  <si>
    <t>Manuf</t>
  </si>
  <si>
    <t>Model</t>
  </si>
  <si>
    <t>Height (m)</t>
  </si>
  <si>
    <t>Dimensions (mm)</t>
  </si>
  <si>
    <t>Azim (°)</t>
  </si>
  <si>
    <t>Size (“)</t>
  </si>
  <si>
    <t>Ground Space Information:</t>
  </si>
  <si>
    <t>Ground Space Used at Site</t>
  </si>
  <si>
    <t>Description</t>
  </si>
  <si>
    <t>Length (m)</t>
  </si>
  <si>
    <t>Width (m)</t>
  </si>
  <si>
    <t>Total Ground Space Area:</t>
  </si>
  <si>
    <t>Reserved Ground Space Area:</t>
  </si>
  <si>
    <t>Additional Ground Space Area:</t>
  </si>
  <si>
    <t xml:space="preserve">Type Site:       </t>
  </si>
  <si>
    <t>Name:</t>
  </si>
  <si>
    <t>Title:</t>
  </si>
  <si>
    <t>☐ In-building DAS (IBS)</t>
  </si>
  <si>
    <t xml:space="preserve">☐ Other, specify: </t>
  </si>
  <si>
    <t>Area (m2)</t>
  </si>
  <si>
    <t xml:space="preserve">Site Type </t>
  </si>
  <si>
    <t>(GBT/RTT/RTP/IBS</t>
  </si>
  <si>
    <t>Grid Connection</t>
  </si>
  <si>
    <t>Access/HUB</t>
  </si>
  <si>
    <t>Vertical Lower</t>
  </si>
  <si>
    <t>Vertical Upper</t>
  </si>
  <si>
    <t>Application Approval Date</t>
  </si>
  <si>
    <t>Self-Supporting Tower (GBT)</t>
  </si>
  <si>
    <t>Guyed Mast ( RTT</t>
  </si>
  <si>
    <t>Monopole (GBT)</t>
  </si>
  <si>
    <t>Camouflage Monopole (GBT)</t>
  </si>
  <si>
    <t>Rooftop Pole (RTP)</t>
  </si>
  <si>
    <t>Rooftop Tower (RTT)</t>
  </si>
  <si>
    <t>Wall Mounted Ant. (RTT)</t>
  </si>
  <si>
    <t>Tower Extension Required</t>
  </si>
  <si>
    <t>Extension Height</t>
  </si>
  <si>
    <t>Roof Top</t>
  </si>
  <si>
    <t>Green field</t>
  </si>
  <si>
    <t>Permanent Grid</t>
  </si>
  <si>
    <t>Off Grid</t>
  </si>
  <si>
    <t>Temporary Grid</t>
  </si>
  <si>
    <t>Access Site</t>
  </si>
  <si>
    <t>Hub Site</t>
  </si>
  <si>
    <t>Hub DWDM</t>
  </si>
  <si>
    <t>Commencement Date</t>
  </si>
  <si>
    <t>Mon</t>
  </si>
  <si>
    <t>Tower Height</t>
  </si>
  <si>
    <t>Colo App Excel</t>
  </si>
  <si>
    <t>Application Hyperlink</t>
  </si>
  <si>
    <t>RF Antennas</t>
  </si>
  <si>
    <t>B</t>
  </si>
  <si>
    <t>C</t>
  </si>
  <si>
    <t>D</t>
  </si>
  <si>
    <t>F</t>
  </si>
  <si>
    <t>G</t>
  </si>
  <si>
    <t>H</t>
  </si>
  <si>
    <t>I</t>
  </si>
  <si>
    <t>L</t>
  </si>
  <si>
    <t>N</t>
  </si>
  <si>
    <t>MW Antennas</t>
  </si>
  <si>
    <t>RRU</t>
  </si>
  <si>
    <t>M</t>
  </si>
  <si>
    <t>Height</t>
  </si>
  <si>
    <t>Dimensions</t>
  </si>
  <si>
    <t>Application Folder</t>
  </si>
  <si>
    <t>Excel File Name</t>
  </si>
  <si>
    <t>Test Data</t>
  </si>
  <si>
    <t>Total EPA</t>
  </si>
  <si>
    <t>Reserved EPA</t>
  </si>
  <si>
    <t>Additional EPA</t>
  </si>
  <si>
    <t>EPA Calculation</t>
  </si>
  <si>
    <t>__-__-201_</t>
  </si>
  <si>
    <t>Commencement Date [4]</t>
  </si>
  <si>
    <t>Antenna</t>
  </si>
  <si>
    <t>EPA</t>
  </si>
  <si>
    <t>6x(RF+RRU)</t>
  </si>
  <si>
    <t>Additional Power Payment</t>
  </si>
  <si>
    <t>Variable (to be determined on a monthly basis)</t>
  </si>
  <si>
    <t>All amounts outstanding are paid monthly in arrears and shall be paid in accordance with the relevant sections of the Master Lease Agreement.</t>
  </si>
  <si>
    <t>[3] Ground-based Towers: 5m countinuously where available.
Rooftop Towers and multi-sector bipod poles: 3m countinuously where available.</t>
  </si>
  <si>
    <t>Information on MyTel’s Equipment Installed on the Tower:</t>
  </si>
  <si>
    <t>Power Specification and Requirements:</t>
  </si>
  <si>
    <t>Apollo Towers Myanmar Limited</t>
  </si>
  <si>
    <t>Telecom International Myanmar Company Limited</t>
  </si>
  <si>
    <t>Base Rent [2]</t>
  </si>
  <si>
    <t>[2] Base Rent for a Grid Connected Site is 1,200 USD and for a Off Grid Site is 1,235 USD.
The Base Rent will be adjusted if the Off Grid Site becomes a Grid Connected Site.</t>
  </si>
  <si>
    <t>Energy OpEx Payment</t>
  </si>
  <si>
    <t>Number of Existing Tenants [1]</t>
  </si>
  <si>
    <t>[4] To be entered in accordance with Section 8(B)(1) of the Master Lease Agreement.  In the event that the Parties fail to specifically state the Commencement Date, the Commencement Date shall be considered to be the same date as the Mandatory Completion Date where is stated above.</t>
  </si>
  <si>
    <t>No 61,63, Zoological Garden Road, Dagon Township, Yangon, Myanmar</t>
  </si>
  <si>
    <t>C:\hubiC\Apollo Towers\05-Legal\Mytel Execution of Site Lease\Excel files Colo App\</t>
  </si>
  <si>
    <t>15 Years</t>
  </si>
  <si>
    <r>
      <t xml:space="preserve">This </t>
    </r>
    <r>
      <rPr>
        <b/>
        <sz val="11"/>
        <color theme="1"/>
        <rFont val="Times New Roman"/>
        <family val="1"/>
      </rPr>
      <t>Site Lease Agreement</t>
    </r>
    <r>
      <rPr>
        <sz val="11"/>
        <color theme="1"/>
        <rFont val="Times New Roman"/>
        <family val="1"/>
      </rPr>
      <t xml:space="preserve"> is issued by </t>
    </r>
    <r>
      <rPr>
        <b/>
        <sz val="11"/>
        <color theme="1"/>
        <rFont val="Times New Roman"/>
        <family val="1"/>
      </rPr>
      <t>Apollo Towers Myanmar Limited</t>
    </r>
    <r>
      <rPr>
        <sz val="11"/>
        <color theme="1"/>
        <rFont val="Times New Roman"/>
        <family val="1"/>
      </rPr>
      <t xml:space="preserve"> (“</t>
    </r>
    <r>
      <rPr>
        <b/>
        <sz val="11"/>
        <color theme="1"/>
        <rFont val="Times New Roman"/>
        <family val="1"/>
      </rPr>
      <t>TowerCo</t>
    </r>
    <r>
      <rPr>
        <sz val="11"/>
        <color theme="1"/>
        <rFont val="Times New Roman"/>
        <family val="1"/>
      </rPr>
      <t xml:space="preserve">”) under the terms of that certain </t>
    </r>
    <r>
      <rPr>
        <b/>
        <sz val="11"/>
        <color theme="1"/>
        <rFont val="Times New Roman"/>
        <family val="1"/>
      </rPr>
      <t>Master Lease Agreement for Co-Location</t>
    </r>
    <r>
      <rPr>
        <sz val="11"/>
        <color theme="1"/>
        <rFont val="Times New Roman"/>
        <family val="1"/>
      </rPr>
      <t xml:space="preserve"> (the “</t>
    </r>
    <r>
      <rPr>
        <b/>
        <sz val="11"/>
        <color theme="1"/>
        <rFont val="Times New Roman"/>
        <family val="1"/>
      </rPr>
      <t>Master Lease Agreement</t>
    </r>
    <r>
      <rPr>
        <sz val="11"/>
        <color theme="1"/>
        <rFont val="Times New Roman"/>
        <family val="1"/>
      </rPr>
      <t xml:space="preserve">”), dated 19th day of September 2017, entered into by and between TowerCo and </t>
    </r>
    <r>
      <rPr>
        <b/>
        <sz val="11"/>
        <color theme="1"/>
        <rFont val="Times New Roman"/>
        <family val="1"/>
      </rPr>
      <t xml:space="preserve">Telecom International Myanmar Company Limited </t>
    </r>
    <r>
      <rPr>
        <sz val="11"/>
        <color theme="1"/>
        <rFont val="Times New Roman"/>
        <family val="1"/>
      </rPr>
      <t>("</t>
    </r>
    <r>
      <rPr>
        <b/>
        <sz val="11"/>
        <color theme="1"/>
        <rFont val="Times New Roman"/>
        <family val="1"/>
      </rPr>
      <t>MyTel</t>
    </r>
    <r>
      <rPr>
        <sz val="11"/>
        <color theme="1"/>
        <rFont val="Times New Roman"/>
        <family val="1"/>
      </rPr>
      <t>"). Terms not otherwise defined herein shall have the meaning assigned to them in the Master Lease Agreement.</t>
    </r>
  </si>
  <si>
    <t>Upon execution of this Site Lease, this Site Lease shall become part of the Master Lease Agreement and MyTel agrees to be bound by the provisions of the Master Lease Agreement.  If there is any conflict between the terms of this Site Lease Agreement and the Master Lease Agreement, the terms of the Master Lease Agreement shall prevail.</t>
  </si>
  <si>
    <t>SITE LEASE AGREEMENT</t>
  </si>
  <si>
    <t>Margaret Shendal</t>
  </si>
  <si>
    <t>Senior Legal Officer</t>
  </si>
  <si>
    <t>Site Lease ID</t>
  </si>
  <si>
    <t>Region</t>
  </si>
  <si>
    <t>City</t>
  </si>
  <si>
    <t>Longitude</t>
  </si>
  <si>
    <t>Latitude</t>
  </si>
  <si>
    <t>Rooftop Height</t>
  </si>
  <si>
    <t>Application Status</t>
  </si>
  <si>
    <t>Tower Extension</t>
  </si>
  <si>
    <t>Power Model</t>
  </si>
  <si>
    <t>Number of Tenants</t>
  </si>
  <si>
    <t>Grid Connection Date</t>
  </si>
  <si>
    <t>Site Type 2</t>
  </si>
  <si>
    <t>Count Extension</t>
  </si>
  <si>
    <t>Is Extension</t>
  </si>
  <si>
    <t>ASMO_0110</t>
  </si>
  <si>
    <t>ANMD_0207</t>
  </si>
  <si>
    <t>AYYN_0588</t>
  </si>
  <si>
    <t>ASMO_0229</t>
  </si>
  <si>
    <t>ASMO_0291</t>
  </si>
  <si>
    <t>AYYN_0209</t>
  </si>
  <si>
    <t>AYYN_0215</t>
  </si>
  <si>
    <t>ACBA_0101</t>
  </si>
  <si>
    <t>ACBA_0244</t>
  </si>
  <si>
    <t>ACAY_0001</t>
  </si>
  <si>
    <t>ACAY_0160</t>
  </si>
  <si>
    <t>ACAY_0177</t>
  </si>
  <si>
    <t>ANMD_0103</t>
  </si>
  <si>
    <t>ANMD_0244</t>
  </si>
  <si>
    <t>ASKH_0005</t>
  </si>
  <si>
    <t>ASMO_0235</t>
  </si>
  <si>
    <t>AYYN_0063</t>
  </si>
  <si>
    <t>AYYN_0463</t>
  </si>
  <si>
    <t>ANNP_0233</t>
  </si>
  <si>
    <t>ANMD_0209</t>
  </si>
  <si>
    <t>ANSG_0458</t>
  </si>
  <si>
    <t>ASMO_0165</t>
  </si>
  <si>
    <t>ANMD_0064</t>
  </si>
  <si>
    <t>ASMO_0272</t>
  </si>
  <si>
    <t>AYYN_0561</t>
  </si>
  <si>
    <t>ANSH_0040</t>
  </si>
  <si>
    <t>ASMO_0270</t>
  </si>
  <si>
    <t>40site_lease.Other_Rent_If_Known</t>
  </si>
  <si>
    <t>40site_lease.Site Lease Date</t>
  </si>
  <si>
    <t>40site_lease.Commencement_Date</t>
  </si>
  <si>
    <t>ACBA_0184</t>
  </si>
  <si>
    <t>ACBA_0214</t>
  </si>
  <si>
    <t>ACBA_0217</t>
  </si>
  <si>
    <t>ACBA_0242</t>
  </si>
  <si>
    <t>ACBA_0141</t>
  </si>
  <si>
    <t>ACBA_0243</t>
  </si>
  <si>
    <t>ACBA_0200</t>
  </si>
  <si>
    <t>ACBA_0186</t>
  </si>
  <si>
    <t>ACBA_0229</t>
  </si>
  <si>
    <t>ACBA_0224</t>
  </si>
  <si>
    <t>ACBA_0064</t>
  </si>
  <si>
    <t>ASKA_0152</t>
  </si>
  <si>
    <t>ASKA_0169</t>
  </si>
  <si>
    <t>ASKA_0141</t>
  </si>
  <si>
    <t>ASKA_0172</t>
  </si>
  <si>
    <t>ASKA_0175</t>
  </si>
  <si>
    <t>ASKA_0151</t>
  </si>
  <si>
    <t>ASKA_0142</t>
  </si>
  <si>
    <t>ASKA_0131</t>
  </si>
  <si>
    <t>ASKA_0191</t>
  </si>
  <si>
    <t>ASKA_0149</t>
  </si>
  <si>
    <t>ASKA_0145</t>
  </si>
  <si>
    <t>ANMD_0027</t>
  </si>
  <si>
    <t>ANMD_0112</t>
  </si>
  <si>
    <t>ANMD_0127</t>
  </si>
  <si>
    <t>ANMD_0063</t>
  </si>
  <si>
    <t>ANMD_0071</t>
  </si>
  <si>
    <t>ANMD_0210</t>
  </si>
  <si>
    <t>ANMD_0151</t>
  </si>
  <si>
    <t>ANMD_0194</t>
  </si>
  <si>
    <t>ANMD_0197</t>
  </si>
  <si>
    <t>ANMD_0155</t>
  </si>
  <si>
    <t>ANMD_0142</t>
  </si>
  <si>
    <t>ANMD_0116</t>
  </si>
  <si>
    <t>ANMD_0216</t>
  </si>
  <si>
    <t>ANMD_0062</t>
  </si>
  <si>
    <t>ANMD_0243</t>
  </si>
  <si>
    <t>ANMD_0153</t>
  </si>
  <si>
    <t>ANMD_0214</t>
  </si>
  <si>
    <t>ANMD_0094</t>
  </si>
  <si>
    <t>ANMD_0113</t>
  </si>
  <si>
    <t>ANMD_0182</t>
  </si>
  <si>
    <t>ANMD_0237</t>
  </si>
  <si>
    <t>ANMD_0242</t>
  </si>
  <si>
    <t>ANMD_0061</t>
  </si>
  <si>
    <t>ANMD_0232</t>
  </si>
  <si>
    <t>ANMG_0147</t>
  </si>
  <si>
    <t>ANMG_0130</t>
  </si>
  <si>
    <t>ANMG_0174</t>
  </si>
  <si>
    <t>ANMG_0152</t>
  </si>
  <si>
    <t>ANMG_0172</t>
  </si>
  <si>
    <t>ANMG_0154</t>
  </si>
  <si>
    <t>ANMG_0166</t>
  </si>
  <si>
    <t>ANMG_0029</t>
  </si>
  <si>
    <t>ASMO_0228</t>
  </si>
  <si>
    <t>ASMO_0243</t>
  </si>
  <si>
    <t>ASMO_0193</t>
  </si>
  <si>
    <t>ASMO_0298</t>
  </si>
  <si>
    <t>Ye</t>
  </si>
  <si>
    <t>ASMO_0212</t>
  </si>
  <si>
    <t>ASMO_0203</t>
  </si>
  <si>
    <t>ASMO_0271</t>
  </si>
  <si>
    <t>ASMO_0236</t>
  </si>
  <si>
    <t>ASMO_0293</t>
  </si>
  <si>
    <t>ASMO_0295</t>
  </si>
  <si>
    <t>ASMO_0246</t>
  </si>
  <si>
    <t>ASMO_0186</t>
  </si>
  <si>
    <t>ASMO_0185</t>
  </si>
  <si>
    <t>ASMO_0280</t>
  </si>
  <si>
    <t>ANNP_0206</t>
  </si>
  <si>
    <t>ANNP_0238</t>
  </si>
  <si>
    <t>ANNP_0267</t>
  </si>
  <si>
    <t>ANNP_0219</t>
  </si>
  <si>
    <t>ANNP_0384</t>
  </si>
  <si>
    <t>ANNP_0246</t>
  </si>
  <si>
    <t>ACRK_0022</t>
  </si>
  <si>
    <t>ANSG_0382</t>
  </si>
  <si>
    <t>ANSG_0444</t>
  </si>
  <si>
    <t>ANSG_0449</t>
  </si>
  <si>
    <t>ANSG_0450</t>
  </si>
  <si>
    <t>ANSG_0498</t>
  </si>
  <si>
    <t>ANSG_0364</t>
  </si>
  <si>
    <t>ANSG_0366</t>
  </si>
  <si>
    <t>ANSG_0374</t>
  </si>
  <si>
    <t>ANSG_0367</t>
  </si>
  <si>
    <t>ANSH_0044</t>
  </si>
  <si>
    <t>AYYN_0059</t>
  </si>
  <si>
    <t>AYYN_0119</t>
  </si>
  <si>
    <t>AYYN_0201</t>
  </si>
  <si>
    <t>AYYN_0476</t>
  </si>
  <si>
    <t>AYYN_0495</t>
  </si>
  <si>
    <t>AYYN_0516</t>
  </si>
  <si>
    <t>AYYN_0428</t>
  </si>
  <si>
    <t>AYYN_0025</t>
  </si>
  <si>
    <t>AYYN_0049</t>
  </si>
  <si>
    <t>AYYN_0124</t>
  </si>
  <si>
    <t>AYYN_0131</t>
  </si>
  <si>
    <t>AYYN_0173</t>
  </si>
  <si>
    <t>AYYN_0557</t>
  </si>
  <si>
    <t>AYYN_0596</t>
  </si>
  <si>
    <t>AYYN_0571</t>
  </si>
  <si>
    <t>AYYN_0580</t>
  </si>
  <si>
    <t>AYYN_0559</t>
  </si>
  <si>
    <t>AYYN_0459</t>
  </si>
  <si>
    <t>AYYN_0576</t>
  </si>
  <si>
    <t>AYYN_0183</t>
  </si>
  <si>
    <t>AYYN_0568</t>
  </si>
  <si>
    <t>AYYN_0090</t>
  </si>
  <si>
    <t>AYYN_0101</t>
  </si>
  <si>
    <t>AYYN_0078</t>
  </si>
  <si>
    <t>AYYN_0241</t>
  </si>
  <si>
    <t>AYYN_0460</t>
  </si>
  <si>
    <t>AYYN_0216</t>
  </si>
  <si>
    <t>AYYN_0621</t>
  </si>
  <si>
    <t>AYYN_0182</t>
  </si>
  <si>
    <t>AYYN_0027</t>
  </si>
  <si>
    <t>AYYN_0069</t>
  </si>
  <si>
    <t>AYYN_0034</t>
  </si>
  <si>
    <t>AYYN_0457</t>
  </si>
  <si>
    <t>AYYN_0609</t>
  </si>
  <si>
    <t>AYYN_0115</t>
  </si>
  <si>
    <t>AYYN_0220</t>
  </si>
  <si>
    <t>AYYN_0077</t>
  </si>
  <si>
    <t>AYYN_0184</t>
  </si>
  <si>
    <t>AYYN_0151</t>
  </si>
  <si>
    <t>AYYN_0197</t>
  </si>
  <si>
    <t>AYYN_0042</t>
  </si>
  <si>
    <t>AYYN_0600</t>
  </si>
  <si>
    <t>AYYN_0109</t>
  </si>
  <si>
    <t>AYYN_0465</t>
  </si>
  <si>
    <t>AYYN_0574</t>
  </si>
  <si>
    <t>AYYN_0192</t>
  </si>
  <si>
    <t>AYYN_0018</t>
  </si>
  <si>
    <t>AYYN_0239</t>
  </si>
  <si>
    <t>AYYN_0219</t>
  </si>
  <si>
    <t>AYYN_0526</t>
  </si>
  <si>
    <t>AYYN_0086</t>
  </si>
  <si>
    <t>AYYN_0597</t>
  </si>
  <si>
    <t>AYYN_0282</t>
  </si>
  <si>
    <t>AYYN_0566</t>
  </si>
  <si>
    <t>AYYN_0586</t>
  </si>
  <si>
    <t>AYYN_0581</t>
  </si>
  <si>
    <t>AYYN_0270</t>
  </si>
  <si>
    <t>AYYN_0490</t>
  </si>
  <si>
    <t>AYYN_0466</t>
  </si>
  <si>
    <t>AYYN_0607</t>
  </si>
  <si>
    <t>AYYN_0601</t>
  </si>
  <si>
    <t>ACAY_0056</t>
  </si>
  <si>
    <t>ACAY_0016</t>
  </si>
  <si>
    <t>ACAY_0112</t>
  </si>
  <si>
    <t>ACAY_0095</t>
  </si>
  <si>
    <t>ACAY_0062</t>
  </si>
  <si>
    <t>ACAY_0072</t>
  </si>
  <si>
    <t>ACBA_0168</t>
  </si>
  <si>
    <t>10colo_app.General Comment</t>
  </si>
  <si>
    <t>ACAY_0003</t>
  </si>
  <si>
    <t>ACAY_0023</t>
  </si>
  <si>
    <t>ACAY_0084</t>
  </si>
  <si>
    <t>ACAY_0090</t>
  </si>
  <si>
    <t>ACAY_0098</t>
  </si>
  <si>
    <t>ACAY_0103</t>
  </si>
  <si>
    <t>ACAY_0109</t>
  </si>
  <si>
    <t>ACAY_0138</t>
  </si>
  <si>
    <t>ACAY_0152</t>
  </si>
  <si>
    <t>ACAY_0164</t>
  </si>
  <si>
    <t>ACAY_0169</t>
  </si>
  <si>
    <t>ACAY_0170</t>
  </si>
  <si>
    <t>ACAY_0181</t>
  </si>
  <si>
    <t>ACBA_0027</t>
  </si>
  <si>
    <t>ACBA_0028</t>
  </si>
  <si>
    <t>ACBA_0030</t>
  </si>
  <si>
    <t>ACBA_0034</t>
  </si>
  <si>
    <t>ACBA_0040</t>
  </si>
  <si>
    <t>ACBA_0048</t>
  </si>
  <si>
    <t>ACBA_0063</t>
  </si>
  <si>
    <t>ACBA_0076</t>
  </si>
  <si>
    <t>ACBA_0087</t>
  </si>
  <si>
    <t>ACBA_0111</t>
  </si>
  <si>
    <t>ACBA_0119</t>
  </si>
  <si>
    <t>ACBA_0122</t>
  </si>
  <si>
    <t>ACBA_0164</t>
  </si>
  <si>
    <t>ACBA_0170</t>
  </si>
  <si>
    <t>ACBA_0172</t>
  </si>
  <si>
    <t>ACBA_0191</t>
  </si>
  <si>
    <t>ACBA_0195</t>
  </si>
  <si>
    <t>ACBA_0207</t>
  </si>
  <si>
    <t>ACBA_0211</t>
  </si>
  <si>
    <t>ACBA_0212</t>
  </si>
  <si>
    <t>ACBA_0222</t>
  </si>
  <si>
    <t>ACBA_0228</t>
  </si>
  <si>
    <t>ACBA_0230</t>
  </si>
  <si>
    <t>ACBA_0254</t>
  </si>
  <si>
    <t>ACBA_0263</t>
  </si>
  <si>
    <t>ACRK_0009</t>
  </si>
  <si>
    <t>ACRK_0021</t>
  </si>
  <si>
    <t>ANKC_0003</t>
  </si>
  <si>
    <t>ANKC_0010</t>
  </si>
  <si>
    <t>ANKC_0013</t>
  </si>
  <si>
    <t>ANKC_0022</t>
  </si>
  <si>
    <t>ANKC_0024</t>
  </si>
  <si>
    <t>ANKC_0028</t>
  </si>
  <si>
    <t>ANMD_0015</t>
  </si>
  <si>
    <t>ANMD_0035</t>
  </si>
  <si>
    <t>ANMD_0046</t>
  </si>
  <si>
    <t>ANMD_0083</t>
  </si>
  <si>
    <t>ANMD_0096</t>
  </si>
  <si>
    <t>ANMD_0097</t>
  </si>
  <si>
    <t>ANMD_0104</t>
  </si>
  <si>
    <t>ANMD_0107</t>
  </si>
  <si>
    <t>ANMD_0123</t>
  </si>
  <si>
    <t>ANMD_0131</t>
  </si>
  <si>
    <t>ANMD_0134</t>
  </si>
  <si>
    <t>ANMD_0135</t>
  </si>
  <si>
    <t>ANMD_0141</t>
  </si>
  <si>
    <t>ANMD_0143</t>
  </si>
  <si>
    <t>ANMD_0149</t>
  </si>
  <si>
    <t>ANMD_0150</t>
  </si>
  <si>
    <t>ANMD_0156</t>
  </si>
  <si>
    <t>ANMD_0160</t>
  </si>
  <si>
    <t>ANMD_0162</t>
  </si>
  <si>
    <t>ANMD_0166</t>
  </si>
  <si>
    <t>ANMD_0169</t>
  </si>
  <si>
    <t>ANMD_0176</t>
  </si>
  <si>
    <t>ANMD_0178</t>
  </si>
  <si>
    <t>ANMD_0180</t>
  </si>
  <si>
    <t>ANMD_0181</t>
  </si>
  <si>
    <t>ANMD_0184</t>
  </si>
  <si>
    <t>ANMD_0189</t>
  </si>
  <si>
    <t>ANMD_0190</t>
  </si>
  <si>
    <t>ANMD_0206</t>
  </si>
  <si>
    <t>ANMD_0211</t>
  </si>
  <si>
    <t>ANMD_0212</t>
  </si>
  <si>
    <t>ANMD_0219</t>
  </si>
  <si>
    <t>ANMD_0222</t>
  </si>
  <si>
    <t>ANMD_0223</t>
  </si>
  <si>
    <t>ANMD_0224</t>
  </si>
  <si>
    <t>ANMD_0230</t>
  </si>
  <si>
    <t>ANMD_0238</t>
  </si>
  <si>
    <t>ANMD_0241</t>
  </si>
  <si>
    <t>ANMD_0254</t>
  </si>
  <si>
    <t>ANMG_0003</t>
  </si>
  <si>
    <t>ANMG_0006</t>
  </si>
  <si>
    <t>ANMG_0010</t>
  </si>
  <si>
    <t>ANMG_0014</t>
  </si>
  <si>
    <t>ANMG_0015</t>
  </si>
  <si>
    <t>ANMG_0022</t>
  </si>
  <si>
    <t>ANMG_0023</t>
  </si>
  <si>
    <t>ANMG_0026</t>
  </si>
  <si>
    <t>ANMG_0040</t>
  </si>
  <si>
    <t>ANMG_0041</t>
  </si>
  <si>
    <t>ANMG_0043</t>
  </si>
  <si>
    <t>ANMG_0050</t>
  </si>
  <si>
    <t>ANMG_0062</t>
  </si>
  <si>
    <t>ANMG_0073</t>
  </si>
  <si>
    <t>ANMG_0113</t>
  </si>
  <si>
    <t>ANMG_0137</t>
  </si>
  <si>
    <t>ANMG_0139</t>
  </si>
  <si>
    <t>ANMG_0148</t>
  </si>
  <si>
    <t>ANMG_0178</t>
  </si>
  <si>
    <t>ANNP_0211</t>
  </si>
  <si>
    <t>ANNP_0217</t>
  </si>
  <si>
    <t>ANNP_0223</t>
  </si>
  <si>
    <t>ANNP_0229</t>
  </si>
  <si>
    <t>ANNP_0240</t>
  </si>
  <si>
    <t>ANNP_0242</t>
  </si>
  <si>
    <t>ANNP_0245</t>
  </si>
  <si>
    <t>ANNP_0272</t>
  </si>
  <si>
    <t>ANNP_0280</t>
  </si>
  <si>
    <t>ANNP_0281</t>
  </si>
  <si>
    <t>ANNP_0282</t>
  </si>
  <si>
    <t>ANNP_0285</t>
  </si>
  <si>
    <t>ANNP_0319</t>
  </si>
  <si>
    <t>ANNP_0324</t>
  </si>
  <si>
    <t>ANNP_0363</t>
  </si>
  <si>
    <t>ANNP_0378</t>
  </si>
  <si>
    <t>ANNP_0385</t>
  </si>
  <si>
    <t>ANSG_0349</t>
  </si>
  <si>
    <t>ANSG_0356</t>
  </si>
  <si>
    <t>ANSG_0359</t>
  </si>
  <si>
    <t>ANSG_0369</t>
  </si>
  <si>
    <t>ANSG_0388</t>
  </si>
  <si>
    <t>ANSG_0393</t>
  </si>
  <si>
    <t>ANSG_0395</t>
  </si>
  <si>
    <t>ANSG_0399</t>
  </si>
  <si>
    <t>ANSG_0426</t>
  </si>
  <si>
    <t>ANSG_0428</t>
  </si>
  <si>
    <t>ANSG_0430</t>
  </si>
  <si>
    <t>ANSG_0436</t>
  </si>
  <si>
    <t>ANSG_0438</t>
  </si>
  <si>
    <t>ANSG_0439</t>
  </si>
  <si>
    <t>ANSG_0460</t>
  </si>
  <si>
    <t>ANSG_0461</t>
  </si>
  <si>
    <t>ANSG_0463</t>
  </si>
  <si>
    <t>ANSG_0474</t>
  </si>
  <si>
    <t>ANSG_0477</t>
  </si>
  <si>
    <t>ANSG_0479</t>
  </si>
  <si>
    <t>ANSG_0483</t>
  </si>
  <si>
    <t>ANSG_0486</t>
  </si>
  <si>
    <t>ANSG_0488</t>
  </si>
  <si>
    <t>ANSG_0500</t>
  </si>
  <si>
    <t>ANSG_0502</t>
  </si>
  <si>
    <t>ANSG_0507</t>
  </si>
  <si>
    <t>ANSG_0521</t>
  </si>
  <si>
    <t>ANSG_0523</t>
  </si>
  <si>
    <t>ANSG_0527</t>
  </si>
  <si>
    <t>ANSH_0005</t>
  </si>
  <si>
    <t>ANSH_0009</t>
  </si>
  <si>
    <t>ANSH_0033</t>
  </si>
  <si>
    <t>ANSH_0041</t>
  </si>
  <si>
    <t>ASKA_0133</t>
  </si>
  <si>
    <t>ASKA_0139</t>
  </si>
  <si>
    <t>ASMO_0142</t>
  </si>
  <si>
    <t>ASMO_0150</t>
  </si>
  <si>
    <t>ASMO_0154</t>
  </si>
  <si>
    <t>ASMO_0158</t>
  </si>
  <si>
    <t>ASMO_0166</t>
  </si>
  <si>
    <t>ASMO_0167</t>
  </si>
  <si>
    <t>ASMO_0169</t>
  </si>
  <si>
    <t>ASMO_0171</t>
  </si>
  <si>
    <t>ASMO_0175</t>
  </si>
  <si>
    <t>ASMO_0183</t>
  </si>
  <si>
    <t>ASMO_0196</t>
  </si>
  <si>
    <t>ASMO_0197</t>
  </si>
  <si>
    <t>ASMO_0202</t>
  </si>
  <si>
    <t>ASMO_0204</t>
  </si>
  <si>
    <t>ASMO_0214</t>
  </si>
  <si>
    <t>ASMO_0223</t>
  </si>
  <si>
    <t>ASMO_0225</t>
  </si>
  <si>
    <t>ASMO_0232</t>
  </si>
  <si>
    <t>ASMO_0245</t>
  </si>
  <si>
    <t>ASMO_0247</t>
  </si>
  <si>
    <t>ASMO_0248</t>
  </si>
  <si>
    <t>ASMO_0304</t>
  </si>
  <si>
    <t>ASTN_0008</t>
  </si>
  <si>
    <t>AYYN_0001</t>
  </si>
  <si>
    <t>AYYN_0020</t>
  </si>
  <si>
    <t>AYYN_0073</t>
  </si>
  <si>
    <t>AYYN_0082</t>
  </si>
  <si>
    <t>AYYN_0088</t>
  </si>
  <si>
    <t>AYYN_0094</t>
  </si>
  <si>
    <t>AYYN_0098</t>
  </si>
  <si>
    <t>AYYN_0104</t>
  </si>
  <si>
    <t>AYYN_0127</t>
  </si>
  <si>
    <t>AYYN_0128</t>
  </si>
  <si>
    <t>AYYN_0135</t>
  </si>
  <si>
    <t>AYYN_0138</t>
  </si>
  <si>
    <t>AYYN_0164</t>
  </si>
  <si>
    <t>AYYN_0166</t>
  </si>
  <si>
    <t>AYYN_0176</t>
  </si>
  <si>
    <t>AYYN_0180</t>
  </si>
  <si>
    <t>AYYN_0190</t>
  </si>
  <si>
    <t>AYYN_0200</t>
  </si>
  <si>
    <t>AYYN_0208</t>
  </si>
  <si>
    <t>AYYN_0211</t>
  </si>
  <si>
    <t>AYYN_0218</t>
  </si>
  <si>
    <t>AYYN_0222</t>
  </si>
  <si>
    <t>AYYN_0225</t>
  </si>
  <si>
    <t>AYYN_0228</t>
  </si>
  <si>
    <t>AYYN_0251</t>
  </si>
  <si>
    <t>AYYN_0255</t>
  </si>
  <si>
    <t>AYYN_0257</t>
  </si>
  <si>
    <t>AYYN_0264</t>
  </si>
  <si>
    <t>AYYN_0271</t>
  </si>
  <si>
    <t>AYYN_0287</t>
  </si>
  <si>
    <t>AYYN_0292</t>
  </si>
  <si>
    <t>AYYN_0299</t>
  </si>
  <si>
    <t>AYYN_0300</t>
  </si>
  <si>
    <t>AYYN_0301</t>
  </si>
  <si>
    <t>AYYN_0331</t>
  </si>
  <si>
    <t>AYYN_0336</t>
  </si>
  <si>
    <t>AYYN_0349</t>
  </si>
  <si>
    <t>AYYN_0432</t>
  </si>
  <si>
    <t>AYYN_0433</t>
  </si>
  <si>
    <t>AYYN_0435</t>
  </si>
  <si>
    <t>AYYN_0439</t>
  </si>
  <si>
    <t>AYYN_0441</t>
  </si>
  <si>
    <t>AYYN_0443</t>
  </si>
  <si>
    <t>AYYN_0447</t>
  </si>
  <si>
    <t>AYYN_0471</t>
  </si>
  <si>
    <t>AYYN_0473</t>
  </si>
  <si>
    <t>AYYN_0482</t>
  </si>
  <si>
    <t>AYYN_0484</t>
  </si>
  <si>
    <t>AYYN_0510</t>
  </si>
  <si>
    <t>AYYN_0520</t>
  </si>
  <si>
    <t>AYYN_0534</t>
  </si>
  <si>
    <t>AYYN_0562</t>
  </si>
  <si>
    <t>AYYN_0564</t>
  </si>
  <si>
    <t>AYYN_0570</t>
  </si>
  <si>
    <t>AYYN_0573</t>
  </si>
  <si>
    <t>AYYN_0575</t>
  </si>
  <si>
    <t>AYYN_0585</t>
  </si>
  <si>
    <t>AYYN_0589</t>
  </si>
  <si>
    <t>AYYN_0602</t>
  </si>
  <si>
    <t>AYYN_0608</t>
  </si>
  <si>
    <t>AYYN_0611</t>
  </si>
  <si>
    <t>AYYN_0618</t>
  </si>
  <si>
    <t>AYYN_0635</t>
  </si>
  <si>
    <t>10colo_app.Batch_No</t>
  </si>
  <si>
    <t>ACAY_0004</t>
  </si>
  <si>
    <t>ACBA_0095</t>
  </si>
  <si>
    <t>ANMD_0075</t>
  </si>
  <si>
    <t>ASMO_0177</t>
  </si>
  <si>
    <t>ANSG_0389</t>
  </si>
  <si>
    <t>AYYN_0203</t>
  </si>
  <si>
    <t>AYYN_0072</t>
  </si>
  <si>
    <t>AYYN_0577</t>
  </si>
  <si>
    <t>AYYN_0304</t>
  </si>
  <si>
    <t>AYYN_0174</t>
  </si>
  <si>
    <t>ACAY_0101</t>
  </si>
  <si>
    <t>ACAY_0163</t>
  </si>
  <si>
    <t>ASMO_0152</t>
  </si>
  <si>
    <t>ASMO_0222</t>
  </si>
  <si>
    <t>ANSG_0497</t>
  </si>
  <si>
    <t>AYYN_0023</t>
  </si>
  <si>
    <t>AYYN_0024</t>
  </si>
  <si>
    <t>ASKH_0002</t>
  </si>
  <si>
    <t>ANMD_0204</t>
  </si>
  <si>
    <t>ASMO_0279</t>
  </si>
  <si>
    <t>ACAY_0013</t>
  </si>
  <si>
    <t>Test Colo app Rev</t>
  </si>
  <si>
    <t>10colo_app.Colo_Application_Date</t>
  </si>
  <si>
    <t>Test Site Lease Rev</t>
  </si>
  <si>
    <t>03tower_info.CW Vendor</t>
  </si>
  <si>
    <t>Leadcom</t>
  </si>
  <si>
    <t>[1]  On the date that this Site Lease Agreement is signed. For each mobile operator that installs equipment at this Site of the TowerCo after MyTel has executed a Site Lease for such Site, the monthly total Base Rent and Additional Rent payable by MyTel to TowerCo for such Site shall be reduced by five percent (5%), provided that no such discount shall be payable if the equipment is installed by a mobile operator on a short term basis for trial purposes.</t>
  </si>
  <si>
    <t>ASMO_0299</t>
  </si>
  <si>
    <t>ANMD_0101</t>
  </si>
  <si>
    <t>Site ID</t>
  </si>
  <si>
    <t>Number of Tenants before2018-02-07</t>
  </si>
  <si>
    <t>10colo_app.Rev</t>
  </si>
  <si>
    <t>10colo_app.Lower limit 2</t>
  </si>
  <si>
    <t>10colo_app.Upper limit 2</t>
  </si>
  <si>
    <t>one sector</t>
  </si>
  <si>
    <t>two sectors</t>
  </si>
  <si>
    <t>Cancelled -&gt; ASMO_0160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</si>
</sst>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409]mmmm/yy;@"/>
    <numFmt numFmtId="165" formatCode="#,##0.00\ &quot;USD&quot;"/>
    <numFmt numFmtId="166" formatCode="#,##0\ &quot;m2&quot;"/>
    <numFmt numFmtId="167" formatCode="#,##0\ &quot;m&quot;"/>
    <numFmt numFmtId="168" formatCode="[$-409]d/mmm/yyyy;@"/>
    <numFmt numFmtId="169" formatCode="#,##0.#\ &quot;m2&quot;"/>
    <numFmt numFmtId="170" formatCode="#,##0.0\ &quot;m2&quot;"/>
    <numFmt numFmtId="171" formatCode="[$-409]mmmm\ d\,\ yyyy;@"/>
    <numFmt numFmtId="172" formatCode="&quot;Rev &quot;0\ &quot;[2]&quot;"/>
    <numFmt numFmtId="173" formatCode="0.00\ &quot;m2&quot;"/>
  </numFmts>
  <fonts count="12" x14ac:knownFonts="1">
    <font>
      <sz val="11"/>
      <color theme="1"/>
      <name val="Calibri"/>
      <family val="2"/>
      <scheme val="minor"/>
    </font>
    <font>
      <b/>
      <sz val="11"/>
      <color theme="0"/>
      <name val="Calibri"/>
      <family val="2"/>
      <scheme val="minor"/>
    </font>
    <font>
      <sz val="10"/>
      <color rgb="FF000000"/>
      <name val="Arial"/>
      <family val="2"/>
    </font>
    <font>
      <b/>
      <sz val="11"/>
      <color rgb="FF000000"/>
      <name val="Calibri"/>
      <family val="2"/>
    </font>
    <font>
      <sz val="11"/>
      <color theme="1"/>
      <name val="Calibri"/>
      <family val="2"/>
      <scheme val="minor"/>
    </font>
    <font>
      <sz val="10"/>
      <name val="Arial"/>
      <family val="2"/>
    </font>
    <font>
      <sz val="11"/>
      <color theme="1"/>
      <name val="Times New Roman"/>
      <family val="1"/>
    </font>
    <font>
      <b/>
      <sz val="11"/>
      <color theme="1"/>
      <name val="Times New Roman"/>
      <family val="1"/>
    </font>
    <font>
      <b/>
      <u/>
      <sz val="11"/>
      <color theme="1"/>
      <name val="Times New Roman"/>
      <family val="1"/>
    </font>
    <font>
      <sz val="10"/>
      <color theme="1"/>
      <name val="Times New Roman"/>
      <family val="1"/>
    </font>
    <font>
      <u/>
      <sz val="11"/>
      <color theme="10"/>
      <name val="Calibri"/>
      <family val="2"/>
      <scheme val="minor"/>
    </font>
    <font>
      <sz val="1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0"/>
        <bgColor indexed="64"/>
      </patternFill>
    </fill>
    <fill>
      <patternFill patternType="solid">
        <fgColor theme="8"/>
        <bgColor indexed="64"/>
      </patternFill>
    </fill>
    <fill>
      <patternFill patternType="solid">
        <fgColor theme="2"/>
        <bgColor indexed="64"/>
      </patternFill>
    </fill>
    <fill>
      <patternFill patternType="solid">
        <fgColor theme="5"/>
        <bgColor indexed="64"/>
      </patternFill>
    </fill>
    <fill>
      <patternFill patternType="solid">
        <fgColor theme="6" tint="0.59999389629810485"/>
        <bgColor indexed="64"/>
      </patternFill>
    </fill>
    <fill>
      <patternFill patternType="solid">
        <fgColor theme="9"/>
        <bgColor theme="9"/>
      </patternFill>
    </fill>
    <fill>
      <patternFill patternType="solid">
        <fgColor theme="5"/>
        <bgColor theme="9"/>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style="thin">
        <color auto="1"/>
      </right>
      <top/>
      <bottom style="thin">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s>
  <cellStyleXfs count="10">
    <xf numFmtId="0" fontId="0" fillId="0" borderId="0"/>
    <xf numFmtId="0" fontId="2" fillId="0" borderId="0"/>
    <xf numFmtId="0" fontId="5" fillId="0" borderId="0"/>
    <xf numFmtId="164" fontId="5" fillId="0" borderId="0"/>
    <xf numFmtId="164" fontId="5" fillId="0" borderId="0"/>
    <xf numFmtId="0" fontId="4" fillId="0" borderId="0"/>
    <xf numFmtId="164" fontId="5" fillId="0" borderId="0"/>
    <xf numFmtId="168" fontId="4" fillId="0" borderId="0"/>
    <xf numFmtId="0" fontId="10" fillId="0" borderId="0" applyNumberFormat="0" applyFill="0" applyBorder="0" applyAlignment="0" applyProtection="0"/>
    <xf numFmtId="44" fontId="4" fillId="0" borderId="0" applyFont="0" applyFill="0" applyBorder="0" applyAlignment="0" applyProtection="0"/>
  </cellStyleXfs>
  <cellXfs count="123">
    <xf numFmtId="0" fontId="0" fillId="0" borderId="0" xfId="0"/>
    <xf numFmtId="0" fontId="4" fillId="6" borderId="0" xfId="0" applyFont="1" applyFill="1" applyProtection="1"/>
    <xf numFmtId="0" fontId="4" fillId="0" borderId="1" xfId="0" applyFont="1" applyFill="1" applyBorder="1" applyProtection="1"/>
    <xf numFmtId="0" fontId="4" fillId="0" borderId="1" xfId="0" applyFont="1" applyFill="1" applyBorder="1" applyAlignment="1" applyProtection="1">
      <alignment horizontal="center"/>
    </xf>
    <xf numFmtId="0" fontId="4" fillId="5" borderId="1" xfId="0" applyFont="1" applyFill="1" applyBorder="1" applyProtection="1"/>
    <xf numFmtId="0" fontId="4" fillId="5" borderId="1" xfId="0" applyFont="1" applyFill="1" applyBorder="1" applyAlignment="1" applyProtection="1">
      <alignment horizontal="center"/>
    </xf>
    <xf numFmtId="0" fontId="6" fillId="0" borderId="0" xfId="0" applyFont="1" applyProtection="1"/>
    <xf numFmtId="0" fontId="6" fillId="8" borderId="0" xfId="0" applyFont="1" applyFill="1" applyProtection="1"/>
    <xf numFmtId="0" fontId="7" fillId="0" borderId="0" xfId="0" applyFont="1" applyProtection="1"/>
    <xf numFmtId="0" fontId="8" fillId="0" borderId="0" xfId="0" applyFont="1" applyProtection="1"/>
    <xf numFmtId="0" fontId="8" fillId="8" borderId="0" xfId="0" applyFont="1" applyFill="1" applyProtection="1"/>
    <xf numFmtId="0" fontId="6" fillId="0" borderId="2" xfId="0" applyFont="1" applyBorder="1" applyProtection="1"/>
    <xf numFmtId="0" fontId="6" fillId="0" borderId="0" xfId="0" applyFont="1" applyBorder="1" applyProtection="1"/>
    <xf numFmtId="0" fontId="7" fillId="8" borderId="0" xfId="0" applyFont="1" applyFill="1" applyAlignment="1" applyProtection="1">
      <alignment horizontal="center" vertical="center" wrapText="1"/>
    </xf>
    <xf numFmtId="0" fontId="6" fillId="0" borderId="0" xfId="0" applyFont="1" applyAlignment="1" applyProtection="1">
      <alignment horizontal="justify" vertical="top" wrapText="1"/>
    </xf>
    <xf numFmtId="0" fontId="9" fillId="0" borderId="0" xfId="0" applyFont="1" applyAlignment="1" applyProtection="1">
      <alignment horizontal="justify" vertical="top" wrapText="1"/>
    </xf>
    <xf numFmtId="0" fontId="6" fillId="0" borderId="0" xfId="0" applyFont="1" applyFill="1" applyProtection="1"/>
    <xf numFmtId="0" fontId="6" fillId="4" borderId="0" xfId="0" applyFont="1" applyFill="1" applyProtection="1"/>
    <xf numFmtId="0" fontId="7" fillId="4" borderId="0" xfId="0" applyFont="1" applyFill="1" applyProtection="1"/>
    <xf numFmtId="0" fontId="6" fillId="4" borderId="0" xfId="0" applyFont="1" applyFill="1" applyAlignment="1" applyProtection="1">
      <alignment horizontal="justify" vertical="center" wrapText="1"/>
    </xf>
    <xf numFmtId="0" fontId="6" fillId="4" borderId="0" xfId="0" applyFont="1" applyFill="1" applyAlignment="1" applyProtection="1"/>
    <xf numFmtId="0" fontId="8" fillId="4" borderId="0" xfId="0" applyFont="1" applyFill="1" applyProtection="1"/>
    <xf numFmtId="167" fontId="6" fillId="4" borderId="0" xfId="0" applyNumberFormat="1" applyFont="1" applyFill="1" applyProtection="1"/>
    <xf numFmtId="165" fontId="6" fillId="4" borderId="0" xfId="0" applyNumberFormat="1" applyFont="1" applyFill="1" applyProtection="1"/>
    <xf numFmtId="0" fontId="6" fillId="4" borderId="2" xfId="0" applyFont="1" applyFill="1" applyBorder="1" applyProtection="1"/>
    <xf numFmtId="0" fontId="6" fillId="4" borderId="0" xfId="0" applyFont="1" applyFill="1" applyBorder="1" applyProtection="1"/>
    <xf numFmtId="0" fontId="7" fillId="4" borderId="0" xfId="0" applyFont="1" applyFill="1" applyBorder="1" applyAlignment="1" applyProtection="1">
      <alignment horizontal="center"/>
    </xf>
    <xf numFmtId="0" fontId="7" fillId="4" borderId="0" xfId="0" applyFont="1" applyFill="1" applyAlignment="1" applyProtection="1">
      <alignment horizontal="center" vertical="center" wrapText="1"/>
    </xf>
    <xf numFmtId="0" fontId="7" fillId="4" borderId="1"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6" fillId="4" borderId="1" xfId="0" applyFont="1" applyFill="1" applyBorder="1" applyProtection="1"/>
    <xf numFmtId="166" fontId="6" fillId="4" borderId="0" xfId="0" applyNumberFormat="1" applyFont="1" applyFill="1" applyBorder="1" applyAlignment="1" applyProtection="1">
      <alignment horizontal="center"/>
    </xf>
    <xf numFmtId="0" fontId="0" fillId="0" borderId="0" xfId="0"/>
    <xf numFmtId="0" fontId="0" fillId="6" borderId="0" xfId="0" applyFont="1" applyFill="1" applyProtection="1"/>
    <xf numFmtId="0" fontId="6" fillId="4" borderId="0" xfId="0" applyFont="1" applyFill="1" applyAlignment="1" applyProtection="1">
      <alignment horizontal="right"/>
    </xf>
    <xf numFmtId="167" fontId="6" fillId="4" borderId="0" xfId="0" applyNumberFormat="1" applyFont="1" applyFill="1" applyAlignment="1" applyProtection="1">
      <alignment horizontal="right"/>
    </xf>
    <xf numFmtId="0" fontId="0" fillId="6" borderId="0" xfId="0" quotePrefix="1" applyFont="1" applyFill="1" applyProtection="1"/>
    <xf numFmtId="0" fontId="6" fillId="2" borderId="0" xfId="0" applyFont="1" applyFill="1" applyProtection="1"/>
    <xf numFmtId="0" fontId="7" fillId="2" borderId="0" xfId="0" applyFont="1" applyFill="1" applyAlignment="1" applyProtection="1">
      <alignment horizontal="center" vertical="center" wrapText="1"/>
    </xf>
    <xf numFmtId="0" fontId="4" fillId="2" borderId="0" xfId="0" applyFont="1" applyFill="1" applyProtection="1"/>
    <xf numFmtId="0" fontId="0" fillId="2" borderId="0" xfId="0" applyFont="1" applyFill="1" applyProtection="1"/>
    <xf numFmtId="0" fontId="7" fillId="4" borderId="0" xfId="0" applyFont="1" applyFill="1" applyBorder="1" applyAlignment="1" applyProtection="1"/>
    <xf numFmtId="0" fontId="7" fillId="4" borderId="0" xfId="0" applyFont="1" applyFill="1" applyBorder="1" applyAlignment="1" applyProtection="1">
      <alignment vertical="center" wrapText="1"/>
    </xf>
    <xf numFmtId="0" fontId="6" fillId="4" borderId="8" xfId="0" applyFont="1" applyFill="1" applyBorder="1" applyAlignment="1" applyProtection="1">
      <alignment horizontal="center"/>
    </xf>
    <xf numFmtId="0" fontId="6" fillId="2" borderId="0" xfId="0" applyFont="1" applyFill="1" applyBorder="1" applyProtection="1"/>
    <xf numFmtId="0" fontId="4" fillId="6" borderId="0" xfId="0" applyFont="1" applyFill="1" applyBorder="1" applyProtection="1"/>
    <xf numFmtId="0" fontId="6" fillId="8" borderId="0" xfId="0" applyFont="1" applyFill="1" applyBorder="1" applyProtection="1"/>
    <xf numFmtId="0" fontId="4" fillId="0" borderId="0" xfId="0" applyFont="1" applyFill="1" applyProtection="1"/>
    <xf numFmtId="0" fontId="6" fillId="4" borderId="1" xfId="0" applyFont="1" applyFill="1" applyBorder="1" applyAlignment="1" applyProtection="1"/>
    <xf numFmtId="0" fontId="0" fillId="7" borderId="0" xfId="0" applyFont="1" applyFill="1" applyProtection="1"/>
    <xf numFmtId="0" fontId="4" fillId="7" borderId="0" xfId="0" applyFont="1" applyFill="1" applyProtection="1"/>
    <xf numFmtId="0" fontId="0" fillId="4" borderId="1" xfId="0" applyFont="1" applyFill="1" applyBorder="1" applyProtection="1"/>
    <xf numFmtId="0" fontId="11" fillId="5" borderId="1" xfId="0" applyFont="1" applyFill="1" applyBorder="1" applyProtection="1"/>
    <xf numFmtId="0" fontId="6" fillId="4" borderId="0" xfId="0" applyFont="1" applyFill="1" applyAlignment="1" applyProtection="1">
      <alignment horizontal="justify" vertical="center" wrapText="1"/>
    </xf>
    <xf numFmtId="0" fontId="6" fillId="4" borderId="0" xfId="0" applyFont="1" applyFill="1" applyAlignment="1" applyProtection="1">
      <alignment horizontal="justify" vertical="center" wrapText="1"/>
    </xf>
    <xf numFmtId="0" fontId="6" fillId="4" borderId="2" xfId="0" applyFont="1" applyFill="1" applyBorder="1" applyAlignment="1" applyProtection="1">
      <alignment horizontal="justify" vertical="center" wrapText="1"/>
    </xf>
    <xf numFmtId="0" fontId="6" fillId="4" borderId="8" xfId="0" applyFont="1" applyFill="1" applyBorder="1" applyProtection="1"/>
    <xf numFmtId="0" fontId="8" fillId="4" borderId="0" xfId="0" applyFont="1" applyFill="1" applyBorder="1" applyProtection="1"/>
    <xf numFmtId="0" fontId="6" fillId="4" borderId="0" xfId="0" applyFont="1" applyFill="1" applyBorder="1" applyAlignment="1" applyProtection="1">
      <alignment horizontal="center"/>
    </xf>
    <xf numFmtId="0" fontId="6" fillId="4" borderId="0" xfId="0" applyFont="1" applyFill="1" applyBorder="1" applyAlignment="1" applyProtection="1"/>
    <xf numFmtId="0" fontId="4" fillId="5" borderId="0" xfId="0" applyFont="1" applyFill="1" applyProtection="1"/>
    <xf numFmtId="0" fontId="7" fillId="4" borderId="6" xfId="0" applyFont="1" applyFill="1" applyBorder="1" applyAlignment="1" applyProtection="1">
      <alignment horizontal="center" vertical="center"/>
    </xf>
    <xf numFmtId="0" fontId="0" fillId="0" borderId="0" xfId="0" applyNumberFormat="1"/>
    <xf numFmtId="22" fontId="0" fillId="0" borderId="0" xfId="0" applyNumberFormat="1"/>
    <xf numFmtId="14" fontId="0" fillId="0" borderId="0" xfId="0" applyNumberFormat="1"/>
    <xf numFmtId="0" fontId="0" fillId="0" borderId="0" xfId="0"/>
    <xf numFmtId="0" fontId="1" fillId="9" borderId="11" xfId="0" applyFont="1" applyFill="1" applyBorder="1"/>
    <xf numFmtId="0" fontId="1" fillId="9" borderId="11" xfId="0" applyNumberFormat="1" applyFont="1" applyFill="1" applyBorder="1"/>
    <xf numFmtId="0" fontId="1" fillId="9" borderId="12" xfId="0" applyFont="1" applyFill="1" applyBorder="1"/>
    <xf numFmtId="0" fontId="1" fillId="10" borderId="11" xfId="0" applyFont="1" applyFill="1" applyBorder="1"/>
    <xf numFmtId="0" fontId="0" fillId="3" borderId="0" xfId="0" applyFill="1"/>
    <xf numFmtId="0" fontId="0" fillId="5" borderId="0" xfId="0" applyFill="1"/>
    <xf numFmtId="0" fontId="1" fillId="5" borderId="12" xfId="0" applyFont="1" applyFill="1" applyBorder="1"/>
    <xf numFmtId="0" fontId="0" fillId="3" borderId="0" xfId="0" applyNumberFormat="1" applyFill="1"/>
    <xf numFmtId="0" fontId="0" fillId="7" borderId="0" xfId="0" applyFill="1"/>
    <xf numFmtId="0" fontId="0" fillId="0" borderId="0" xfId="0" applyNumberFormat="1" applyFill="1"/>
    <xf numFmtId="172" fontId="6" fillId="4" borderId="0" xfId="0" applyNumberFormat="1" applyFont="1" applyFill="1" applyProtection="1"/>
    <xf numFmtId="173" fontId="6" fillId="4" borderId="0" xfId="0" applyNumberFormat="1" applyFont="1" applyFill="1" applyBorder="1" applyAlignment="1" applyProtection="1"/>
    <xf numFmtId="0" fontId="0" fillId="3" borderId="0" xfId="0" applyFont="1" applyFill="1" applyProtection="1"/>
    <xf numFmtId="0" fontId="4" fillId="3" borderId="0" xfId="0" applyFont="1" applyFill="1" applyProtection="1"/>
    <xf numFmtId="0" fontId="0" fillId="0" borderId="13" xfId="0" applyFont="1" applyBorder="1"/>
    <xf numFmtId="44" fontId="0" fillId="0" borderId="0" xfId="9" applyFont="1"/>
    <xf numFmtId="0" fontId="9" fillId="0" borderId="0" xfId="0" applyFont="1" applyAlignment="1" applyProtection="1">
      <alignment horizontal="justify" vertical="top" wrapText="1"/>
    </xf>
    <xf numFmtId="0" fontId="6" fillId="4" borderId="5" xfId="0" applyFont="1" applyFill="1" applyBorder="1" applyAlignment="1" applyProtection="1"/>
    <xf numFmtId="0" fontId="6" fillId="4" borderId="7" xfId="0" applyFont="1" applyFill="1" applyBorder="1" applyAlignment="1" applyProtection="1"/>
    <xf numFmtId="0" fontId="6" fillId="4" borderId="5" xfId="0" applyFont="1" applyFill="1" applyBorder="1" applyAlignment="1" applyProtection="1">
      <alignment horizontal="center"/>
    </xf>
    <xf numFmtId="0" fontId="6" fillId="4" borderId="6" xfId="0" applyFont="1" applyFill="1" applyBorder="1" applyAlignment="1" applyProtection="1">
      <alignment horizontal="center"/>
    </xf>
    <xf numFmtId="0" fontId="6" fillId="4" borderId="7" xfId="0" applyFont="1" applyFill="1" applyBorder="1" applyAlignment="1" applyProtection="1">
      <alignment horizontal="center"/>
    </xf>
    <xf numFmtId="170" fontId="6" fillId="4" borderId="5" xfId="0" applyNumberFormat="1" applyFont="1" applyFill="1" applyBorder="1" applyAlignment="1" applyProtection="1">
      <alignment horizontal="center"/>
    </xf>
    <xf numFmtId="170" fontId="6" fillId="4" borderId="7" xfId="0" applyNumberFormat="1" applyFont="1" applyFill="1" applyBorder="1" applyAlignment="1" applyProtection="1">
      <alignment horizontal="center"/>
    </xf>
    <xf numFmtId="170" fontId="6" fillId="4" borderId="1" xfId="0" applyNumberFormat="1" applyFont="1" applyFill="1" applyBorder="1" applyAlignment="1" applyProtection="1">
      <alignment horizontal="center"/>
    </xf>
    <xf numFmtId="0" fontId="6" fillId="4" borderId="3" xfId="0" applyFont="1" applyFill="1" applyBorder="1" applyAlignment="1" applyProtection="1">
      <alignment horizontal="right"/>
    </xf>
    <xf numFmtId="0" fontId="6" fillId="4" borderId="1" xfId="0" applyFont="1" applyFill="1" applyBorder="1" applyAlignment="1" applyProtection="1">
      <alignment horizontal="right"/>
    </xf>
    <xf numFmtId="169" fontId="6" fillId="4" borderId="5" xfId="0" applyNumberFormat="1" applyFont="1" applyFill="1" applyBorder="1" applyAlignment="1" applyProtection="1">
      <alignment horizontal="center"/>
    </xf>
    <xf numFmtId="169" fontId="6" fillId="4" borderId="7" xfId="0" applyNumberFormat="1" applyFont="1" applyFill="1" applyBorder="1" applyAlignment="1" applyProtection="1">
      <alignment horizontal="center"/>
    </xf>
    <xf numFmtId="0" fontId="7" fillId="4" borderId="5" xfId="0" applyFont="1" applyFill="1" applyBorder="1" applyAlignment="1" applyProtection="1">
      <alignment horizontal="center"/>
    </xf>
    <xf numFmtId="0" fontId="7" fillId="4" borderId="6" xfId="0" applyFont="1" applyFill="1" applyBorder="1" applyAlignment="1" applyProtection="1">
      <alignment horizontal="center"/>
    </xf>
    <xf numFmtId="0" fontId="7" fillId="4" borderId="7" xfId="0" applyFont="1" applyFill="1" applyBorder="1" applyAlignment="1" applyProtection="1">
      <alignment horizontal="center"/>
    </xf>
    <xf numFmtId="0" fontId="6" fillId="0" borderId="0" xfId="0" applyFont="1" applyAlignment="1" applyProtection="1">
      <alignment horizontal="justify" vertical="top" wrapText="1"/>
    </xf>
    <xf numFmtId="0" fontId="7" fillId="4" borderId="5"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5" xfId="0" applyFont="1" applyFill="1" applyBorder="1" applyAlignment="1" applyProtection="1">
      <alignment horizontal="center" vertical="center" wrapText="1"/>
    </xf>
    <xf numFmtId="0" fontId="7" fillId="4" borderId="7" xfId="0" applyFont="1" applyFill="1" applyBorder="1" applyAlignment="1" applyProtection="1">
      <alignment horizontal="center" vertical="center" wrapText="1"/>
    </xf>
    <xf numFmtId="0" fontId="9" fillId="4" borderId="0" xfId="0" applyFont="1" applyFill="1" applyAlignment="1" applyProtection="1">
      <alignment horizontal="justify" vertical="top" wrapText="1"/>
    </xf>
    <xf numFmtId="0" fontId="6" fillId="4" borderId="0" xfId="0" applyFont="1" applyFill="1" applyAlignment="1" applyProtection="1">
      <alignment horizontal="justify" vertical="center" wrapText="1"/>
    </xf>
    <xf numFmtId="168" fontId="6" fillId="4" borderId="0" xfId="0" applyNumberFormat="1" applyFont="1" applyFill="1" applyAlignment="1" applyProtection="1">
      <alignment horizontal="left"/>
    </xf>
    <xf numFmtId="0" fontId="6" fillId="4" borderId="0" xfId="0" applyFont="1" applyFill="1" applyAlignment="1" applyProtection="1">
      <alignment horizontal="left" vertical="center" wrapText="1"/>
    </xf>
    <xf numFmtId="165" fontId="6" fillId="4" borderId="0" xfId="0" applyNumberFormat="1" applyFont="1" applyFill="1" applyAlignment="1" applyProtection="1">
      <alignment horizontal="right"/>
    </xf>
    <xf numFmtId="0" fontId="9" fillId="4" borderId="0" xfId="0" applyFont="1" applyFill="1" applyAlignment="1" applyProtection="1">
      <alignment horizontal="justify" vertical="top"/>
    </xf>
    <xf numFmtId="0" fontId="9" fillId="4" borderId="0" xfId="0" applyFont="1" applyFill="1" applyAlignment="1" applyProtection="1">
      <alignment horizontal="left" vertical="top" wrapText="1"/>
    </xf>
    <xf numFmtId="0" fontId="8" fillId="4" borderId="0" xfId="0" applyFont="1" applyFill="1" applyAlignment="1" applyProtection="1">
      <alignment horizontal="center"/>
    </xf>
    <xf numFmtId="0" fontId="10" fillId="4" borderId="9" xfId="8" applyFill="1" applyBorder="1" applyAlignment="1" applyProtection="1">
      <alignment horizontal="center"/>
    </xf>
    <xf numFmtId="0" fontId="4" fillId="4" borderId="4" xfId="0" applyFont="1" applyFill="1" applyBorder="1" applyAlignment="1" applyProtection="1">
      <alignment horizontal="center"/>
    </xf>
    <xf numFmtId="0" fontId="4" fillId="4" borderId="2" xfId="0" applyFont="1" applyFill="1" applyBorder="1" applyAlignment="1" applyProtection="1">
      <alignment horizontal="center"/>
    </xf>
    <xf numFmtId="0" fontId="4" fillId="4" borderId="10" xfId="0" applyFont="1" applyFill="1" applyBorder="1" applyAlignment="1" applyProtection="1">
      <alignment horizontal="center"/>
    </xf>
    <xf numFmtId="0" fontId="0" fillId="4" borderId="5" xfId="0" applyFont="1" applyFill="1" applyBorder="1" applyAlignment="1" applyProtection="1">
      <alignment horizontal="center"/>
    </xf>
    <xf numFmtId="0" fontId="4" fillId="4" borderId="6" xfId="0" applyFont="1" applyFill="1" applyBorder="1" applyAlignment="1" applyProtection="1">
      <alignment horizontal="center"/>
    </xf>
    <xf numFmtId="0" fontId="4" fillId="4" borderId="7" xfId="0" applyFont="1" applyFill="1" applyBorder="1" applyAlignment="1" applyProtection="1">
      <alignment horizontal="center"/>
    </xf>
    <xf numFmtId="0" fontId="11" fillId="5" borderId="5" xfId="0" applyFont="1" applyFill="1" applyBorder="1" applyAlignment="1" applyProtection="1">
      <alignment horizontal="center"/>
    </xf>
    <xf numFmtId="0" fontId="11" fillId="5" borderId="7" xfId="0" applyFont="1" applyFill="1" applyBorder="1" applyAlignment="1" applyProtection="1">
      <alignment horizontal="center"/>
    </xf>
    <xf numFmtId="0" fontId="4" fillId="3" borderId="1" xfId="0" applyFont="1" applyFill="1" applyBorder="1" applyAlignment="1" applyProtection="1">
      <alignment horizontal="center" vertical="center"/>
    </xf>
    <xf numFmtId="171" fontId="6" fillId="4" borderId="0" xfId="0" applyNumberFormat="1" applyFont="1" applyFill="1" applyAlignment="1" applyProtection="1">
      <alignment horizontal="left"/>
    </xf>
  </cellXfs>
  <cellStyles count="10">
    <cellStyle name="%" xfId="3" xr:uid="{00000000-0005-0000-0000-000000000000}"/>
    <cellStyle name="Currency" xfId="9" builtinId="4"/>
    <cellStyle name="Hyperlink" xfId="8" builtinId="8"/>
    <cellStyle name="Normal" xfId="0" builtinId="0"/>
    <cellStyle name="Normal 2" xfId="1" xr:uid="{00000000-0005-0000-0000-000004000000}"/>
    <cellStyle name="Normal 2 2" xfId="2" xr:uid="{00000000-0005-0000-0000-000005000000}"/>
    <cellStyle name="Normal 242" xfId="7" xr:uid="{00000000-0005-0000-0000-000006000000}"/>
    <cellStyle name="Normal 3" xfId="4" xr:uid="{00000000-0005-0000-0000-000007000000}"/>
    <cellStyle name="Normal 3 2" xfId="6" xr:uid="{00000000-0005-0000-0000-000008000000}"/>
    <cellStyle name="Normal 3 3" xfId="5" xr:uid="{00000000-0005-0000-0000-000009000000}"/>
  </cellStyles>
  <dxfs count="37">
    <dxf>
      <numFmt numFmtId="0" formatCode="General"/>
      <fill>
        <patternFill patternType="none">
          <fgColor indexed="64"/>
          <bgColor indexed="65"/>
        </patternFill>
      </fill>
    </dxf>
    <dxf>
      <numFmt numFmtId="0" formatCode="General"/>
      <fill>
        <patternFill patternType="solid">
          <fgColor indexed="64"/>
          <bgColor theme="7"/>
        </patternFill>
      </fill>
    </dxf>
    <dxf>
      <numFmt numFmtId="0" formatCode="General"/>
    </dxf>
    <dxf>
      <numFmt numFmtId="0" formatCode="Genera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dxf>
    <dxf>
      <numFmt numFmtId="0" formatCode="General"/>
    </dxf>
    <dxf>
      <numFmt numFmtId="27" formatCode="yyyy/mm/dd\ hh:mm"/>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27" formatCode="yyyy/mm/dd\ hh:mm"/>
    </dxf>
    <dxf>
      <numFmt numFmtId="0" formatCode="General"/>
    </dxf>
    <dxf>
      <numFmt numFmtId="0" formatCode="General"/>
    </dxf>
    <dxf>
      <numFmt numFmtId="19" formatCode="yyyy/mm/dd"/>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6"/>
      <tableStyleElement type="headerRow"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542925</xdr:colOff>
          <xdr:row>8</xdr:row>
          <xdr:rowOff>19050</xdr:rowOff>
        </xdr:from>
        <xdr:to>
          <xdr:col>16</xdr:col>
          <xdr:colOff>76200</xdr:colOff>
          <xdr:row>8</xdr:row>
          <xdr:rowOff>438150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Save in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20WORK/APOLLO%20TOWER/Apollo%20files/MY%20FOLDER%20APOLLO/SITE%20STATUS/BUILPACK%20MONITORING/Build%20Pack%20Monitor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te Database"/>
      <sheetName val="Site Database-Ph2"/>
      <sheetName val="PH 1"/>
      <sheetName val="PH 2"/>
      <sheetName val="PTD REPORT"/>
      <sheetName val="COW"/>
      <sheetName val="SITE INFO"/>
      <sheetName val="REGION SUMMARY"/>
      <sheetName val="STAGE STATUS"/>
      <sheetName val="REGION BP"/>
      <sheetName val="NEGO FORMULA"/>
      <sheetName val="WEEKLY PROGRESS REPORT"/>
      <sheetName val="Stamp Status"/>
      <sheetName val="Stamping Weekly Progress"/>
      <sheetName val="MONITOR"/>
      <sheetName val="forecast summary"/>
      <sheetName val="CANCELLED (2)"/>
      <sheetName val="forecast details"/>
      <sheetName val="MONITOR (2)"/>
      <sheetName val="WEEKLY FORECAST"/>
      <sheetName val="DAILY TASK"/>
      <sheetName val="YNGN SUMMARY"/>
      <sheetName val="SAR LV"/>
      <sheetName val="YNGN SUMMARY 4 PRINT"/>
      <sheetName val="SITE STATUS"/>
      <sheetName val="PH 1 CANCELLED"/>
      <sheetName val="PH 2 CANCELLED "/>
      <sheetName val="QUICK VIEW"/>
      <sheetName val="LEGEND"/>
      <sheetName val="NEGO STATUS"/>
      <sheetName val="FORMULA SAMPLE"/>
      <sheetName val="SCRATCH"/>
      <sheetName val="Sheet5"/>
      <sheetName val="Sheet6"/>
      <sheetName val="Sheet7"/>
      <sheetName val="717 Tower heights"/>
      <sheetName val="1081"/>
      <sheetName val="BP STATUS"/>
      <sheetName val="Reporting Summary"/>
      <sheetName val="CANCELLED"/>
      <sheetName val="PENDING"/>
      <sheetName val="ACCOMPLISHMENT"/>
      <sheetName val="LEGAL FORECAST"/>
      <sheetName val="NOVEMBER PRIORITY"/>
      <sheetName val="from priti"/>
      <sheetName val="TSSR UPDATE FORM"/>
      <sheetName val="TARGET TODAY"/>
      <sheetName val="TARGET TOMORROW"/>
      <sheetName val="update for Gurwinder"/>
      <sheetName val="ROBERT"/>
      <sheetName val="WERNER"/>
      <sheetName val="PENDING BP COMPLETED"/>
      <sheetName val="correction"/>
      <sheetName val="Sheet 1"/>
      <sheetName val="Sheet3"/>
      <sheetName val="Sheet4"/>
      <sheetName val="Sheet8"/>
      <sheetName val="WEEK 51 TARGET"/>
      <sheetName val="PH2 RFI PLAN"/>
      <sheetName val="SUMMARY"/>
      <sheetName val="Temporary"/>
      <sheetName val="Sheet1"/>
      <sheetName val="Sheet2"/>
    </sheetNames>
    <sheetDataSet>
      <sheetData sheetId="0" refreshError="1"/>
      <sheetData sheetId="1" refreshError="1">
        <row r="1">
          <cell r="A1">
            <v>718</v>
          </cell>
          <cell r="B1">
            <v>718</v>
          </cell>
          <cell r="C1">
            <v>718</v>
          </cell>
          <cell r="D1">
            <v>717</v>
          </cell>
          <cell r="E1">
            <v>9</v>
          </cell>
          <cell r="F1">
            <v>685</v>
          </cell>
          <cell r="G1">
            <v>685</v>
          </cell>
          <cell r="H1">
            <v>718</v>
          </cell>
          <cell r="I1">
            <v>718</v>
          </cell>
          <cell r="J1">
            <v>718</v>
          </cell>
          <cell r="K1">
            <v>718</v>
          </cell>
          <cell r="L1">
            <v>718</v>
          </cell>
          <cell r="M1">
            <v>718</v>
          </cell>
          <cell r="N1">
            <v>14</v>
          </cell>
          <cell r="O1">
            <v>27</v>
          </cell>
          <cell r="P1">
            <v>718</v>
          </cell>
          <cell r="Q1">
            <v>718</v>
          </cell>
          <cell r="R1">
            <v>718</v>
          </cell>
          <cell r="S1">
            <v>718</v>
          </cell>
          <cell r="T1">
            <v>717</v>
          </cell>
          <cell r="U1">
            <v>28</v>
          </cell>
          <cell r="V1">
            <v>27</v>
          </cell>
          <cell r="W1">
            <v>718</v>
          </cell>
          <cell r="X1">
            <v>718</v>
          </cell>
          <cell r="Y1">
            <v>718</v>
          </cell>
          <cell r="Z1">
            <v>581</v>
          </cell>
          <cell r="AA1">
            <v>718</v>
          </cell>
          <cell r="AB1">
            <v>718</v>
          </cell>
          <cell r="AC1">
            <v>718</v>
          </cell>
          <cell r="AD1">
            <v>28</v>
          </cell>
          <cell r="AE1">
            <v>28</v>
          </cell>
          <cell r="AF1">
            <v>28</v>
          </cell>
          <cell r="AG1">
            <v>26</v>
          </cell>
          <cell r="AH1">
            <v>22</v>
          </cell>
          <cell r="AI1">
            <v>7</v>
          </cell>
          <cell r="AJ1">
            <v>1</v>
          </cell>
          <cell r="AK1">
            <v>1</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B1">
            <v>0</v>
          </cell>
          <cell r="BC1">
            <v>26</v>
          </cell>
          <cell r="BD1">
            <v>15</v>
          </cell>
          <cell r="BE1">
            <v>365</v>
          </cell>
          <cell r="BF1">
            <v>26</v>
          </cell>
          <cell r="BG1">
            <v>28</v>
          </cell>
          <cell r="BH1">
            <v>718</v>
          </cell>
          <cell r="BI1">
            <v>0</v>
          </cell>
          <cell r="BJ1">
            <v>718</v>
          </cell>
          <cell r="BK1">
            <v>609</v>
          </cell>
          <cell r="BL1">
            <v>718</v>
          </cell>
          <cell r="BM1">
            <v>487</v>
          </cell>
          <cell r="BN1">
            <v>3</v>
          </cell>
          <cell r="BO1">
            <v>7</v>
          </cell>
          <cell r="BP1">
            <v>3</v>
          </cell>
          <cell r="BQ1">
            <v>5</v>
          </cell>
          <cell r="BR1">
            <v>6</v>
          </cell>
          <cell r="BS1">
            <v>1</v>
          </cell>
          <cell r="BT1">
            <v>609</v>
          </cell>
          <cell r="BU1">
            <v>718</v>
          </cell>
          <cell r="BV1">
            <v>528</v>
          </cell>
          <cell r="BW1">
            <v>522</v>
          </cell>
          <cell r="BX1">
            <v>522</v>
          </cell>
          <cell r="BY1">
            <v>595</v>
          </cell>
          <cell r="BZ1">
            <v>415</v>
          </cell>
          <cell r="CA1">
            <v>415</v>
          </cell>
          <cell r="CB1">
            <v>515</v>
          </cell>
          <cell r="CC1">
            <v>341</v>
          </cell>
          <cell r="CD1">
            <v>2</v>
          </cell>
          <cell r="CE1">
            <v>718</v>
          </cell>
          <cell r="CF1">
            <v>718</v>
          </cell>
          <cell r="CG1">
            <v>521</v>
          </cell>
          <cell r="CH1">
            <v>718</v>
          </cell>
          <cell r="CI1">
            <v>1</v>
          </cell>
          <cell r="CJ1">
            <v>423</v>
          </cell>
          <cell r="CK1">
            <v>414</v>
          </cell>
          <cell r="CL1">
            <v>414</v>
          </cell>
          <cell r="CM1">
            <v>412</v>
          </cell>
          <cell r="CN1">
            <v>718</v>
          </cell>
          <cell r="CO1">
            <v>718</v>
          </cell>
          <cell r="CP1">
            <v>420</v>
          </cell>
          <cell r="CQ1">
            <v>545</v>
          </cell>
          <cell r="CR1">
            <v>718</v>
          </cell>
          <cell r="CS1">
            <v>718</v>
          </cell>
          <cell r="CT1">
            <v>412</v>
          </cell>
          <cell r="CU1">
            <v>0</v>
          </cell>
          <cell r="CV1">
            <v>1</v>
          </cell>
          <cell r="CW1">
            <v>1</v>
          </cell>
          <cell r="CX1">
            <v>1</v>
          </cell>
          <cell r="CY1">
            <v>1</v>
          </cell>
          <cell r="CZ1">
            <v>0</v>
          </cell>
          <cell r="DA1">
            <v>0</v>
          </cell>
          <cell r="DB1">
            <v>1</v>
          </cell>
          <cell r="DC1">
            <v>0</v>
          </cell>
          <cell r="DD1">
            <v>0</v>
          </cell>
          <cell r="DE1">
            <v>1</v>
          </cell>
          <cell r="DF1">
            <v>1</v>
          </cell>
          <cell r="DG1">
            <v>1</v>
          </cell>
          <cell r="DH1">
            <v>718</v>
          </cell>
          <cell r="DI1">
            <v>718</v>
          </cell>
          <cell r="DJ1">
            <v>216</v>
          </cell>
          <cell r="DK1">
            <v>718</v>
          </cell>
          <cell r="DL1">
            <v>271</v>
          </cell>
          <cell r="DM1">
            <v>718</v>
          </cell>
          <cell r="DN1">
            <v>211</v>
          </cell>
          <cell r="DO1">
            <v>718</v>
          </cell>
          <cell r="DP1">
            <v>718</v>
          </cell>
          <cell r="DQ1">
            <v>214</v>
          </cell>
          <cell r="DR1">
            <v>26</v>
          </cell>
          <cell r="DS1">
            <v>10</v>
          </cell>
          <cell r="DT1">
            <v>718</v>
          </cell>
          <cell r="DU1">
            <v>718</v>
          </cell>
          <cell r="DV1">
            <v>21</v>
          </cell>
          <cell r="DW1">
            <v>718</v>
          </cell>
          <cell r="DX1">
            <v>0</v>
          </cell>
          <cell r="DY1">
            <v>718</v>
          </cell>
          <cell r="DZ1">
            <v>280</v>
          </cell>
          <cell r="EA1">
            <v>660</v>
          </cell>
          <cell r="EB1">
            <v>80</v>
          </cell>
          <cell r="EC1">
            <v>0</v>
          </cell>
          <cell r="ED1">
            <v>120</v>
          </cell>
          <cell r="EE1">
            <v>156</v>
          </cell>
          <cell r="EF1">
            <v>4</v>
          </cell>
          <cell r="EG1">
            <v>0</v>
          </cell>
          <cell r="EH1">
            <v>0</v>
          </cell>
          <cell r="EI1">
            <v>59</v>
          </cell>
          <cell r="EJ1">
            <v>718</v>
          </cell>
          <cell r="EK1">
            <v>718</v>
          </cell>
          <cell r="EL1">
            <v>147</v>
          </cell>
          <cell r="EM1">
            <v>718</v>
          </cell>
          <cell r="EN1">
            <v>124</v>
          </cell>
          <cell r="EO1">
            <v>0</v>
          </cell>
          <cell r="EP1">
            <v>0</v>
          </cell>
          <cell r="EQ1">
            <v>718</v>
          </cell>
          <cell r="ER1">
            <v>94</v>
          </cell>
          <cell r="ES1">
            <v>114</v>
          </cell>
          <cell r="ET1">
            <v>87</v>
          </cell>
          <cell r="EU1">
            <v>87</v>
          </cell>
          <cell r="EV1">
            <v>3</v>
          </cell>
          <cell r="EW1">
            <v>718</v>
          </cell>
          <cell r="EX1">
            <v>718</v>
          </cell>
          <cell r="EY1">
            <v>11</v>
          </cell>
          <cell r="EZ1">
            <v>718</v>
          </cell>
          <cell r="FA1">
            <v>90</v>
          </cell>
          <cell r="FB1">
            <v>718</v>
          </cell>
          <cell r="FC1">
            <v>88</v>
          </cell>
          <cell r="FD1">
            <v>28</v>
          </cell>
          <cell r="FE1">
            <v>50</v>
          </cell>
          <cell r="FF1">
            <v>28</v>
          </cell>
          <cell r="FG1">
            <v>10</v>
          </cell>
          <cell r="FH1">
            <v>28</v>
          </cell>
          <cell r="FI1">
            <v>1</v>
          </cell>
          <cell r="FJ1">
            <v>28</v>
          </cell>
          <cell r="FK1">
            <v>0</v>
          </cell>
          <cell r="FL1">
            <v>0</v>
          </cell>
          <cell r="FM1">
            <v>0</v>
          </cell>
          <cell r="FN1">
            <v>28</v>
          </cell>
          <cell r="FO1">
            <v>0</v>
          </cell>
          <cell r="FP1">
            <v>28</v>
          </cell>
          <cell r="FQ1">
            <v>0</v>
          </cell>
          <cell r="FR1">
            <v>28</v>
          </cell>
          <cell r="FS1">
            <v>8</v>
          </cell>
          <cell r="FT1">
            <v>8</v>
          </cell>
          <cell r="FU1">
            <v>718</v>
          </cell>
          <cell r="FV1">
            <v>28</v>
          </cell>
          <cell r="FW1">
            <v>718</v>
          </cell>
          <cell r="FX1">
            <v>81</v>
          </cell>
          <cell r="FY1">
            <v>113</v>
          </cell>
          <cell r="FZ1">
            <v>113</v>
          </cell>
          <cell r="GA1">
            <v>97</v>
          </cell>
          <cell r="GB1">
            <v>85</v>
          </cell>
          <cell r="GC1">
            <v>76</v>
          </cell>
          <cell r="GD1">
            <v>73</v>
          </cell>
          <cell r="GE1">
            <v>82</v>
          </cell>
          <cell r="GF1">
            <v>100</v>
          </cell>
          <cell r="GG1">
            <v>71</v>
          </cell>
          <cell r="GH1">
            <v>71</v>
          </cell>
          <cell r="GI1">
            <v>210</v>
          </cell>
          <cell r="GJ1">
            <v>717</v>
          </cell>
          <cell r="GK1">
            <v>71</v>
          </cell>
          <cell r="GL1">
            <v>26</v>
          </cell>
          <cell r="GM1">
            <v>0</v>
          </cell>
          <cell r="GN1">
            <v>91</v>
          </cell>
          <cell r="GO1">
            <v>83</v>
          </cell>
          <cell r="GP1">
            <v>59</v>
          </cell>
          <cell r="GQ1">
            <v>28</v>
          </cell>
          <cell r="GR1">
            <v>0</v>
          </cell>
          <cell r="GS1">
            <v>212</v>
          </cell>
          <cell r="GT1">
            <v>8</v>
          </cell>
          <cell r="GU1">
            <v>366</v>
          </cell>
          <cell r="GV1">
            <v>0</v>
          </cell>
          <cell r="GW1">
            <v>0</v>
          </cell>
          <cell r="GX1">
            <v>0</v>
          </cell>
          <cell r="GY1">
            <v>0</v>
          </cell>
          <cell r="GZ1">
            <v>0</v>
          </cell>
          <cell r="HA1">
            <v>0</v>
          </cell>
          <cell r="HB1">
            <v>0</v>
          </cell>
          <cell r="HC1">
            <v>0</v>
          </cell>
          <cell r="HD1">
            <v>718</v>
          </cell>
        </row>
        <row r="2">
          <cell r="A2">
            <v>718</v>
          </cell>
          <cell r="B2">
            <v>718</v>
          </cell>
          <cell r="C2">
            <v>718</v>
          </cell>
          <cell r="D2">
            <v>717</v>
          </cell>
          <cell r="E2">
            <v>9</v>
          </cell>
          <cell r="F2">
            <v>685</v>
          </cell>
          <cell r="G2">
            <v>685</v>
          </cell>
          <cell r="H2">
            <v>718</v>
          </cell>
          <cell r="I2">
            <v>718</v>
          </cell>
          <cell r="J2">
            <v>718</v>
          </cell>
          <cell r="K2">
            <v>718</v>
          </cell>
          <cell r="L2">
            <v>718</v>
          </cell>
          <cell r="M2">
            <v>718</v>
          </cell>
          <cell r="N2">
            <v>14</v>
          </cell>
          <cell r="O2">
            <v>27</v>
          </cell>
          <cell r="P2">
            <v>718</v>
          </cell>
          <cell r="Q2">
            <v>718</v>
          </cell>
          <cell r="R2">
            <v>718</v>
          </cell>
          <cell r="S2">
            <v>718</v>
          </cell>
          <cell r="T2">
            <v>717</v>
          </cell>
          <cell r="U2">
            <v>28</v>
          </cell>
          <cell r="V2">
            <v>27</v>
          </cell>
          <cell r="W2">
            <v>718</v>
          </cell>
          <cell r="X2">
            <v>718</v>
          </cell>
          <cell r="Y2">
            <v>718</v>
          </cell>
          <cell r="Z2">
            <v>581</v>
          </cell>
          <cell r="AA2">
            <v>718</v>
          </cell>
          <cell r="AB2">
            <v>718</v>
          </cell>
          <cell r="AC2">
            <v>718</v>
          </cell>
          <cell r="AD2">
            <v>28</v>
          </cell>
          <cell r="AE2">
            <v>28</v>
          </cell>
          <cell r="AF2">
            <v>28</v>
          </cell>
          <cell r="AG2">
            <v>26</v>
          </cell>
          <cell r="AH2">
            <v>22</v>
          </cell>
          <cell r="AI2">
            <v>7</v>
          </cell>
          <cell r="AJ2">
            <v>1</v>
          </cell>
          <cell r="AK2">
            <v>1</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v>0</v>
          </cell>
          <cell r="BA2">
            <v>0</v>
          </cell>
          <cell r="BB2">
            <v>0</v>
          </cell>
          <cell r="BC2">
            <v>26</v>
          </cell>
          <cell r="BD2">
            <v>15</v>
          </cell>
          <cell r="BE2">
            <v>365</v>
          </cell>
          <cell r="BF2">
            <v>26</v>
          </cell>
          <cell r="BG2">
            <v>28</v>
          </cell>
          <cell r="BH2">
            <v>718</v>
          </cell>
          <cell r="BI2">
            <v>0</v>
          </cell>
          <cell r="BJ2">
            <v>718</v>
          </cell>
          <cell r="BK2">
            <v>609</v>
          </cell>
          <cell r="BL2">
            <v>718</v>
          </cell>
          <cell r="BM2">
            <v>487</v>
          </cell>
          <cell r="BN2">
            <v>3</v>
          </cell>
          <cell r="BO2">
            <v>7</v>
          </cell>
          <cell r="BP2">
            <v>3</v>
          </cell>
          <cell r="BQ2">
            <v>5</v>
          </cell>
          <cell r="BR2">
            <v>6</v>
          </cell>
          <cell r="BS2">
            <v>1</v>
          </cell>
          <cell r="BT2">
            <v>609</v>
          </cell>
          <cell r="BU2">
            <v>718</v>
          </cell>
          <cell r="BV2">
            <v>528</v>
          </cell>
          <cell r="BW2">
            <v>522</v>
          </cell>
          <cell r="BX2">
            <v>522</v>
          </cell>
          <cell r="BY2">
            <v>595</v>
          </cell>
          <cell r="BZ2">
            <v>415</v>
          </cell>
          <cell r="CA2">
            <v>415</v>
          </cell>
          <cell r="CB2">
            <v>515</v>
          </cell>
          <cell r="CC2">
            <v>341</v>
          </cell>
          <cell r="CD2">
            <v>2</v>
          </cell>
          <cell r="CE2">
            <v>718</v>
          </cell>
          <cell r="CF2">
            <v>718</v>
          </cell>
          <cell r="CG2">
            <v>521</v>
          </cell>
          <cell r="CH2">
            <v>718</v>
          </cell>
          <cell r="CI2">
            <v>1</v>
          </cell>
          <cell r="CJ2">
            <v>423</v>
          </cell>
          <cell r="CK2">
            <v>414</v>
          </cell>
          <cell r="CL2">
            <v>414</v>
          </cell>
          <cell r="CM2">
            <v>412</v>
          </cell>
          <cell r="CN2">
            <v>718</v>
          </cell>
          <cell r="CO2">
            <v>718</v>
          </cell>
          <cell r="CP2">
            <v>420</v>
          </cell>
          <cell r="CQ2">
            <v>545</v>
          </cell>
          <cell r="CR2">
            <v>718</v>
          </cell>
          <cell r="CS2">
            <v>718</v>
          </cell>
          <cell r="CT2">
            <v>412</v>
          </cell>
          <cell r="CU2">
            <v>0</v>
          </cell>
          <cell r="CV2">
            <v>1</v>
          </cell>
          <cell r="CW2">
            <v>1</v>
          </cell>
          <cell r="CX2">
            <v>1</v>
          </cell>
          <cell r="CY2">
            <v>1</v>
          </cell>
          <cell r="CZ2">
            <v>0</v>
          </cell>
          <cell r="DA2">
            <v>0</v>
          </cell>
          <cell r="DB2">
            <v>1</v>
          </cell>
          <cell r="DC2">
            <v>0</v>
          </cell>
          <cell r="DD2">
            <v>0</v>
          </cell>
          <cell r="DE2">
            <v>1</v>
          </cell>
          <cell r="DF2">
            <v>1</v>
          </cell>
          <cell r="DG2">
            <v>1</v>
          </cell>
          <cell r="DH2">
            <v>718</v>
          </cell>
          <cell r="DI2">
            <v>718</v>
          </cell>
          <cell r="DJ2">
            <v>216</v>
          </cell>
          <cell r="DK2">
            <v>718</v>
          </cell>
          <cell r="DL2">
            <v>271</v>
          </cell>
          <cell r="DM2">
            <v>718</v>
          </cell>
          <cell r="DN2">
            <v>211</v>
          </cell>
          <cell r="DO2">
            <v>718</v>
          </cell>
          <cell r="DP2">
            <v>718</v>
          </cell>
          <cell r="DQ2">
            <v>214</v>
          </cell>
          <cell r="DR2">
            <v>26</v>
          </cell>
          <cell r="DS2">
            <v>10</v>
          </cell>
          <cell r="DT2">
            <v>718</v>
          </cell>
          <cell r="DU2">
            <v>718</v>
          </cell>
          <cell r="DV2">
            <v>21</v>
          </cell>
          <cell r="DW2">
            <v>718</v>
          </cell>
          <cell r="DX2">
            <v>0</v>
          </cell>
          <cell r="DY2">
            <v>718</v>
          </cell>
          <cell r="DZ2">
            <v>280</v>
          </cell>
          <cell r="EA2">
            <v>660</v>
          </cell>
          <cell r="EB2">
            <v>80</v>
          </cell>
          <cell r="EC2">
            <v>0</v>
          </cell>
          <cell r="ED2">
            <v>120</v>
          </cell>
          <cell r="EE2">
            <v>156</v>
          </cell>
          <cell r="EF2">
            <v>4</v>
          </cell>
          <cell r="EG2">
            <v>0</v>
          </cell>
          <cell r="EH2">
            <v>0</v>
          </cell>
          <cell r="EI2">
            <v>59</v>
          </cell>
          <cell r="EJ2">
            <v>718</v>
          </cell>
          <cell r="EK2">
            <v>718</v>
          </cell>
          <cell r="EL2">
            <v>147</v>
          </cell>
          <cell r="EM2">
            <v>718</v>
          </cell>
          <cell r="EN2">
            <v>124</v>
          </cell>
          <cell r="EO2">
            <v>0</v>
          </cell>
          <cell r="EP2">
            <v>0</v>
          </cell>
          <cell r="EQ2">
            <v>718</v>
          </cell>
          <cell r="ER2">
            <v>94</v>
          </cell>
          <cell r="ES2">
            <v>114</v>
          </cell>
          <cell r="ET2">
            <v>87</v>
          </cell>
          <cell r="EU2">
            <v>87</v>
          </cell>
          <cell r="EV2">
            <v>3</v>
          </cell>
          <cell r="EW2">
            <v>718</v>
          </cell>
          <cell r="EX2">
            <v>718</v>
          </cell>
          <cell r="EY2">
            <v>11</v>
          </cell>
          <cell r="EZ2">
            <v>718</v>
          </cell>
          <cell r="FA2">
            <v>90</v>
          </cell>
          <cell r="FB2">
            <v>718</v>
          </cell>
          <cell r="FC2">
            <v>88</v>
          </cell>
          <cell r="FD2">
            <v>28</v>
          </cell>
          <cell r="FE2">
            <v>50</v>
          </cell>
          <cell r="FF2">
            <v>28</v>
          </cell>
          <cell r="FG2">
            <v>10</v>
          </cell>
          <cell r="FH2">
            <v>28</v>
          </cell>
          <cell r="FI2">
            <v>1</v>
          </cell>
          <cell r="FJ2">
            <v>28</v>
          </cell>
          <cell r="FK2">
            <v>0</v>
          </cell>
          <cell r="FL2">
            <v>0</v>
          </cell>
          <cell r="FM2">
            <v>0</v>
          </cell>
          <cell r="FN2">
            <v>28</v>
          </cell>
          <cell r="FO2">
            <v>0</v>
          </cell>
          <cell r="FP2">
            <v>28</v>
          </cell>
          <cell r="FQ2">
            <v>0</v>
          </cell>
          <cell r="FR2">
            <v>28</v>
          </cell>
          <cell r="FS2">
            <v>8</v>
          </cell>
          <cell r="FT2">
            <v>8</v>
          </cell>
          <cell r="FU2">
            <v>718</v>
          </cell>
          <cell r="FV2">
            <v>28</v>
          </cell>
          <cell r="FW2">
            <v>718</v>
          </cell>
          <cell r="FX2">
            <v>81</v>
          </cell>
          <cell r="FY2">
            <v>113</v>
          </cell>
          <cell r="FZ2">
            <v>113</v>
          </cell>
          <cell r="GA2">
            <v>97</v>
          </cell>
          <cell r="GB2">
            <v>85</v>
          </cell>
          <cell r="GC2">
            <v>76</v>
          </cell>
          <cell r="GD2">
            <v>73</v>
          </cell>
          <cell r="GE2">
            <v>82</v>
          </cell>
          <cell r="GF2">
            <v>100</v>
          </cell>
          <cell r="GG2">
            <v>71</v>
          </cell>
          <cell r="GH2">
            <v>71</v>
          </cell>
          <cell r="GI2">
            <v>210</v>
          </cell>
          <cell r="GJ2">
            <v>717</v>
          </cell>
          <cell r="GK2">
            <v>71</v>
          </cell>
          <cell r="GL2">
            <v>26</v>
          </cell>
          <cell r="GM2">
            <v>0</v>
          </cell>
          <cell r="GN2">
            <v>91</v>
          </cell>
          <cell r="GO2">
            <v>83</v>
          </cell>
          <cell r="GP2">
            <v>59</v>
          </cell>
          <cell r="GQ2">
            <v>28</v>
          </cell>
          <cell r="GR2">
            <v>0</v>
          </cell>
          <cell r="GS2">
            <v>212</v>
          </cell>
          <cell r="GT2">
            <v>8</v>
          </cell>
          <cell r="GU2">
            <v>366</v>
          </cell>
          <cell r="GV2">
            <v>0</v>
          </cell>
          <cell r="GW2">
            <v>0</v>
          </cell>
          <cell r="GX2">
            <v>0</v>
          </cell>
          <cell r="GY2">
            <v>0</v>
          </cell>
          <cell r="GZ2">
            <v>0</v>
          </cell>
          <cell r="HA2">
            <v>0</v>
          </cell>
          <cell r="HB2">
            <v>0</v>
          </cell>
          <cell r="HC2">
            <v>0</v>
          </cell>
          <cell r="HD2">
            <v>718</v>
          </cell>
        </row>
        <row r="3">
          <cell r="A3" t="str">
            <v>Telenor SITECODE</v>
          </cell>
          <cell r="B3" t="str">
            <v>Towerco Site Reference</v>
          </cell>
          <cell r="C3" t="str">
            <v>TOWER VENDOR</v>
          </cell>
          <cell r="D3" t="str">
            <v>Towerco Regional Manager</v>
          </cell>
          <cell r="E3" t="str">
            <v>Towerco Cluster Manager</v>
          </cell>
          <cell r="F3" t="str">
            <v>TML RM</v>
          </cell>
          <cell r="G3" t="str">
            <v>TML CPM</v>
          </cell>
          <cell r="H3" t="str">
            <v>Site Status</v>
          </cell>
          <cell r="I3" t="str">
            <v>NORTH/ SOUTH</v>
          </cell>
          <cell r="J3" t="str">
            <v>Nominal Longitude</v>
          </cell>
          <cell r="K3" t="str">
            <v>Nominal Latitude</v>
          </cell>
          <cell r="L3" t="str">
            <v>SITE AREA TYPE</v>
          </cell>
          <cell r="M3" t="str">
            <v>REGION / STATE</v>
          </cell>
          <cell r="N3" t="str">
            <v>CITY / TOWNSHIP</v>
          </cell>
          <cell r="O3" t="str">
            <v>TOWN</v>
          </cell>
          <cell r="P3" t="str">
            <v>Mkt Cluster Name</v>
          </cell>
          <cell r="Q3" t="str">
            <v>Marketing Cluster</v>
          </cell>
          <cell r="R3" t="str">
            <v>Marketing Mini Cluster</v>
          </cell>
          <cell r="S3" t="str">
            <v>Marketing Mini Cluster Number</v>
          </cell>
          <cell r="T3" t="str">
            <v>Network Type</v>
          </cell>
          <cell r="U3" t="str">
            <v>NW New Cluster</v>
          </cell>
          <cell r="V3" t="str">
            <v>REVISED Rollout CLUSTER PRIORITY</v>
          </cell>
          <cell r="W3" t="str">
            <v>Revised Coverage Priority</v>
          </cell>
          <cell r="X3" t="str">
            <v>Max Antenna height</v>
          </cell>
          <cell r="Y3" t="str">
            <v>Plan Tower Height</v>
          </cell>
          <cell r="Z3" t="str">
            <v>SITE TYPE</v>
          </cell>
          <cell r="AA3" t="str">
            <v>SEARCH RADIUS (in meter)</v>
          </cell>
          <cell r="AB3" t="str">
            <v>ACCESS/HUB SITE</v>
          </cell>
          <cell r="AC3" t="str">
            <v>Site Class</v>
          </cell>
          <cell r="AD3" t="str">
            <v>TYPICAL POWER CONSUMPTION (WATT)</v>
          </cell>
          <cell r="AE3" t="str">
            <v>MAX POWER CONSUMPTION (WATT)</v>
          </cell>
          <cell r="AF3" t="str">
            <v>MAX NUMBER OF MW ANTENNA</v>
          </cell>
          <cell r="AG3" t="str">
            <v>Up Link Site ID 1</v>
          </cell>
          <cell r="AH3" t="str">
            <v>Up Link Site ID 2</v>
          </cell>
          <cell r="AI3" t="str">
            <v>Up Link Site ID 3</v>
          </cell>
          <cell r="AJ3" t="str">
            <v>Up Link Site ID 4</v>
          </cell>
          <cell r="AK3" t="str">
            <v>Up Link Site ID 5</v>
          </cell>
          <cell r="AL3" t="str">
            <v>Up Link Site ID 6</v>
          </cell>
          <cell r="AM3" t="str">
            <v>Up Link Site ID 7</v>
          </cell>
          <cell r="AN3" t="str">
            <v>Up Link Site ID 8</v>
          </cell>
          <cell r="AO3" t="str">
            <v>Up Link Site ID 9</v>
          </cell>
          <cell r="AP3" t="str">
            <v>Up Link Site ID 10</v>
          </cell>
          <cell r="AQ3" t="str">
            <v>Up Link Site ID 11</v>
          </cell>
          <cell r="AR3" t="str">
            <v>Up Link Site ID 12</v>
          </cell>
          <cell r="AS3" t="str">
            <v>Up Link Site ID 13</v>
          </cell>
          <cell r="AT3" t="str">
            <v>Up Link Site ID 14</v>
          </cell>
          <cell r="AU3" t="str">
            <v>Up Link Site ID 15</v>
          </cell>
          <cell r="AV3" t="str">
            <v>Up Link Site ID 16</v>
          </cell>
          <cell r="AW3" t="str">
            <v>Up Link Site ID 17</v>
          </cell>
          <cell r="AX3" t="str">
            <v>Up Link Site ID 18</v>
          </cell>
          <cell r="AY3" t="str">
            <v>Up Link Site ID 19</v>
          </cell>
          <cell r="AZ3" t="str">
            <v>Up Link Site ID 20</v>
          </cell>
          <cell r="BA3" t="str">
            <v>Up Link Site ID 21</v>
          </cell>
          <cell r="BB3" t="str">
            <v>Up Link Site ID 22</v>
          </cell>
          <cell r="BC3" t="str">
            <v>Hub Link</v>
          </cell>
          <cell r="BD3" t="str">
            <v>Fiber Route ID</v>
          </cell>
          <cell r="BE3" t="str">
            <v>Fiber Route Name</v>
          </cell>
          <cell r="BF3" t="str">
            <v>Plan Transmission Ready Date</v>
          </cell>
          <cell r="BG3" t="str">
            <v>Actual Transmission Ready Date</v>
          </cell>
          <cell r="BH3" t="str">
            <v xml:space="preserve">SA VENDOR </v>
          </cell>
          <cell r="BI3" t="str">
            <v>Site Hunting Team/ Name</v>
          </cell>
          <cell r="BJ3" t="str">
            <v xml:space="preserve">PLAN SITE HUNTING START DATE </v>
          </cell>
          <cell r="BK3" t="str">
            <v xml:space="preserve">ACTUAL SITE HUNTING START DATE </v>
          </cell>
          <cell r="BL3" t="str">
            <v>PLAN SITE HUNTING DONE DATE</v>
          </cell>
          <cell r="BM3" t="str">
            <v>ACTUAL SITE HUNTING DONE DATE</v>
          </cell>
          <cell r="BN3" t="str">
            <v>SA Critical Site Status</v>
          </cell>
          <cell r="BO3" t="str">
            <v>SA Critical Issue Date</v>
          </cell>
          <cell r="BP3" t="str">
            <v>SA Critical Site Action Taken</v>
          </cell>
          <cell r="BQ3" t="str">
            <v>SA Critical Location Address/Entity</v>
          </cell>
          <cell r="BR3" t="str">
            <v>Comments with Date</v>
          </cell>
          <cell r="BS3" t="str">
            <v>Resolution Date</v>
          </cell>
          <cell r="BT3" t="str">
            <v>Days Passed [Hunting Start to SAR Sub]</v>
          </cell>
          <cell r="BU3" t="str">
            <v>PLAN SAR SUBMISSION DATE</v>
          </cell>
          <cell r="BV3" t="str">
            <v>ACTUAL SAR SUBMISSION DATE</v>
          </cell>
          <cell r="BW3" t="str">
            <v>Candidate Longitude</v>
          </cell>
          <cell r="BX3" t="str">
            <v>Candidate Latitude</v>
          </cell>
          <cell r="BY3" t="str">
            <v>Candidate Chosen (Y/N)</v>
          </cell>
          <cell r="BZ3" t="str">
            <v>Address of Site</v>
          </cell>
          <cell r="CA3" t="str">
            <v>Land Owner Name &amp; Contact no</v>
          </cell>
          <cell r="CB3" t="str">
            <v>Change Log</v>
          </cell>
          <cell r="CC3" t="str">
            <v>SA Comments</v>
          </cell>
          <cell r="CD3" t="str">
            <v>Building Height for Roof Top (m)</v>
          </cell>
          <cell r="CE3" t="str">
            <v>Days Passed [SAR Sub to App]</v>
          </cell>
          <cell r="CF3" t="str">
            <v>PLAN SITE SURVEY APPROVAL DATE</v>
          </cell>
          <cell r="CG3" t="str">
            <v>ACTUAL SITE SURVEY APPROVAL DATE</v>
          </cell>
          <cell r="CH3" t="str">
            <v>PLAN TSS DATE</v>
          </cell>
          <cell r="CI3" t="str">
            <v>TSS Vendor - Team</v>
          </cell>
          <cell r="CJ3" t="str">
            <v>ACTUAL TSS DATE</v>
          </cell>
          <cell r="CK3" t="str">
            <v>Actual Antenna Height (Max)</v>
          </cell>
          <cell r="CL3" t="str">
            <v>TML Tower height  requirement</v>
          </cell>
          <cell r="CM3" t="str">
            <v>ACTUAL TOWER HEIGHT</v>
          </cell>
          <cell r="CN3" t="str">
            <v>Days Passed [SAR App to TSSR Sub]</v>
          </cell>
          <cell r="CO3" t="str">
            <v>PLAN TSSR SUBMISSION DATE</v>
          </cell>
          <cell r="CP3" t="str">
            <v>ACTUAL TSSR SUBMISSION DATE</v>
          </cell>
          <cell r="CQ3" t="str">
            <v>PLAN POWER MODEL</v>
          </cell>
          <cell r="CR3" t="str">
            <v>Days Passed [TSSR Sub to App]</v>
          </cell>
          <cell r="CS3" t="str">
            <v>PLAN TSSR APPROVAL DATE</v>
          </cell>
          <cell r="CT3" t="str">
            <v>ACTUAL TSSR APPROVAL DATE</v>
          </cell>
          <cell r="CU3" t="str">
            <v>Cover Letter</v>
          </cell>
          <cell r="CV3" t="str">
            <v>Pre Lease / Lease Contract</v>
          </cell>
          <cell r="CW3" t="str">
            <v>NRC &amp; Power of Attorney if needed</v>
          </cell>
          <cell r="CX3" t="str">
            <v>Grant or F105 or Deed sale</v>
          </cell>
          <cell r="CY3" t="str">
            <v>Neighbor's Consent'</v>
          </cell>
          <cell r="CZ3" t="str">
            <v>NC approved by Township</v>
          </cell>
          <cell r="DA3" t="str">
            <v>Admission/Confession Letter from Tower Co</v>
          </cell>
          <cell r="DB3" t="str">
            <v>Lease Contract Stamp</v>
          </cell>
          <cell r="DC3" t="str">
            <v>Building Permit Application form</v>
          </cell>
          <cell r="DD3" t="str">
            <v>Admission Letter SE &amp; LE</v>
          </cell>
          <cell r="DE3" t="str">
            <v>Signed Structural Drawing</v>
          </cell>
          <cell r="DF3" t="str">
            <v>Soil Test</v>
          </cell>
          <cell r="DG3" t="str">
            <v>BOQ</v>
          </cell>
          <cell r="DH3" t="str">
            <v>Days Passed [TSSR App to BP Ready]</v>
          </cell>
          <cell r="DI3" t="str">
            <v>Plan DOC Ready for Submit for Built Permission</v>
          </cell>
          <cell r="DJ3" t="str">
            <v>Actual DOC Ready for Submit for Built Permission</v>
          </cell>
          <cell r="DK3" t="str">
            <v>PLAN SITE LEASE SIGNING DATE</v>
          </cell>
          <cell r="DL3" t="str">
            <v>ACTUAL SITE LEASE SIGNING DATE</v>
          </cell>
          <cell r="DM3" t="str">
            <v>Plan Payment to Owner</v>
          </cell>
          <cell r="DN3" t="str">
            <v>Actual Payment to Owner</v>
          </cell>
          <cell r="DO3" t="str">
            <v>Days Passed [BP Ready to Sub]</v>
          </cell>
          <cell r="DP3" t="str">
            <v>PLAN SUBMIT DATE FOR BUILT PERMISSION</v>
          </cell>
          <cell r="DQ3" t="str">
            <v>ACTUAL SUBMIT DATE FOR BUILT PERMISSION</v>
          </cell>
          <cell r="DR3" t="str">
            <v>BUILT PERMISSION AUTHORITY</v>
          </cell>
          <cell r="DS3" t="str">
            <v>BUILT PERMISSION AUTHORITY CONTACT</v>
          </cell>
          <cell r="DT3" t="str">
            <v>Days Passed [BP Sub to Recvd]</v>
          </cell>
          <cell r="DU3" t="str">
            <v>PLAN BUILT PERMISSION RECEIVED DATE</v>
          </cell>
          <cell r="DV3" t="str">
            <v>ACTUAL BUILT PERMISSION RECEIVED DATE</v>
          </cell>
          <cell r="DW3" t="str">
            <v>Days Passed [BP Recvd to CW Start]</v>
          </cell>
          <cell r="DX3" t="str">
            <v>Built Permission Comments</v>
          </cell>
          <cell r="DY3" t="str">
            <v>PLAN CW START DATE</v>
          </cell>
          <cell r="DZ3" t="str">
            <v>ACTUAL CW START DATE</v>
          </cell>
          <cell r="EA3" t="str">
            <v>CW VENDOR NAME</v>
          </cell>
          <cell r="EB3" t="str">
            <v>ON HOLD</v>
          </cell>
          <cell r="EC3" t="str">
            <v>Mitigation</v>
          </cell>
          <cell r="ED3" t="str">
            <v>CW Current Status</v>
          </cell>
          <cell r="EE3" t="str">
            <v>CW Comments</v>
          </cell>
          <cell r="EF3" t="str">
            <v>CW Sub Contractor</v>
          </cell>
          <cell r="EG3" t="str">
            <v>Site Supervisor</v>
          </cell>
          <cell r="EH3" t="str">
            <v>Power Shipment Tracking Number</v>
          </cell>
          <cell r="EI3" t="str">
            <v>ACTUAL POWER MODEL</v>
          </cell>
          <cell r="EJ3" t="str">
            <v>Days Passed [CW Start to Foundn]</v>
          </cell>
          <cell r="EK3" t="str">
            <v>PLAN FOUNDATION WORK DONE DATE</v>
          </cell>
          <cell r="EL3" t="str">
            <v>ACTUAL FOUNDATION WORK DONE DATE</v>
          </cell>
          <cell r="EM3" t="str">
            <v>PLAN TOWER ON SITE DATE</v>
          </cell>
          <cell r="EN3" t="str">
            <v>ACTUAL TOWER ON SITE DATE</v>
          </cell>
          <cell r="EO3" t="str">
            <v>Tower Shipment Tracking Number</v>
          </cell>
          <cell r="EP3" t="str">
            <v>TOWER VENDOR NAME</v>
          </cell>
          <cell r="EQ3" t="str">
            <v>PLAN TOWER ERECTION DONE DATE</v>
          </cell>
          <cell r="ER3" t="str">
            <v>ACTUAL TOWER ERECTION DONE DATE</v>
          </cell>
          <cell r="ES3" t="str">
            <v>EQP PLATFORM READY</v>
          </cell>
          <cell r="ET3" t="str">
            <v>CABLE LADDER READY</v>
          </cell>
          <cell r="EU3" t="str">
            <v>GROUNDING DONE</v>
          </cell>
          <cell r="EV3" t="str">
            <v>SECURITY ENSURE DATE</v>
          </cell>
          <cell r="EW3" t="str">
            <v>Days Passed [CW Start to Complete]</v>
          </cell>
          <cell r="EX3" t="str">
            <v>PLAN CW COMPLETION DATE</v>
          </cell>
          <cell r="EY3" t="str">
            <v>ACTUAL CW COMPLETION DATE</v>
          </cell>
          <cell r="EZ3" t="str">
            <v>PLAN POWER EQUIPMENT AT SITE</v>
          </cell>
          <cell r="FA3" t="str">
            <v>ACTUAL POWER EQUIPMENT AT SITE</v>
          </cell>
          <cell r="FB3" t="str">
            <v>PLAN POWER EQP INST. DONE</v>
          </cell>
          <cell r="FC3" t="str">
            <v>ACTUAL POWER EQP INST. DONE</v>
          </cell>
          <cell r="FD3" t="str">
            <v>PLAN POWER CONNECTION QUOTATION REQUEST DATE</v>
          </cell>
          <cell r="FE3" t="str">
            <v>ACTUAL POWER CONNECTION QUOTATION REQUEST DATE</v>
          </cell>
          <cell r="FF3" t="str">
            <v>PLAN POWER CONNECTION QUOTATION RECVD DATE</v>
          </cell>
          <cell r="FG3" t="str">
            <v>ACTUAL POWER CONNECTION QUOTATION RECVD DATE</v>
          </cell>
          <cell r="FH3" t="str">
            <v>PLAN POWER CONNECTION QUOTATION SUBMIT DATE</v>
          </cell>
          <cell r="FI3" t="str">
            <v>ACTUAL POWER CONNECTION QUOTATION SUBMIT DATE</v>
          </cell>
          <cell r="FJ3" t="str">
            <v>PLAN POWER CONNECTION QUOTATION APPROVED DATE</v>
          </cell>
          <cell r="FK3" t="str">
            <v>ACTUAL POWER CONNECTION QUOTATION APPROVED DATE</v>
          </cell>
          <cell r="FL3" t="str">
            <v>PLAN POWER CONNECTION INVOICE RECVD DATE</v>
          </cell>
          <cell r="FM3" t="str">
            <v>ACTUAL POWER CONNECTION INVOICE RECVD DATE</v>
          </cell>
          <cell r="FN3" t="str">
            <v>PLAN POWER CONNECTION DOWN PAYMENT DATE</v>
          </cell>
          <cell r="FO3" t="str">
            <v>ACTUAL POWER CONNECTION DOWN PAYMENT DATE</v>
          </cell>
          <cell r="FP3" t="str">
            <v>PLAN POWER CONNECTION APPLICATION DATE</v>
          </cell>
          <cell r="FQ3" t="str">
            <v>ACTUAL POWER CONNECTION APPLICATION DATE</v>
          </cell>
          <cell r="FR3" t="str">
            <v>PLAN POWER CONNECTION READY DATE</v>
          </cell>
          <cell r="FS3" t="str">
            <v>ACTUAL POWER CONNECTION READY DATE</v>
          </cell>
          <cell r="FT3" t="str">
            <v>REMARKS ON POWER CONNECTION</v>
          </cell>
          <cell r="FU3" t="str">
            <v>SITE RFI SUBMSSION PLAN</v>
          </cell>
          <cell r="FV3" t="str">
            <v>SITE RFI SUBMISSION ACTUAL</v>
          </cell>
          <cell r="FW3" t="str">
            <v>READY FOR TELECOM EQUIPMENT PLAN</v>
          </cell>
          <cell r="FX3" t="str">
            <v>READY FOR TELECOM EQUIPMENT ACTUAL</v>
          </cell>
          <cell r="FY3" t="str">
            <v>ASP</v>
          </cell>
          <cell r="FZ3" t="str">
            <v>SMR to WH</v>
          </cell>
          <cell r="GA3" t="str">
            <v>Actual NW Equipment at site</v>
          </cell>
          <cell r="GB3" t="str">
            <v>Equipment Installation Start</v>
          </cell>
          <cell r="GC3" t="str">
            <v>Cabinet Installation</v>
          </cell>
          <cell r="GD3" t="str">
            <v>NE TRM</v>
          </cell>
          <cell r="GE3" t="str">
            <v>FE TRM</v>
          </cell>
          <cell r="GF3" t="str">
            <v>TRM Commission</v>
          </cell>
          <cell r="GG3" t="str">
            <v>Alignment</v>
          </cell>
          <cell r="GH3" t="str">
            <v>TRM Path Integration</v>
          </cell>
          <cell r="GI3" t="str">
            <v>Plan On-Air</v>
          </cell>
          <cell r="GJ3" t="str">
            <v>Plan On-Air Week</v>
          </cell>
          <cell r="GK3" t="str">
            <v>Actual On-Air</v>
          </cell>
          <cell r="GL3" t="str">
            <v>TI Dependency</v>
          </cell>
          <cell r="GM3" t="str">
            <v>Site Cutover Date</v>
          </cell>
          <cell r="GN3" t="str">
            <v>TI VENDOR</v>
          </cell>
          <cell r="GO3" t="str">
            <v>Site Acq Compliance check date</v>
          </cell>
          <cell r="GP3" t="str">
            <v>HSSE Inspection CW</v>
          </cell>
          <cell r="GQ3" t="str">
            <v>TI Status</v>
          </cell>
          <cell r="GR3" t="str">
            <v>TI dismantle Date</v>
          </cell>
          <cell r="GS3" t="str">
            <v>2G Configuration</v>
          </cell>
          <cell r="GT3" t="str">
            <v>3G Configuration</v>
          </cell>
          <cell r="GU3" t="str">
            <v>TND Configuration</v>
          </cell>
          <cell r="GV3" t="str">
            <v>OML Order Date</v>
          </cell>
          <cell r="GW3" t="str">
            <v>OML TSSR Date</v>
          </cell>
          <cell r="GX3" t="str">
            <v>OML TI Start Date</v>
          </cell>
          <cell r="GY3" t="str">
            <v>OML On Air Date</v>
          </cell>
          <cell r="GZ3" t="str">
            <v>MPT Order Date</v>
          </cell>
          <cell r="HA3" t="str">
            <v>MPT TSSR Date</v>
          </cell>
          <cell r="HB3" t="str">
            <v>MPT TI Start Date</v>
          </cell>
          <cell r="HC3" t="str">
            <v>MPT On Air Date</v>
          </cell>
          <cell r="HD3" t="str">
            <v>No Of Tenant</v>
          </cell>
        </row>
        <row r="4">
          <cell r="A4" t="str">
            <v>AY0907</v>
          </cell>
          <cell r="B4" t="str">
            <v>ACAY_0065</v>
          </cell>
          <cell r="C4" t="str">
            <v>Apollo</v>
          </cell>
          <cell r="D4" t="str">
            <v>Emilio Ruiz</v>
          </cell>
          <cell r="F4" t="str">
            <v>Phyo Wai Maung</v>
          </cell>
          <cell r="G4" t="str">
            <v>Thiha Kyaw</v>
          </cell>
          <cell r="H4" t="str">
            <v>WHITE</v>
          </cell>
          <cell r="I4" t="str">
            <v>South</v>
          </cell>
          <cell r="J4" t="str">
            <v>95.203</v>
          </cell>
          <cell r="K4" t="str">
            <v>17.0419</v>
          </cell>
          <cell r="L4" t="str">
            <v>Rural</v>
          </cell>
          <cell r="M4" t="str">
            <v>Ayeyarwady</v>
          </cell>
          <cell r="N4" t="str">
            <v>Kyaunggon</v>
          </cell>
          <cell r="O4" t="str">
            <v>Kyaunggon</v>
          </cell>
          <cell r="P4" t="str">
            <v>Pathein</v>
          </cell>
          <cell r="Q4" t="str">
            <v>14</v>
          </cell>
          <cell r="R4" t="str">
            <v>Kyaunggon</v>
          </cell>
          <cell r="S4" t="str">
            <v>303</v>
          </cell>
          <cell r="T4" t="str">
            <v>GSM+UMTS</v>
          </cell>
          <cell r="W4" t="str">
            <v>Ph2-Priority</v>
          </cell>
          <cell r="X4" t="str">
            <v>45</v>
          </cell>
          <cell r="Y4" t="str">
            <v>47</v>
          </cell>
          <cell r="Z4" t="str">
            <v>GBT</v>
          </cell>
          <cell r="AA4" t="str">
            <v>500</v>
          </cell>
          <cell r="AB4" t="str">
            <v>Access</v>
          </cell>
          <cell r="AC4" t="str">
            <v>Class C</v>
          </cell>
          <cell r="BE4" t="str">
            <v>Route 5 Yangon - Pathein</v>
          </cell>
          <cell r="BH4" t="str">
            <v>IENG</v>
          </cell>
          <cell r="BJ4">
            <v>42136</v>
          </cell>
          <cell r="BK4">
            <v>42120</v>
          </cell>
          <cell r="BL4">
            <v>42141</v>
          </cell>
          <cell r="BM4">
            <v>42127</v>
          </cell>
          <cell r="BT4">
            <v>17</v>
          </cell>
          <cell r="BU4">
            <v>42125</v>
          </cell>
          <cell r="BV4">
            <v>42137</v>
          </cell>
          <cell r="BW4" t="str">
            <v>95.20618</v>
          </cell>
          <cell r="BX4" t="str">
            <v>17.04336</v>
          </cell>
          <cell r="BY4" t="str">
            <v>C1</v>
          </cell>
          <cell r="BZ4" t="str">
            <v>KYAUNG KHONE-AEIN MAE MAIN ROAD, KYON TAR VILLAGE , MIN MA NAING VILLAGE GROUP, KYAUNG KHONE TOWNSHIP,AYEYARWADY..</v>
          </cell>
          <cell r="CA4" t="str">
            <v>U Soe Win;Kyaung Khone- Aein Mae Main Road,Kyon Tar Village,Min Ma Naing Village Group,Kyaung Khone Township,Ayeyarwady;09-792767368,09970710285;(U Moe Min Naing;09-792767368,09970710285)</v>
          </cell>
          <cell r="CB4" t="str">
            <v>13May15: C1 SAR Sub</v>
          </cell>
          <cell r="CE4">
            <v>1</v>
          </cell>
          <cell r="CF4">
            <v>42126</v>
          </cell>
          <cell r="CG4">
            <v>42138</v>
          </cell>
          <cell r="CH4">
            <v>42128</v>
          </cell>
          <cell r="CJ4">
            <v>42142</v>
          </cell>
          <cell r="CK4" t="str">
            <v>45</v>
          </cell>
          <cell r="CL4" t="str">
            <v>47</v>
          </cell>
          <cell r="CM4" t="str">
            <v>45</v>
          </cell>
          <cell r="CN4">
            <v>7</v>
          </cell>
          <cell r="CO4">
            <v>42131</v>
          </cell>
          <cell r="CP4">
            <v>42145</v>
          </cell>
          <cell r="CQ4" t="str">
            <v>M4: solar + DG + battery</v>
          </cell>
          <cell r="CR4">
            <v>1</v>
          </cell>
          <cell r="CS4">
            <v>42132</v>
          </cell>
          <cell r="CT4">
            <v>42146</v>
          </cell>
          <cell r="CU4" t="str">
            <v>AY0907</v>
          </cell>
          <cell r="DH4">
            <v>19</v>
          </cell>
          <cell r="DI4">
            <v>42173</v>
          </cell>
          <cell r="DJ4">
            <v>42165</v>
          </cell>
          <cell r="DK4">
            <v>42170</v>
          </cell>
          <cell r="DL4">
            <v>42166</v>
          </cell>
          <cell r="DM4">
            <v>42174</v>
          </cell>
          <cell r="DN4">
            <v>42170</v>
          </cell>
          <cell r="DO4">
            <v>0</v>
          </cell>
          <cell r="DP4">
            <v>42173</v>
          </cell>
          <cell r="DQ4">
            <v>42165</v>
          </cell>
          <cell r="DT4">
            <v>68</v>
          </cell>
          <cell r="DU4">
            <v>42188</v>
          </cell>
          <cell r="DW4">
            <v>0</v>
          </cell>
          <cell r="DY4">
            <v>42174</v>
          </cell>
          <cell r="DZ4">
            <v>42170</v>
          </cell>
          <cell r="EA4" t="str">
            <v>IENG</v>
          </cell>
          <cell r="ED4" t="str">
            <v xml:space="preserve">29Jun15 :YeHtet.Zaw: 24-June-15;Excavation is done.Tower equip is on site.
</v>
          </cell>
          <cell r="EI4" t="str">
            <v>M7: 2DG + battery      </v>
          </cell>
          <cell r="EJ4">
            <v>21</v>
          </cell>
          <cell r="EK4">
            <v>42191</v>
          </cell>
          <cell r="EL4">
            <v>42191</v>
          </cell>
          <cell r="EM4">
            <v>42192</v>
          </cell>
          <cell r="EN4">
            <v>42191</v>
          </cell>
          <cell r="EQ4">
            <v>42201</v>
          </cell>
          <cell r="ER4">
            <v>42197</v>
          </cell>
          <cell r="ES4">
            <v>42197</v>
          </cell>
          <cell r="ET4">
            <v>42197</v>
          </cell>
          <cell r="EU4">
            <v>42197</v>
          </cell>
          <cell r="EW4">
            <v>63</v>
          </cell>
          <cell r="EX4">
            <v>42215</v>
          </cell>
          <cell r="EY4">
            <v>42242</v>
          </cell>
          <cell r="EZ4">
            <v>42211</v>
          </cell>
          <cell r="FA4">
            <v>42201</v>
          </cell>
          <cell r="FB4">
            <v>42213</v>
          </cell>
          <cell r="FC4">
            <v>42205</v>
          </cell>
          <cell r="FE4">
            <v>42179</v>
          </cell>
          <cell r="FS4">
            <v>42192</v>
          </cell>
          <cell r="FT4" t="str">
            <v>Off Grid</v>
          </cell>
          <cell r="FU4">
            <v>42215</v>
          </cell>
          <cell r="FW4">
            <v>42215</v>
          </cell>
          <cell r="FX4">
            <v>42205</v>
          </cell>
          <cell r="FY4" t="str">
            <v>EM</v>
          </cell>
          <cell r="FZ4">
            <v>42192</v>
          </cell>
          <cell r="GA4">
            <v>42194</v>
          </cell>
          <cell r="GB4">
            <v>42196</v>
          </cell>
          <cell r="GC4">
            <v>42198</v>
          </cell>
          <cell r="GD4">
            <v>42198</v>
          </cell>
          <cell r="GE4">
            <v>42196</v>
          </cell>
          <cell r="GF4">
            <v>42196</v>
          </cell>
          <cell r="GG4">
            <v>42204</v>
          </cell>
          <cell r="GH4">
            <v>42204</v>
          </cell>
          <cell r="GI4">
            <v>42216</v>
          </cell>
          <cell r="GJ4" t="str">
            <v>30-2015</v>
          </cell>
          <cell r="GK4">
            <v>42205</v>
          </cell>
          <cell r="GN4" t="str">
            <v xml:space="preserve">ERICSSON </v>
          </cell>
          <cell r="GO4">
            <v>42191</v>
          </cell>
          <cell r="GP4">
            <v>42191</v>
          </cell>
          <cell r="GS4" t="str">
            <v>4/4/4</v>
          </cell>
          <cell r="GU4" t="str">
            <v xml:space="preserve">		</v>
          </cell>
          <cell r="HD4">
            <v>1</v>
          </cell>
        </row>
        <row r="5">
          <cell r="A5" t="str">
            <v>AY0908</v>
          </cell>
          <cell r="B5" t="str">
            <v>ACAY_0039</v>
          </cell>
          <cell r="C5" t="str">
            <v>Apollo</v>
          </cell>
          <cell r="D5" t="str">
            <v>Emilio Ruiz</v>
          </cell>
          <cell r="F5" t="str">
            <v>Phyo Wai Maung</v>
          </cell>
          <cell r="G5" t="str">
            <v>Thiha Kyaw</v>
          </cell>
          <cell r="H5" t="str">
            <v>RED</v>
          </cell>
          <cell r="I5" t="str">
            <v>South</v>
          </cell>
          <cell r="J5" t="str">
            <v>95.7176481762152</v>
          </cell>
          <cell r="K5" t="str">
            <v>16.4084512229565</v>
          </cell>
          <cell r="L5" t="str">
            <v>Rural</v>
          </cell>
          <cell r="M5" t="str">
            <v>Ayeyarwady</v>
          </cell>
          <cell r="N5" t="str">
            <v>Kyaiklat</v>
          </cell>
          <cell r="O5" t="str">
            <v>Kyaiklat</v>
          </cell>
          <cell r="P5" t="str">
            <v>Hinthada</v>
          </cell>
          <cell r="Q5" t="str">
            <v>13</v>
          </cell>
          <cell r="R5" t="str">
            <v>Kyaiklat</v>
          </cell>
          <cell r="S5" t="str">
            <v>321</v>
          </cell>
          <cell r="T5" t="str">
            <v>GSM+UMTS</v>
          </cell>
          <cell r="W5" t="str">
            <v>Ph2-Priority</v>
          </cell>
          <cell r="X5" t="str">
            <v>45</v>
          </cell>
          <cell r="Y5" t="str">
            <v>47</v>
          </cell>
          <cell r="Z5" t="str">
            <v>GBT</v>
          </cell>
          <cell r="AA5" t="str">
            <v>500</v>
          </cell>
          <cell r="AB5" t="str">
            <v>Access</v>
          </cell>
          <cell r="AC5" t="str">
            <v>Class C</v>
          </cell>
          <cell r="BE5" t="str">
            <v>Yangon South</v>
          </cell>
          <cell r="BH5" t="str">
            <v>IENG</v>
          </cell>
          <cell r="BJ5">
            <v>42162</v>
          </cell>
          <cell r="BK5">
            <v>42140</v>
          </cell>
          <cell r="BL5">
            <v>42167</v>
          </cell>
          <cell r="BM5">
            <v>42145</v>
          </cell>
          <cell r="BT5">
            <v>93</v>
          </cell>
          <cell r="BU5">
            <v>42240</v>
          </cell>
          <cell r="BV5">
            <v>42136</v>
          </cell>
          <cell r="BW5" t="str">
            <v>94.77265</v>
          </cell>
          <cell r="BX5" t="str">
            <v>16.66684</v>
          </cell>
          <cell r="BY5" t="str">
            <v>C1</v>
          </cell>
          <cell r="BZ5" t="str">
            <v>Pay Pin Lay Village,De Kan Qtr,Kan Gyi Dauk Tsh.</v>
          </cell>
          <cell r="CA5" t="str">
            <v>U Htay Myint;Pay Pin Lay Village,De Kan Qtr,Kan Gyi Dauk Tsh;09-794531585,09-794535826</v>
          </cell>
          <cell r="CB5" t="str">
            <v>12May15: C1 SAR Sub.</v>
          </cell>
          <cell r="CE5">
            <v>0</v>
          </cell>
          <cell r="CF5">
            <v>42241</v>
          </cell>
          <cell r="CG5">
            <v>42137</v>
          </cell>
          <cell r="CH5">
            <v>42243</v>
          </cell>
          <cell r="CJ5">
            <v>42138</v>
          </cell>
          <cell r="CK5" t="str">
            <v>45</v>
          </cell>
          <cell r="CL5" t="str">
            <v>47</v>
          </cell>
          <cell r="CM5" t="str">
            <v>45</v>
          </cell>
          <cell r="CN5">
            <v>0</v>
          </cell>
          <cell r="CO5">
            <v>42246</v>
          </cell>
          <cell r="CP5">
            <v>42143</v>
          </cell>
          <cell r="CQ5" t="str">
            <v>M1: grid power + battery</v>
          </cell>
          <cell r="CR5">
            <v>0</v>
          </cell>
          <cell r="CS5">
            <v>42247</v>
          </cell>
          <cell r="CT5">
            <v>42144</v>
          </cell>
          <cell r="CU5" t="str">
            <v>AY0908</v>
          </cell>
          <cell r="DH5">
            <v>0</v>
          </cell>
          <cell r="DI5">
            <v>42257</v>
          </cell>
          <cell r="DJ5">
            <v>42154</v>
          </cell>
          <cell r="DK5">
            <v>42254</v>
          </cell>
          <cell r="DL5">
            <v>42156</v>
          </cell>
          <cell r="DM5">
            <v>42258</v>
          </cell>
          <cell r="DN5">
            <v>42159</v>
          </cell>
          <cell r="DO5">
            <v>0</v>
          </cell>
          <cell r="DP5">
            <v>42257</v>
          </cell>
          <cell r="DQ5">
            <v>42154</v>
          </cell>
          <cell r="DT5">
            <v>0</v>
          </cell>
          <cell r="DU5">
            <v>42272</v>
          </cell>
          <cell r="DW5">
            <v>0</v>
          </cell>
          <cell r="DY5">
            <v>42258</v>
          </cell>
          <cell r="DZ5">
            <v>42159</v>
          </cell>
          <cell r="EA5" t="str">
            <v>IENG</v>
          </cell>
          <cell r="ED5" t="str">
            <v>22Jun15 :YeHtet.Zaw: 17-June-2015;Civil Work cannot start.
15Jun15 :YeHtet.Zaw: 11-June-2015;Excavation is done.</v>
          </cell>
          <cell r="EI5" t="str">
            <v>M5: grid power + DG + battery      </v>
          </cell>
          <cell r="EJ5">
            <v>0</v>
          </cell>
          <cell r="EK5">
            <v>42275</v>
          </cell>
          <cell r="EL5">
            <v>42191</v>
          </cell>
          <cell r="EM5">
            <v>42276</v>
          </cell>
          <cell r="EN5">
            <v>42191</v>
          </cell>
          <cell r="EQ5">
            <v>42285</v>
          </cell>
          <cell r="ER5">
            <v>42209</v>
          </cell>
          <cell r="ES5">
            <v>42207</v>
          </cell>
          <cell r="ET5">
            <v>42210</v>
          </cell>
          <cell r="EU5">
            <v>42210</v>
          </cell>
          <cell r="EW5">
            <v>0</v>
          </cell>
          <cell r="EX5">
            <v>42256</v>
          </cell>
          <cell r="EZ5">
            <v>42295</v>
          </cell>
          <cell r="FA5">
            <v>42211</v>
          </cell>
          <cell r="FB5">
            <v>42297</v>
          </cell>
          <cell r="FC5">
            <v>42211</v>
          </cell>
          <cell r="FE5">
            <v>42160</v>
          </cell>
          <cell r="FG5">
            <v>42165</v>
          </cell>
          <cell r="FU5">
            <v>42299</v>
          </cell>
          <cell r="FW5">
            <v>42299</v>
          </cell>
          <cell r="FX5">
            <v>42211</v>
          </cell>
          <cell r="FY5" t="str">
            <v>EM</v>
          </cell>
          <cell r="FZ5">
            <v>42192</v>
          </cell>
          <cell r="GA5">
            <v>42194</v>
          </cell>
          <cell r="GB5">
            <v>42197</v>
          </cell>
          <cell r="GC5">
            <v>42212</v>
          </cell>
          <cell r="GD5">
            <v>42212</v>
          </cell>
          <cell r="GE5">
            <v>42197</v>
          </cell>
          <cell r="GF5">
            <v>42197</v>
          </cell>
          <cell r="GG5">
            <v>42212</v>
          </cell>
          <cell r="GH5">
            <v>42212</v>
          </cell>
          <cell r="GI5">
            <v>42216</v>
          </cell>
          <cell r="GJ5">
            <v>0</v>
          </cell>
          <cell r="GK5">
            <v>42212</v>
          </cell>
          <cell r="GN5" t="str">
            <v xml:space="preserve">ERICSSON </v>
          </cell>
          <cell r="GO5">
            <v>42192</v>
          </cell>
          <cell r="GP5">
            <v>42192</v>
          </cell>
          <cell r="GS5" t="str">
            <v>4/4/4</v>
          </cell>
          <cell r="GU5" t="str">
            <v xml:space="preserve">		</v>
          </cell>
          <cell r="HD5">
            <v>1</v>
          </cell>
        </row>
        <row r="6">
          <cell r="A6" t="str">
            <v>AY0909</v>
          </cell>
          <cell r="B6" t="str">
            <v>ACAY_0066</v>
          </cell>
          <cell r="C6" t="str">
            <v>Apollo</v>
          </cell>
          <cell r="D6" t="str">
            <v>Emilio Ruiz</v>
          </cell>
          <cell r="F6" t="str">
            <v>Phyo Wai Maung</v>
          </cell>
          <cell r="G6" t="str">
            <v>Thiha Kyaw</v>
          </cell>
          <cell r="H6" t="str">
            <v>RED</v>
          </cell>
          <cell r="I6" t="str">
            <v>South</v>
          </cell>
          <cell r="J6" t="str">
            <v>95.7603328580692</v>
          </cell>
          <cell r="K6" t="str">
            <v>16.456030085569</v>
          </cell>
          <cell r="L6" t="str">
            <v>Rural</v>
          </cell>
          <cell r="M6" t="str">
            <v>Ayeyarwady</v>
          </cell>
          <cell r="N6" t="str">
            <v>Dedaye</v>
          </cell>
          <cell r="O6" t="str">
            <v>Dedaye</v>
          </cell>
          <cell r="P6" t="str">
            <v>Hinthada</v>
          </cell>
          <cell r="Q6" t="str">
            <v>13</v>
          </cell>
          <cell r="R6" t="str">
            <v>Dedaye</v>
          </cell>
          <cell r="S6" t="str">
            <v>322</v>
          </cell>
          <cell r="T6" t="str">
            <v>GSM+UMTS</v>
          </cell>
          <cell r="W6" t="str">
            <v>Ph2-Priority</v>
          </cell>
          <cell r="X6" t="str">
            <v>45</v>
          </cell>
          <cell r="Y6" t="str">
            <v>45</v>
          </cell>
          <cell r="Z6" t="str">
            <v>GBT</v>
          </cell>
          <cell r="AA6" t="str">
            <v>500</v>
          </cell>
          <cell r="AB6" t="str">
            <v>Access</v>
          </cell>
          <cell r="AC6" t="str">
            <v>Class C</v>
          </cell>
          <cell r="BE6" t="str">
            <v>Yangon South</v>
          </cell>
          <cell r="BH6" t="str">
            <v>IENG</v>
          </cell>
          <cell r="BJ6">
            <v>42151</v>
          </cell>
          <cell r="BK6">
            <v>42121</v>
          </cell>
          <cell r="BL6">
            <v>42156</v>
          </cell>
          <cell r="BM6">
            <v>42124</v>
          </cell>
          <cell r="BT6">
            <v>101</v>
          </cell>
          <cell r="BU6">
            <v>42191</v>
          </cell>
          <cell r="BV6">
            <v>42222</v>
          </cell>
          <cell r="BW6" t="str">
            <v>95.76003</v>
          </cell>
          <cell r="BX6" t="str">
            <v>16.45517</v>
          </cell>
          <cell r="BY6" t="str">
            <v>C3</v>
          </cell>
          <cell r="CB6" t="str">
            <v>6 Aug 15: C3 SAR sub( Apollo request to app using 35 M Tower )</v>
          </cell>
          <cell r="CC6" t="str">
            <v>GARDEN LAND</v>
          </cell>
          <cell r="CE6">
            <v>5</v>
          </cell>
          <cell r="CF6">
            <v>42192</v>
          </cell>
          <cell r="CG6">
            <v>42227</v>
          </cell>
          <cell r="CH6">
            <v>42194</v>
          </cell>
          <cell r="CJ6">
            <v>42231</v>
          </cell>
          <cell r="CK6" t="str">
            <v>45</v>
          </cell>
          <cell r="CL6" t="str">
            <v>47</v>
          </cell>
          <cell r="CM6" t="str">
            <v>50</v>
          </cell>
          <cell r="CN6">
            <v>6</v>
          </cell>
          <cell r="CO6">
            <v>42197</v>
          </cell>
          <cell r="CP6">
            <v>42233</v>
          </cell>
          <cell r="CQ6" t="str">
            <v>M4: solar + DG + battery</v>
          </cell>
          <cell r="CR6">
            <v>0</v>
          </cell>
          <cell r="CS6">
            <v>42198</v>
          </cell>
          <cell r="CT6">
            <v>42235</v>
          </cell>
          <cell r="CU6" t="str">
            <v>AY0909</v>
          </cell>
          <cell r="DH6">
            <v>0</v>
          </cell>
          <cell r="DI6">
            <v>42208</v>
          </cell>
          <cell r="DK6">
            <v>42205</v>
          </cell>
          <cell r="DL6">
            <v>42242</v>
          </cell>
          <cell r="DM6">
            <v>42209</v>
          </cell>
          <cell r="DO6">
            <v>0</v>
          </cell>
          <cell r="DP6">
            <v>42208</v>
          </cell>
          <cell r="DT6">
            <v>0</v>
          </cell>
          <cell r="DU6">
            <v>42223</v>
          </cell>
          <cell r="DW6">
            <v>0</v>
          </cell>
          <cell r="DY6">
            <v>42209</v>
          </cell>
          <cell r="EA6" t="str">
            <v>IENG</v>
          </cell>
          <cell r="EJ6">
            <v>0</v>
          </cell>
          <cell r="EK6">
            <v>42226</v>
          </cell>
          <cell r="EM6">
            <v>42227</v>
          </cell>
          <cell r="EQ6">
            <v>42236</v>
          </cell>
          <cell r="EW6">
            <v>0</v>
          </cell>
          <cell r="EX6">
            <v>42215</v>
          </cell>
          <cell r="EZ6">
            <v>42246</v>
          </cell>
          <cell r="FB6">
            <v>42248</v>
          </cell>
          <cell r="FU6">
            <v>42250</v>
          </cell>
          <cell r="FW6">
            <v>42250</v>
          </cell>
          <cell r="GJ6">
            <v>0</v>
          </cell>
          <cell r="GN6" t="str">
            <v>ERICSSON</v>
          </cell>
          <cell r="GS6" t="str">
            <v>4/4/4</v>
          </cell>
          <cell r="GU6" t="str">
            <v xml:space="preserve">		</v>
          </cell>
          <cell r="HD6">
            <v>1</v>
          </cell>
        </row>
        <row r="7">
          <cell r="A7" t="str">
            <v>AY0910</v>
          </cell>
          <cell r="B7" t="str">
            <v>ACAY_0067</v>
          </cell>
          <cell r="C7" t="str">
            <v>Apollo</v>
          </cell>
          <cell r="D7" t="str">
            <v>Emilio Ruiz</v>
          </cell>
          <cell r="F7" t="str">
            <v>Phyo Wai Maung</v>
          </cell>
          <cell r="G7" t="str">
            <v>Thiha Kyaw</v>
          </cell>
          <cell r="H7" t="str">
            <v>RED</v>
          </cell>
          <cell r="I7" t="str">
            <v>South</v>
          </cell>
          <cell r="J7" t="str">
            <v>95.6611522328253</v>
          </cell>
          <cell r="K7" t="str">
            <v>16.2310482287646</v>
          </cell>
          <cell r="L7" t="str">
            <v>Rural</v>
          </cell>
          <cell r="M7" t="str">
            <v>Ayeyarwady</v>
          </cell>
          <cell r="N7" t="str">
            <v>Pyapon</v>
          </cell>
          <cell r="O7" t="str">
            <v>Pyapon</v>
          </cell>
          <cell r="P7" t="str">
            <v>Hinthada</v>
          </cell>
          <cell r="Q7" t="str">
            <v>13</v>
          </cell>
          <cell r="R7" t="str">
            <v>Pyapon</v>
          </cell>
          <cell r="S7" t="str">
            <v>319</v>
          </cell>
          <cell r="T7" t="str">
            <v>GSM+UMTS</v>
          </cell>
          <cell r="W7" t="str">
            <v>Ph2-Priority</v>
          </cell>
          <cell r="X7" t="str">
            <v>45</v>
          </cell>
          <cell r="Y7" t="str">
            <v>45</v>
          </cell>
          <cell r="Z7" t="str">
            <v>GBT</v>
          </cell>
          <cell r="AA7" t="str">
            <v>500</v>
          </cell>
          <cell r="AB7" t="str">
            <v>Access</v>
          </cell>
          <cell r="AC7" t="str">
            <v>Class C</v>
          </cell>
          <cell r="BE7" t="str">
            <v>Yangon South</v>
          </cell>
          <cell r="BH7" t="str">
            <v>IENG</v>
          </cell>
          <cell r="BJ7">
            <v>42151</v>
          </cell>
          <cell r="BK7">
            <v>42121</v>
          </cell>
          <cell r="BL7">
            <v>42156</v>
          </cell>
          <cell r="BM7">
            <v>42123</v>
          </cell>
          <cell r="BT7">
            <v>112</v>
          </cell>
          <cell r="BU7">
            <v>42195</v>
          </cell>
          <cell r="BV7">
            <v>42131</v>
          </cell>
          <cell r="BW7">
            <v>95.150760000000005</v>
          </cell>
          <cell r="BX7">
            <v>17.353069999999999</v>
          </cell>
          <cell r="BY7" t="str">
            <v>C1</v>
          </cell>
          <cell r="BZ7" t="str">
            <v>Tha Yat Pin Hla Village,Thin Gan Daunt Compound,Yegyi Township, Ayeyarwady Division.</v>
          </cell>
          <cell r="CA7" t="str">
            <v>U Htain Win;Tha Yat Pin Hla Village,Thin Gan Daunt Compound,Yegyi Township,Ayeyawady Division;09-25846198,31383729,36112371</v>
          </cell>
          <cell r="CB7" t="str">
            <v>7May15: C1 SAR Sub.</v>
          </cell>
          <cell r="CE7">
            <v>0</v>
          </cell>
          <cell r="CF7">
            <v>42196</v>
          </cell>
          <cell r="CG7">
            <v>42136</v>
          </cell>
          <cell r="CH7">
            <v>42198</v>
          </cell>
          <cell r="CJ7">
            <v>42138</v>
          </cell>
          <cell r="CK7">
            <v>45</v>
          </cell>
          <cell r="CL7">
            <v>47</v>
          </cell>
          <cell r="CM7">
            <v>45</v>
          </cell>
          <cell r="CN7">
            <v>0</v>
          </cell>
          <cell r="CO7">
            <v>42201</v>
          </cell>
          <cell r="CP7">
            <v>42145</v>
          </cell>
          <cell r="CQ7" t="str">
            <v>M1: grid power + battery</v>
          </cell>
          <cell r="CR7">
            <v>0</v>
          </cell>
          <cell r="CS7">
            <v>42202</v>
          </cell>
          <cell r="CT7">
            <v>42146</v>
          </cell>
          <cell r="CU7" t="str">
            <v>AY0910</v>
          </cell>
          <cell r="DH7">
            <v>0</v>
          </cell>
          <cell r="DI7">
            <v>42212</v>
          </cell>
          <cell r="DK7">
            <v>42209</v>
          </cell>
          <cell r="DM7">
            <v>42213</v>
          </cell>
          <cell r="DO7">
            <v>0</v>
          </cell>
          <cell r="DP7">
            <v>42212</v>
          </cell>
          <cell r="DT7">
            <v>0</v>
          </cell>
          <cell r="DU7">
            <v>42227</v>
          </cell>
          <cell r="DW7">
            <v>0</v>
          </cell>
          <cell r="DY7">
            <v>42213</v>
          </cell>
          <cell r="EA7" t="str">
            <v>IENG</v>
          </cell>
          <cell r="EJ7">
            <v>0</v>
          </cell>
          <cell r="EK7">
            <v>42230</v>
          </cell>
          <cell r="EM7">
            <v>42231</v>
          </cell>
          <cell r="EQ7">
            <v>42240</v>
          </cell>
          <cell r="EW7">
            <v>0</v>
          </cell>
          <cell r="EX7">
            <v>42215</v>
          </cell>
          <cell r="EZ7">
            <v>42250</v>
          </cell>
          <cell r="FB7">
            <v>42252</v>
          </cell>
          <cell r="FU7">
            <v>42254</v>
          </cell>
          <cell r="FW7">
            <v>42254</v>
          </cell>
          <cell r="GJ7">
            <v>0</v>
          </cell>
          <cell r="GN7" t="str">
            <v>ERICSSON</v>
          </cell>
          <cell r="GS7" t="str">
            <v>4/4/4</v>
          </cell>
          <cell r="GU7" t="str">
            <v xml:space="preserve">		</v>
          </cell>
          <cell r="HD7">
            <v>1</v>
          </cell>
        </row>
        <row r="8">
          <cell r="A8" t="str">
            <v>AY0911</v>
          </cell>
          <cell r="B8" t="str">
            <v>ACAY_0068</v>
          </cell>
          <cell r="C8" t="str">
            <v>Apollo</v>
          </cell>
          <cell r="D8" t="str">
            <v>Emilio Ruiz</v>
          </cell>
          <cell r="E8" t="str">
            <v>Joselito Mapuyan : 9254374794</v>
          </cell>
          <cell r="F8" t="str">
            <v>Phyo Wai Maung</v>
          </cell>
          <cell r="G8" t="str">
            <v>Thiha Kyaw</v>
          </cell>
          <cell r="H8" t="str">
            <v>AMBER</v>
          </cell>
          <cell r="I8" t="str">
            <v>South</v>
          </cell>
          <cell r="J8" t="str">
            <v>95.1536921469842</v>
          </cell>
          <cell r="K8" t="str">
            <v>17.3536621055921</v>
          </cell>
          <cell r="L8" t="str">
            <v>Rural</v>
          </cell>
          <cell r="M8" t="str">
            <v>Ayeyarwady</v>
          </cell>
          <cell r="N8" t="str">
            <v>Yegyi</v>
          </cell>
          <cell r="O8" t="str">
            <v>Yegyi</v>
          </cell>
          <cell r="P8" t="str">
            <v>Hinthada</v>
          </cell>
          <cell r="Q8" t="str">
            <v>13</v>
          </cell>
          <cell r="R8" t="str">
            <v>Yegyi</v>
          </cell>
          <cell r="S8" t="str">
            <v>302</v>
          </cell>
          <cell r="T8" t="str">
            <v>GSM+UMTS</v>
          </cell>
          <cell r="U8" t="str">
            <v>BAG-N027</v>
          </cell>
          <cell r="V8" t="str">
            <v>4.1</v>
          </cell>
          <cell r="W8" t="str">
            <v>Ph2-Priority</v>
          </cell>
          <cell r="X8" t="str">
            <v>45</v>
          </cell>
          <cell r="Y8" t="str">
            <v>45</v>
          </cell>
          <cell r="Z8" t="str">
            <v>GBT</v>
          </cell>
          <cell r="AA8" t="str">
            <v>500</v>
          </cell>
          <cell r="AB8" t="str">
            <v>Access</v>
          </cell>
          <cell r="AC8" t="str">
            <v>Class C</v>
          </cell>
          <cell r="AD8" t="str">
            <v>1430</v>
          </cell>
          <cell r="AE8" t="str">
            <v>1610</v>
          </cell>
          <cell r="AF8" t="str">
            <v>3</v>
          </cell>
          <cell r="AG8" t="str">
            <v>BA0551</v>
          </cell>
          <cell r="AH8" t="str">
            <v>BA0561</v>
          </cell>
          <cell r="BC8" t="str">
            <v>BA0561</v>
          </cell>
          <cell r="BD8" t="str">
            <v>2</v>
          </cell>
          <cell r="BE8" t="str">
            <v>Route 11 Pyay - Pathein</v>
          </cell>
          <cell r="BF8">
            <v>41973</v>
          </cell>
          <cell r="BG8">
            <v>41994</v>
          </cell>
          <cell r="BH8" t="str">
            <v>IENG</v>
          </cell>
          <cell r="BJ8">
            <v>42116</v>
          </cell>
          <cell r="BK8">
            <v>42121</v>
          </cell>
          <cell r="BL8">
            <v>42121</v>
          </cell>
          <cell r="BM8">
            <v>42121</v>
          </cell>
          <cell r="BR8" t="str">
            <v>Huawei SAR</v>
          </cell>
          <cell r="BT8">
            <v>79</v>
          </cell>
          <cell r="BU8">
            <v>42126</v>
          </cell>
          <cell r="BV8">
            <v>42200</v>
          </cell>
          <cell r="BW8" t="str">
            <v>95.15129</v>
          </cell>
          <cell r="BX8" t="str">
            <v>17.3519</v>
          </cell>
          <cell r="BY8" t="str">
            <v>C4</v>
          </cell>
          <cell r="BZ8" t="str">
            <v>Tha Yat Pin Hla Village,Thin Gan Daunt Compound,Yegyi Township,Ayeyawady Division.</v>
          </cell>
          <cell r="CA8" t="str">
            <v>U Soe Myint,09-254893432,09-32765029</v>
          </cell>
          <cell r="CB8" t="str">
            <v>15 July 15 : C4 SAR sub(C1 C3 FARMLAND);22 May 15 : C1 TSSR app;12 May 15 : C1 SAR app;7May15: C1 SAR Sub.</v>
          </cell>
          <cell r="CC8" t="str">
            <v>VILLAGE LAND</v>
          </cell>
          <cell r="CE8">
            <v>2</v>
          </cell>
          <cell r="CF8">
            <v>42127</v>
          </cell>
          <cell r="CG8">
            <v>42202</v>
          </cell>
          <cell r="CH8">
            <v>42129</v>
          </cell>
          <cell r="CJ8">
            <v>42207</v>
          </cell>
          <cell r="CK8" t="str">
            <v>45</v>
          </cell>
          <cell r="CL8" t="str">
            <v>47</v>
          </cell>
          <cell r="CM8" t="str">
            <v>50</v>
          </cell>
          <cell r="CN8">
            <v>7</v>
          </cell>
          <cell r="CO8">
            <v>42132</v>
          </cell>
          <cell r="CP8">
            <v>42209</v>
          </cell>
          <cell r="CQ8" t="str">
            <v>M1: grid power + battery</v>
          </cell>
          <cell r="CR8">
            <v>3</v>
          </cell>
          <cell r="CS8">
            <v>42133</v>
          </cell>
          <cell r="CT8">
            <v>42212</v>
          </cell>
          <cell r="CU8" t="str">
            <v>AY0911</v>
          </cell>
          <cell r="DH8">
            <v>21</v>
          </cell>
          <cell r="DI8">
            <v>42173</v>
          </cell>
          <cell r="DK8">
            <v>42170</v>
          </cell>
          <cell r="DL8">
            <v>42242</v>
          </cell>
          <cell r="DM8">
            <v>42174</v>
          </cell>
          <cell r="DO8">
            <v>0</v>
          </cell>
          <cell r="DP8">
            <v>42173</v>
          </cell>
          <cell r="DR8" t="str">
            <v>Bago CDC</v>
          </cell>
          <cell r="DS8" t="str">
            <v>052-22903</v>
          </cell>
          <cell r="DT8">
            <v>0</v>
          </cell>
          <cell r="DU8">
            <v>42188</v>
          </cell>
          <cell r="DW8">
            <v>0</v>
          </cell>
          <cell r="DY8">
            <v>42174</v>
          </cell>
          <cell r="DZ8">
            <v>42227</v>
          </cell>
          <cell r="EA8" t="str">
            <v>IENG</v>
          </cell>
          <cell r="EJ8">
            <v>6</v>
          </cell>
          <cell r="EK8">
            <v>42191</v>
          </cell>
          <cell r="EL8">
            <v>42243</v>
          </cell>
          <cell r="EM8">
            <v>42192</v>
          </cell>
          <cell r="EQ8">
            <v>42201</v>
          </cell>
          <cell r="ES8">
            <v>42248</v>
          </cell>
          <cell r="EW8">
            <v>6</v>
          </cell>
          <cell r="EX8">
            <v>42215</v>
          </cell>
          <cell r="EZ8">
            <v>42211</v>
          </cell>
          <cell r="FB8">
            <v>42213</v>
          </cell>
          <cell r="FD8">
            <v>41933</v>
          </cell>
          <cell r="FF8">
            <v>41940</v>
          </cell>
          <cell r="FH8">
            <v>41942</v>
          </cell>
          <cell r="FJ8">
            <v>41945</v>
          </cell>
          <cell r="FN8">
            <v>41949</v>
          </cell>
          <cell r="FP8">
            <v>41951</v>
          </cell>
          <cell r="FR8">
            <v>41965</v>
          </cell>
          <cell r="FU8">
            <v>42215</v>
          </cell>
          <cell r="FW8">
            <v>42215</v>
          </cell>
          <cell r="GJ8">
            <v>0</v>
          </cell>
          <cell r="GN8" t="str">
            <v>ERICSSON</v>
          </cell>
          <cell r="GS8" t="str">
            <v>4/4/4</v>
          </cell>
          <cell r="GU8" t="str">
            <v xml:space="preserve">		</v>
          </cell>
          <cell r="HD8">
            <v>1</v>
          </cell>
        </row>
        <row r="9">
          <cell r="A9" t="str">
            <v>AY0912</v>
          </cell>
          <cell r="B9" t="str">
            <v>ACAY_0069</v>
          </cell>
          <cell r="C9" t="str">
            <v>Apollo</v>
          </cell>
          <cell r="D9" t="str">
            <v>Emilio Ruiz</v>
          </cell>
          <cell r="F9" t="str">
            <v>Phyo Wai Maung</v>
          </cell>
          <cell r="G9" t="str">
            <v>Thiha Kyaw</v>
          </cell>
          <cell r="H9" t="str">
            <v>AMBER</v>
          </cell>
          <cell r="I9" t="str">
            <v>South</v>
          </cell>
          <cell r="J9" t="str">
            <v>95.061955</v>
          </cell>
          <cell r="K9" t="str">
            <v>17.274014</v>
          </cell>
          <cell r="L9" t="str">
            <v>Rural</v>
          </cell>
          <cell r="M9" t="str">
            <v>Ayeyarwady</v>
          </cell>
          <cell r="N9" t="str">
            <v>Yegyi</v>
          </cell>
          <cell r="O9" t="str">
            <v>Yegyi</v>
          </cell>
          <cell r="P9" t="str">
            <v>Hinthada</v>
          </cell>
          <cell r="Q9" t="str">
            <v>13</v>
          </cell>
          <cell r="R9" t="str">
            <v>Yegyi</v>
          </cell>
          <cell r="S9" t="str">
            <v>302</v>
          </cell>
          <cell r="T9" t="str">
            <v>GSM+UMTS</v>
          </cell>
          <cell r="W9" t="str">
            <v>Ph2-Priority</v>
          </cell>
          <cell r="X9" t="str">
            <v>45</v>
          </cell>
          <cell r="Y9" t="str">
            <v>45</v>
          </cell>
          <cell r="Z9" t="str">
            <v>GBT</v>
          </cell>
          <cell r="AA9" t="str">
            <v>500</v>
          </cell>
          <cell r="AB9" t="str">
            <v>Access</v>
          </cell>
          <cell r="AC9" t="str">
            <v>Class C</v>
          </cell>
          <cell r="BE9" t="str">
            <v>Route 11 Pyay - Pathein</v>
          </cell>
          <cell r="BH9" t="str">
            <v>IENG</v>
          </cell>
          <cell r="BJ9">
            <v>42116</v>
          </cell>
          <cell r="BK9">
            <v>42121</v>
          </cell>
          <cell r="BL9">
            <v>42121</v>
          </cell>
          <cell r="BM9">
            <v>42121</v>
          </cell>
          <cell r="BT9">
            <v>71</v>
          </cell>
          <cell r="BU9">
            <v>42126</v>
          </cell>
          <cell r="BV9">
            <v>42192</v>
          </cell>
          <cell r="BW9" t="str">
            <v>95.06034</v>
          </cell>
          <cell r="BX9" t="str">
            <v>17.27447</v>
          </cell>
          <cell r="BY9" t="str">
            <v>C4</v>
          </cell>
          <cell r="BZ9" t="str">
            <v>No(15),Ta Zaung Yoe Village,Wat Yoke Compound,Yegyi Township, Ayeyarwady.</v>
          </cell>
          <cell r="CA9" t="str">
            <v>U Mya Hlaing;No(15),Ta Zaung Yoe Village,Wat Yoke Compound,Yegyi Township,Ayeyawady;09-32179674;(Ma Wai Thida Hlaing;09-32630663)</v>
          </cell>
          <cell r="CB9" t="str">
            <v>7 July 15: C4 SAR sub;22 May 15 : C1 TSSR app;12 May 15 : C1 SAR app;7May15: C1 SAR Sub.</v>
          </cell>
          <cell r="CC9" t="str">
            <v>VILLAGE LAND</v>
          </cell>
          <cell r="CE9">
            <v>1</v>
          </cell>
          <cell r="CF9">
            <v>42127</v>
          </cell>
          <cell r="CG9">
            <v>42193</v>
          </cell>
          <cell r="CH9">
            <v>42129</v>
          </cell>
          <cell r="CJ9">
            <v>42196</v>
          </cell>
          <cell r="CK9" t="str">
            <v>45</v>
          </cell>
          <cell r="CL9" t="str">
            <v>47</v>
          </cell>
          <cell r="CM9" t="str">
            <v>50</v>
          </cell>
          <cell r="CN9">
            <v>5</v>
          </cell>
          <cell r="CO9">
            <v>42132</v>
          </cell>
          <cell r="CP9">
            <v>42198</v>
          </cell>
          <cell r="CQ9" t="str">
            <v>M4: solar + DG + battery</v>
          </cell>
          <cell r="CR9">
            <v>2</v>
          </cell>
          <cell r="CS9">
            <v>42133</v>
          </cell>
          <cell r="CT9">
            <v>42200</v>
          </cell>
          <cell r="CU9" t="str">
            <v>AY0912</v>
          </cell>
          <cell r="DH9">
            <v>7</v>
          </cell>
          <cell r="DI9">
            <v>42173</v>
          </cell>
          <cell r="DJ9">
            <v>42207</v>
          </cell>
          <cell r="DK9">
            <v>42170</v>
          </cell>
          <cell r="DL9">
            <v>42242</v>
          </cell>
          <cell r="DM9">
            <v>42174</v>
          </cell>
          <cell r="DN9">
            <v>42199</v>
          </cell>
          <cell r="DO9">
            <v>0</v>
          </cell>
          <cell r="DP9">
            <v>42173</v>
          </cell>
          <cell r="DQ9">
            <v>42207</v>
          </cell>
          <cell r="DT9">
            <v>26</v>
          </cell>
          <cell r="DU9">
            <v>42188</v>
          </cell>
          <cell r="DW9">
            <v>0</v>
          </cell>
          <cell r="DY9">
            <v>42174</v>
          </cell>
          <cell r="DZ9">
            <v>42210</v>
          </cell>
          <cell r="EA9" t="str">
            <v>IENG</v>
          </cell>
          <cell r="EB9">
            <v>42227</v>
          </cell>
          <cell r="ED9" t="str">
            <v xml:space="preserve">24Aug15 :Thiha.Kyaw: 6-8--15 Site not start yet.
</v>
          </cell>
          <cell r="EE9" t="str">
            <v xml:space="preserve">11-Aug-15: Flood affceted site, No access curretly{Actual condition of the area near site, actual information from owner proposed site flood level is 1.0m and we cannot remobilize to this site for the moment.}								</v>
          </cell>
          <cell r="EJ9">
            <v>23</v>
          </cell>
          <cell r="EK9">
            <v>42191</v>
          </cell>
          <cell r="EM9">
            <v>42192</v>
          </cell>
          <cell r="EQ9">
            <v>42201</v>
          </cell>
          <cell r="EW9">
            <v>23</v>
          </cell>
          <cell r="EX9">
            <v>42215</v>
          </cell>
          <cell r="EZ9">
            <v>42211</v>
          </cell>
          <cell r="FB9">
            <v>42213</v>
          </cell>
          <cell r="FU9">
            <v>42215</v>
          </cell>
          <cell r="FW9">
            <v>42215</v>
          </cell>
          <cell r="GI9">
            <v>42307</v>
          </cell>
          <cell r="GJ9" t="str">
            <v>44-2015</v>
          </cell>
          <cell r="GN9" t="str">
            <v>ERICSSON</v>
          </cell>
          <cell r="GO9">
            <v>42170</v>
          </cell>
          <cell r="GS9" t="str">
            <v>4/4/4</v>
          </cell>
          <cell r="GU9" t="str">
            <v xml:space="preserve">		</v>
          </cell>
          <cell r="HD9">
            <v>1</v>
          </cell>
        </row>
        <row r="10">
          <cell r="A10" t="str">
            <v>AY0914</v>
          </cell>
          <cell r="B10" t="str">
            <v>ACAY_0040</v>
          </cell>
          <cell r="C10" t="str">
            <v>Apollo</v>
          </cell>
          <cell r="D10" t="str">
            <v>Emilio Ruiz</v>
          </cell>
          <cell r="F10" t="str">
            <v>Phyo Wai Maung</v>
          </cell>
          <cell r="G10" t="str">
            <v>Thiha Kyaw</v>
          </cell>
          <cell r="H10" t="str">
            <v>RED</v>
          </cell>
          <cell r="I10" t="str">
            <v>South</v>
          </cell>
          <cell r="J10" t="str">
            <v>95.8293667595782</v>
          </cell>
          <cell r="K10" t="str">
            <v>16.6908596792286</v>
          </cell>
          <cell r="L10" t="str">
            <v>Rural</v>
          </cell>
          <cell r="M10" t="str">
            <v>Ayeyarwady</v>
          </cell>
          <cell r="N10" t="str">
            <v>Maubin</v>
          </cell>
          <cell r="O10" t="str">
            <v>Maubin</v>
          </cell>
          <cell r="P10" t="str">
            <v>Hinthada</v>
          </cell>
          <cell r="Q10" t="str">
            <v>13</v>
          </cell>
          <cell r="R10" t="str">
            <v>Maubin</v>
          </cell>
          <cell r="S10" t="str">
            <v>315</v>
          </cell>
          <cell r="T10" t="str">
            <v>GSM+UMTS</v>
          </cell>
          <cell r="W10" t="str">
            <v>Ph2-Priority</v>
          </cell>
          <cell r="X10" t="str">
            <v>45</v>
          </cell>
          <cell r="Y10" t="str">
            <v>47</v>
          </cell>
          <cell r="Z10" t="str">
            <v>GBT</v>
          </cell>
          <cell r="AA10" t="str">
            <v>500</v>
          </cell>
          <cell r="AB10" t="str">
            <v>Access</v>
          </cell>
          <cell r="AC10" t="str">
            <v>Class C</v>
          </cell>
          <cell r="BE10" t="str">
            <v>Yangon South</v>
          </cell>
          <cell r="BH10" t="str">
            <v>IENG</v>
          </cell>
          <cell r="BJ10">
            <v>42131</v>
          </cell>
          <cell r="BK10">
            <v>42119</v>
          </cell>
          <cell r="BL10">
            <v>42136</v>
          </cell>
          <cell r="BM10">
            <v>42124</v>
          </cell>
          <cell r="BT10">
            <v>114</v>
          </cell>
          <cell r="BU10">
            <v>42125</v>
          </cell>
          <cell r="BV10">
            <v>42222</v>
          </cell>
          <cell r="BW10" t="str">
            <v>95.76003</v>
          </cell>
          <cell r="BX10" t="str">
            <v>16.45517</v>
          </cell>
          <cell r="BY10" t="str">
            <v>Reject</v>
          </cell>
          <cell r="BZ10" t="str">
            <v>BOEE KAN PAE VILLAGE, AH DON VILLAGE GROUP, TON TAE TOWNSHIP, AYEYARWADY DIVISION.</v>
          </cell>
          <cell r="CA10" t="str">
            <v>DAW SWE SWE THAN;BOEE KAN PAE VILLAGE, AH DON VILLAGE GROUP, TON TAE TOWNSHIP, AYEYARWADY DIVISION;9420304736;(U SA TIN SOE;9420304736)</v>
          </cell>
          <cell r="CB10" t="str">
            <v>13 Aug 15: C1 deactivate because of  Owner not intrested to apply for Other use permit;25 May 15 : C1 TSSR app;22 May 15 : C1 TSSR sub;13 May 15 : C1 SAR app;12May15: C1 SAR Sub.</v>
          </cell>
          <cell r="CC10" t="str">
            <v>GARDEN LAND</v>
          </cell>
          <cell r="CE10">
            <v>0</v>
          </cell>
          <cell r="CF10">
            <v>42126</v>
          </cell>
          <cell r="CG10">
            <v>42227</v>
          </cell>
          <cell r="CH10">
            <v>42128</v>
          </cell>
          <cell r="CJ10">
            <v>42231</v>
          </cell>
          <cell r="CK10" t="str">
            <v>45</v>
          </cell>
          <cell r="CL10" t="str">
            <v>47</v>
          </cell>
          <cell r="CM10" t="str">
            <v>50</v>
          </cell>
          <cell r="CN10">
            <v>0</v>
          </cell>
          <cell r="CO10">
            <v>42131</v>
          </cell>
          <cell r="CP10">
            <v>42233</v>
          </cell>
          <cell r="CQ10" t="str">
            <v>M4: solar + DG + battery</v>
          </cell>
          <cell r="CR10">
            <v>0</v>
          </cell>
          <cell r="CS10">
            <v>42132</v>
          </cell>
          <cell r="CT10">
            <v>42235</v>
          </cell>
          <cell r="CU10" t="str">
            <v>AY0914</v>
          </cell>
          <cell r="DH10">
            <v>0</v>
          </cell>
          <cell r="DI10">
            <v>42173</v>
          </cell>
          <cell r="DK10">
            <v>42170</v>
          </cell>
          <cell r="DM10">
            <v>42174</v>
          </cell>
          <cell r="DO10">
            <v>0</v>
          </cell>
          <cell r="DP10">
            <v>42173</v>
          </cell>
          <cell r="DT10">
            <v>0</v>
          </cell>
          <cell r="DU10">
            <v>42188</v>
          </cell>
          <cell r="DW10">
            <v>0</v>
          </cell>
          <cell r="DY10">
            <v>42174</v>
          </cell>
          <cell r="EA10" t="str">
            <v>IENG</v>
          </cell>
          <cell r="EJ10">
            <v>0</v>
          </cell>
          <cell r="EK10">
            <v>42191</v>
          </cell>
          <cell r="EM10">
            <v>42192</v>
          </cell>
          <cell r="EQ10">
            <v>42201</v>
          </cell>
          <cell r="EW10">
            <v>0</v>
          </cell>
          <cell r="EX10">
            <v>42215</v>
          </cell>
          <cell r="EZ10">
            <v>42211</v>
          </cell>
          <cell r="FB10">
            <v>42213</v>
          </cell>
          <cell r="FU10">
            <v>42215</v>
          </cell>
          <cell r="FW10">
            <v>42215</v>
          </cell>
          <cell r="GJ10">
            <v>0</v>
          </cell>
          <cell r="GN10" t="str">
            <v>ERICSSON</v>
          </cell>
          <cell r="GO10">
            <v>42157</v>
          </cell>
          <cell r="GS10" t="str">
            <v>4/4/4</v>
          </cell>
          <cell r="GU10" t="str">
            <v xml:space="preserve">		</v>
          </cell>
          <cell r="HD10">
            <v>1</v>
          </cell>
        </row>
        <row r="11">
          <cell r="A11" t="str">
            <v>AY0915</v>
          </cell>
          <cell r="B11" t="str">
            <v>ACAY_0041</v>
          </cell>
          <cell r="C11" t="str">
            <v>Apollo</v>
          </cell>
          <cell r="D11" t="str">
            <v>Emilio Ruiz</v>
          </cell>
          <cell r="F11" t="str">
            <v>Phyo Wai Maung</v>
          </cell>
          <cell r="G11" t="str">
            <v>Thiha Kyaw</v>
          </cell>
          <cell r="H11" t="str">
            <v>WHITE</v>
          </cell>
          <cell r="I11" t="str">
            <v>South</v>
          </cell>
          <cell r="J11" t="str">
            <v>95.4405936518094</v>
          </cell>
          <cell r="K11" t="str">
            <v>16.6806749860099</v>
          </cell>
          <cell r="L11" t="str">
            <v>Rural</v>
          </cell>
          <cell r="M11" t="str">
            <v>Ayeyarwady</v>
          </cell>
          <cell r="N11" t="str">
            <v>Maubin</v>
          </cell>
          <cell r="O11" t="str">
            <v>Maubin</v>
          </cell>
          <cell r="P11" t="str">
            <v>Hinthada</v>
          </cell>
          <cell r="Q11" t="str">
            <v>13</v>
          </cell>
          <cell r="R11" t="str">
            <v>Maubin</v>
          </cell>
          <cell r="S11" t="str">
            <v>315</v>
          </cell>
          <cell r="T11" t="str">
            <v>GSM+UMTS</v>
          </cell>
          <cell r="W11" t="str">
            <v>Ph2-Priority</v>
          </cell>
          <cell r="X11" t="str">
            <v>45</v>
          </cell>
          <cell r="Y11" t="str">
            <v>47</v>
          </cell>
          <cell r="Z11" t="str">
            <v>GBT</v>
          </cell>
          <cell r="AA11" t="str">
            <v>500</v>
          </cell>
          <cell r="AB11" t="str">
            <v>Access</v>
          </cell>
          <cell r="AC11" t="str">
            <v>Class C</v>
          </cell>
          <cell r="BE11" t="str">
            <v>Route 5 Yangon - Pathein</v>
          </cell>
          <cell r="BH11" t="str">
            <v>IENG</v>
          </cell>
          <cell r="BJ11">
            <v>42143</v>
          </cell>
          <cell r="BK11">
            <v>42126</v>
          </cell>
          <cell r="BL11">
            <v>42148</v>
          </cell>
          <cell r="BM11">
            <v>42133</v>
          </cell>
          <cell r="BT11">
            <v>17</v>
          </cell>
          <cell r="BU11">
            <v>42241</v>
          </cell>
          <cell r="BV11">
            <v>42143</v>
          </cell>
          <cell r="BW11" t="str">
            <v>95.44101</v>
          </cell>
          <cell r="BX11" t="str">
            <v>16.68048</v>
          </cell>
          <cell r="BY11" t="str">
            <v>C1</v>
          </cell>
          <cell r="BZ11" t="str">
            <v>NO (56), (1) QUARTER, SHWE TAUNG MHAW , AYEYARWADY Division.</v>
          </cell>
          <cell r="CA11" t="str">
            <v>U KHIN ZAW;NO(567), SHWE TAUNG MHAW MARKET (B) SECTION,NO(1) QUARTER, SHWE TAUNG MHAW DISTINCT, MA OU PIN T/S,09794493938, 09403710362</v>
          </cell>
          <cell r="CB11" t="str">
            <v>16Jun15: C3 SAR Sub. C1 &amp; C2 Owner Backout. 13 May 15 :C1 SAR approved again as an option 1(First RND rejected as it is 420m far from the nominalá but tower co provide justification so that RND reconsider for this site and we approved with 35m/37m GBT.);11 May 15: C1 location wasá rejected after reviewing justification(RND rejected as it is 420m far from the nominal ); 7May15: C1 SAR Sub.</v>
          </cell>
          <cell r="CC11" t="str">
            <v>Garden Land</v>
          </cell>
          <cell r="CE11">
            <v>1</v>
          </cell>
          <cell r="CF11">
            <v>42242</v>
          </cell>
          <cell r="CG11">
            <v>42144</v>
          </cell>
          <cell r="CH11">
            <v>42244</v>
          </cell>
          <cell r="CJ11">
            <v>42148</v>
          </cell>
          <cell r="CK11" t="str">
            <v>45</v>
          </cell>
          <cell r="CL11" t="str">
            <v>47</v>
          </cell>
          <cell r="CM11" t="str">
            <v>50</v>
          </cell>
          <cell r="CN11">
            <v>6</v>
          </cell>
          <cell r="CO11">
            <v>42247</v>
          </cell>
          <cell r="CP11">
            <v>42150</v>
          </cell>
          <cell r="CQ11" t="str">
            <v>M1: grid power + battery</v>
          </cell>
          <cell r="CR11">
            <v>1</v>
          </cell>
          <cell r="CS11">
            <v>42248</v>
          </cell>
          <cell r="CT11">
            <v>42151</v>
          </cell>
          <cell r="CU11" t="str">
            <v>AY0915</v>
          </cell>
          <cell r="DH11">
            <v>14</v>
          </cell>
          <cell r="DI11">
            <v>42258</v>
          </cell>
          <cell r="DJ11">
            <v>42165</v>
          </cell>
          <cell r="DK11">
            <v>42255</v>
          </cell>
          <cell r="DL11">
            <v>42163</v>
          </cell>
          <cell r="DM11">
            <v>42259</v>
          </cell>
          <cell r="DN11">
            <v>42164</v>
          </cell>
          <cell r="DO11">
            <v>0</v>
          </cell>
          <cell r="DP11">
            <v>42258</v>
          </cell>
          <cell r="DQ11">
            <v>42165</v>
          </cell>
          <cell r="DT11">
            <v>68</v>
          </cell>
          <cell r="DU11">
            <v>42273</v>
          </cell>
          <cell r="DW11">
            <v>0</v>
          </cell>
          <cell r="DY11">
            <v>42259</v>
          </cell>
          <cell r="DZ11">
            <v>42172</v>
          </cell>
          <cell r="EA11" t="str">
            <v>IENG</v>
          </cell>
          <cell r="EE11" t="str">
            <v xml:space="preserve">10 Aug 15:Rain affected_Progress affected; 1-Aug-15:lean concrete done (remobilized Jul 28),dewatering								</v>
          </cell>
          <cell r="EI11" t="str">
            <v>M5: grid power + DG + battery      </v>
          </cell>
          <cell r="EJ11">
            <v>19</v>
          </cell>
          <cell r="EK11">
            <v>42276</v>
          </cell>
          <cell r="EL11">
            <v>42191</v>
          </cell>
          <cell r="EM11">
            <v>42277</v>
          </cell>
          <cell r="EN11">
            <v>42200</v>
          </cell>
          <cell r="EQ11">
            <v>42286</v>
          </cell>
          <cell r="ER11">
            <v>42202</v>
          </cell>
          <cell r="ES11">
            <v>42201</v>
          </cell>
          <cell r="ET11">
            <v>42202</v>
          </cell>
          <cell r="EU11">
            <v>42202</v>
          </cell>
          <cell r="EW11">
            <v>61</v>
          </cell>
          <cell r="EX11">
            <v>42287</v>
          </cell>
          <cell r="EY11">
            <v>42242</v>
          </cell>
          <cell r="EZ11">
            <v>42296</v>
          </cell>
          <cell r="FA11">
            <v>42205</v>
          </cell>
          <cell r="FB11">
            <v>42298</v>
          </cell>
          <cell r="FC11">
            <v>42205</v>
          </cell>
          <cell r="FE11">
            <v>42193</v>
          </cell>
          <cell r="FU11">
            <v>42300</v>
          </cell>
          <cell r="FW11">
            <v>42300</v>
          </cell>
          <cell r="FX11">
            <v>42205</v>
          </cell>
          <cell r="FY11" t="str">
            <v>EM</v>
          </cell>
          <cell r="FZ11">
            <v>42192</v>
          </cell>
          <cell r="GA11">
            <v>42194</v>
          </cell>
          <cell r="GB11">
            <v>42196</v>
          </cell>
          <cell r="GC11">
            <v>42205</v>
          </cell>
          <cell r="GD11">
            <v>42205</v>
          </cell>
          <cell r="GE11">
            <v>42196</v>
          </cell>
          <cell r="GF11">
            <v>42196</v>
          </cell>
          <cell r="GG11">
            <v>42206</v>
          </cell>
          <cell r="GH11">
            <v>42206</v>
          </cell>
          <cell r="GI11">
            <v>42216</v>
          </cell>
          <cell r="GJ11" t="str">
            <v>30-2015</v>
          </cell>
          <cell r="GK11">
            <v>42206</v>
          </cell>
          <cell r="GN11" t="str">
            <v xml:space="preserve">ERICSSON </v>
          </cell>
          <cell r="GO11">
            <v>42158</v>
          </cell>
          <cell r="GP11">
            <v>42198</v>
          </cell>
          <cell r="GS11" t="str">
            <v>4/4/4</v>
          </cell>
          <cell r="GT11" t="str">
            <v>Dual Carrier</v>
          </cell>
          <cell r="GU11" t="str">
            <v xml:space="preserve">		</v>
          </cell>
          <cell r="HD11">
            <v>1</v>
          </cell>
        </row>
        <row r="12">
          <cell r="A12" t="str">
            <v>AY0918</v>
          </cell>
          <cell r="B12" t="str">
            <v>ACAY_0070</v>
          </cell>
          <cell r="C12" t="str">
            <v>Apollo</v>
          </cell>
          <cell r="D12" t="str">
            <v>Emilio Ruiz</v>
          </cell>
          <cell r="F12" t="str">
            <v>Phyo Wai Maung</v>
          </cell>
          <cell r="G12" t="str">
            <v>Thiha Kyaw</v>
          </cell>
          <cell r="H12" t="str">
            <v>AMBER</v>
          </cell>
          <cell r="I12" t="str">
            <v>South</v>
          </cell>
          <cell r="J12" t="str">
            <v>94.804566</v>
          </cell>
          <cell r="K12" t="str">
            <v>17.046189</v>
          </cell>
          <cell r="L12" t="str">
            <v>SubUrban</v>
          </cell>
          <cell r="M12" t="str">
            <v>Ayeyarwady</v>
          </cell>
          <cell r="N12" t="str">
            <v>Thabaung</v>
          </cell>
          <cell r="O12" t="str">
            <v>Thabaung</v>
          </cell>
          <cell r="P12" t="str">
            <v>Pathein</v>
          </cell>
          <cell r="Q12" t="str">
            <v>14</v>
          </cell>
          <cell r="R12" t="str">
            <v>Thabaung</v>
          </cell>
          <cell r="S12" t="str">
            <v>299</v>
          </cell>
          <cell r="T12" t="str">
            <v>GSM+UMTS</v>
          </cell>
          <cell r="W12" t="str">
            <v>Ph2-Priority</v>
          </cell>
          <cell r="X12" t="str">
            <v>35</v>
          </cell>
          <cell r="Y12" t="str">
            <v>35</v>
          </cell>
          <cell r="Z12" t="str">
            <v>GBT</v>
          </cell>
          <cell r="AA12" t="str">
            <v>250</v>
          </cell>
          <cell r="AB12" t="str">
            <v>Access</v>
          </cell>
          <cell r="AC12" t="str">
            <v>Class B</v>
          </cell>
          <cell r="BE12" t="str">
            <v>Route 5 Yangon - Pathein</v>
          </cell>
          <cell r="BH12" t="str">
            <v>IENG</v>
          </cell>
          <cell r="BJ12">
            <v>42108</v>
          </cell>
          <cell r="BK12">
            <v>42121</v>
          </cell>
          <cell r="BL12">
            <v>42113</v>
          </cell>
          <cell r="BM12">
            <v>42140</v>
          </cell>
          <cell r="BT12">
            <v>73</v>
          </cell>
          <cell r="BU12">
            <v>42139</v>
          </cell>
          <cell r="BV12">
            <v>42194</v>
          </cell>
          <cell r="BW12" t="str">
            <v>94.80037</v>
          </cell>
          <cell r="BX12" t="str">
            <v>17.04477</v>
          </cell>
          <cell r="BY12" t="str">
            <v>C4</v>
          </cell>
          <cell r="BZ12" t="str">
            <v>Myo Thit(8) street,No.(2) Qtr,Thabaung Tsh.</v>
          </cell>
          <cell r="CA12" t="str">
            <v>U San Hlaing ,09-451230448, 09974992135</v>
          </cell>
          <cell r="CB12" t="str">
            <v>9 July 15 : C4 SAR sub;17 June 15: C3 TSSR app;3 June 15 : C3 SAR sub; 3June15: C3 SAR Sub. C2 Noc Issue. 27 May 15 :  C2 SAR app (but cancelled due to NOC issue);26May15:C2 SAR Sub. C1 (TSSR Approved) Owner Backout.8 May 25:C1 TSSR approved( RND approved with 35m/35m GBT as per PDF);30 Apr 15: Adding plan tower height=37M because there is no plan height . (RND approved with 35m/37m GBT.) 26May15:C2 SAR Sub. C1 (TSSR Approved) Owner Backout.8 May 25:C1 TSSR approved( RND approved with 35m/35m GBT as per PDF);30 Apr 15: Adding plan tower height=37M because there is no plan height . (RND approved with 35m/37m GBT.) 30 Apr 15: Adding plan tower height=37M because there is no plan height . (RND approved with 35m/37m GBT.)</v>
          </cell>
          <cell r="CC12" t="str">
            <v>TOWNLAND</v>
          </cell>
          <cell r="CE12">
            <v>1</v>
          </cell>
          <cell r="CF12">
            <v>42140</v>
          </cell>
          <cell r="CG12">
            <v>42195</v>
          </cell>
          <cell r="CH12">
            <v>42165</v>
          </cell>
          <cell r="CJ12">
            <v>42197</v>
          </cell>
          <cell r="CK12" t="str">
            <v>35</v>
          </cell>
          <cell r="CL12" t="str">
            <v>37</v>
          </cell>
          <cell r="CM12" t="str">
            <v>35</v>
          </cell>
          <cell r="CN12">
            <v>4</v>
          </cell>
          <cell r="CO12">
            <v>42168</v>
          </cell>
          <cell r="CP12">
            <v>42199</v>
          </cell>
          <cell r="CQ12" t="str">
            <v>M1: grid power + battery</v>
          </cell>
          <cell r="CR12">
            <v>1</v>
          </cell>
          <cell r="CS12">
            <v>42169</v>
          </cell>
          <cell r="CT12">
            <v>42200</v>
          </cell>
          <cell r="CU12" t="str">
            <v>AY0918</v>
          </cell>
          <cell r="DH12">
            <v>8</v>
          </cell>
          <cell r="DI12">
            <v>42179</v>
          </cell>
          <cell r="DJ12">
            <v>42208</v>
          </cell>
          <cell r="DK12">
            <v>42176</v>
          </cell>
          <cell r="DL12">
            <v>42242</v>
          </cell>
          <cell r="DM12">
            <v>42180</v>
          </cell>
          <cell r="DO12">
            <v>0</v>
          </cell>
          <cell r="DP12">
            <v>42179</v>
          </cell>
          <cell r="DQ12">
            <v>42208</v>
          </cell>
          <cell r="DT12">
            <v>25</v>
          </cell>
          <cell r="DU12">
            <v>42194</v>
          </cell>
          <cell r="DW12">
            <v>0</v>
          </cell>
          <cell r="DY12">
            <v>42180</v>
          </cell>
          <cell r="DZ12">
            <v>42210</v>
          </cell>
          <cell r="EA12" t="str">
            <v>IENG</v>
          </cell>
          <cell r="EJ12">
            <v>23</v>
          </cell>
          <cell r="EK12">
            <v>42195</v>
          </cell>
          <cell r="EM12">
            <v>42196</v>
          </cell>
          <cell r="EQ12">
            <v>42203</v>
          </cell>
          <cell r="EW12">
            <v>23</v>
          </cell>
          <cell r="EX12">
            <v>42211</v>
          </cell>
          <cell r="EZ12">
            <v>42213</v>
          </cell>
          <cell r="FB12">
            <v>42215</v>
          </cell>
          <cell r="FU12">
            <v>42217</v>
          </cell>
          <cell r="FW12">
            <v>42217</v>
          </cell>
          <cell r="GI12">
            <v>42307</v>
          </cell>
          <cell r="GJ12" t="str">
            <v>44-2015</v>
          </cell>
          <cell r="GN12" t="str">
            <v>ERICSSON</v>
          </cell>
          <cell r="GS12" t="str">
            <v>4/4/4</v>
          </cell>
          <cell r="GU12" t="str">
            <v xml:space="preserve">		</v>
          </cell>
          <cell r="HD12">
            <v>1</v>
          </cell>
        </row>
        <row r="13">
          <cell r="A13" t="str">
            <v>AY0925</v>
          </cell>
          <cell r="B13" t="str">
            <v>ACAY_0071</v>
          </cell>
          <cell r="C13" t="str">
            <v>Apollo</v>
          </cell>
          <cell r="D13" t="str">
            <v>Emilio Ruiz</v>
          </cell>
          <cell r="F13" t="str">
            <v>Phyo Wai Maung</v>
          </cell>
          <cell r="G13" t="str">
            <v>Thiha Kyaw</v>
          </cell>
          <cell r="H13" t="str">
            <v>RED</v>
          </cell>
          <cell r="I13" t="str">
            <v>South</v>
          </cell>
          <cell r="J13" t="str">
            <v>95.6595610006519</v>
          </cell>
          <cell r="K13" t="str">
            <v>16.6991447963191</v>
          </cell>
          <cell r="L13" t="str">
            <v>Rural</v>
          </cell>
          <cell r="M13" t="str">
            <v>Ayeyarwady</v>
          </cell>
          <cell r="N13" t="str">
            <v>Maubin</v>
          </cell>
          <cell r="O13" t="str">
            <v>Maubin</v>
          </cell>
          <cell r="P13" t="str">
            <v>Hinthada</v>
          </cell>
          <cell r="Q13" t="str">
            <v>13</v>
          </cell>
          <cell r="R13" t="str">
            <v>Maubin</v>
          </cell>
          <cell r="S13" t="str">
            <v>315</v>
          </cell>
          <cell r="T13" t="str">
            <v>GSM+UMTS</v>
          </cell>
          <cell r="W13" t="str">
            <v>Ph2-Priority</v>
          </cell>
          <cell r="X13" t="str">
            <v>45</v>
          </cell>
          <cell r="Y13" t="str">
            <v>47</v>
          </cell>
          <cell r="Z13" t="str">
            <v>GBT</v>
          </cell>
          <cell r="AA13" t="str">
            <v>250</v>
          </cell>
          <cell r="AB13" t="str">
            <v>Access</v>
          </cell>
          <cell r="AC13" t="str">
            <v>Class C</v>
          </cell>
          <cell r="BE13" t="str">
            <v>Route 5 Yangon - Pathein</v>
          </cell>
          <cell r="BH13" t="str">
            <v>IENG</v>
          </cell>
          <cell r="BJ13">
            <v>42143</v>
          </cell>
          <cell r="BK13">
            <v>42126</v>
          </cell>
          <cell r="BL13">
            <v>42148</v>
          </cell>
          <cell r="BM13">
            <v>42121</v>
          </cell>
          <cell r="BT13">
            <v>107</v>
          </cell>
          <cell r="BU13">
            <v>42241</v>
          </cell>
          <cell r="BV13">
            <v>42192</v>
          </cell>
          <cell r="BW13" t="str">
            <v>95.06034</v>
          </cell>
          <cell r="BX13" t="str">
            <v>17.27447</v>
          </cell>
          <cell r="BY13" t="str">
            <v>Reject</v>
          </cell>
          <cell r="BZ13" t="str">
            <v>No(15),Ta Zaung Yoe Village,Wat Yoke Compound,Yegyi Township, Ayeyarwady.</v>
          </cell>
          <cell r="CA13" t="str">
            <v>U Mya Hlaing;No(15),Ta Zaung Yoe Village,Wat Yoke Compound,Yegyi Township,Ayeyawady;09-32179674;(Ma Wai Thida Hlaing;09-32630663)</v>
          </cell>
          <cell r="CB13" t="str">
            <v>13 Aug 15: C1 deactivate because of After validation of Legal, site rejected due to Paddy land;20 May 15 : C1 SAR app;19 May 15 : C1 SAR sub</v>
          </cell>
          <cell r="CC13" t="str">
            <v>VILLAGE LAND</v>
          </cell>
          <cell r="CE13">
            <v>0</v>
          </cell>
          <cell r="CF13">
            <v>42242</v>
          </cell>
          <cell r="CG13">
            <v>42193</v>
          </cell>
          <cell r="CH13">
            <v>42244</v>
          </cell>
          <cell r="CJ13">
            <v>42196</v>
          </cell>
          <cell r="CK13" t="str">
            <v>45</v>
          </cell>
          <cell r="CL13" t="str">
            <v>47</v>
          </cell>
          <cell r="CM13" t="str">
            <v>50</v>
          </cell>
          <cell r="CN13">
            <v>0</v>
          </cell>
          <cell r="CO13">
            <v>42247</v>
          </cell>
          <cell r="CP13">
            <v>42198</v>
          </cell>
          <cell r="CQ13" t="str">
            <v>M4: solar + DG + battery</v>
          </cell>
          <cell r="CR13">
            <v>0</v>
          </cell>
          <cell r="CS13">
            <v>42248</v>
          </cell>
          <cell r="CT13">
            <v>42200</v>
          </cell>
          <cell r="CU13" t="str">
            <v>AY0925</v>
          </cell>
          <cell r="DH13">
            <v>0</v>
          </cell>
          <cell r="DI13">
            <v>42258</v>
          </cell>
          <cell r="DJ13">
            <v>42207</v>
          </cell>
          <cell r="DK13">
            <v>42255</v>
          </cell>
          <cell r="DL13">
            <v>42156</v>
          </cell>
          <cell r="DM13">
            <v>42259</v>
          </cell>
          <cell r="DO13">
            <v>0</v>
          </cell>
          <cell r="DP13">
            <v>42258</v>
          </cell>
          <cell r="DQ13">
            <v>42207</v>
          </cell>
          <cell r="DT13">
            <v>0</v>
          </cell>
          <cell r="DU13">
            <v>42273</v>
          </cell>
          <cell r="DW13">
            <v>0</v>
          </cell>
          <cell r="DY13">
            <v>42259</v>
          </cell>
          <cell r="DZ13">
            <v>42210</v>
          </cell>
          <cell r="EA13" t="str">
            <v>IENG</v>
          </cell>
          <cell r="EB13">
            <v>42227</v>
          </cell>
          <cell r="EE13" t="str">
            <v xml:space="preserve">11-Aug-15: Flood affceted site, No access curretly{Actual condition of the area near site, actual information from owner proposed site flood level is 1.0m and we cannot remobilize to this site for the moment.}								</v>
          </cell>
          <cell r="EJ13">
            <v>0</v>
          </cell>
          <cell r="EK13">
            <v>42276</v>
          </cell>
          <cell r="EM13">
            <v>42277</v>
          </cell>
          <cell r="EQ13">
            <v>42286</v>
          </cell>
          <cell r="EW13">
            <v>0</v>
          </cell>
          <cell r="EX13">
            <v>42287</v>
          </cell>
          <cell r="EZ13">
            <v>42296</v>
          </cell>
          <cell r="FB13">
            <v>42298</v>
          </cell>
          <cell r="FU13">
            <v>42300</v>
          </cell>
          <cell r="FW13">
            <v>42300</v>
          </cell>
          <cell r="GJ13">
            <v>0</v>
          </cell>
          <cell r="GN13" t="str">
            <v>ERICSSON</v>
          </cell>
          <cell r="GO13">
            <v>42158</v>
          </cell>
          <cell r="GS13" t="str">
            <v>4/4/4</v>
          </cell>
          <cell r="GU13" t="str">
            <v xml:space="preserve">		</v>
          </cell>
          <cell r="HD13">
            <v>1</v>
          </cell>
        </row>
        <row r="14">
          <cell r="A14" t="str">
            <v>AY0927</v>
          </cell>
          <cell r="B14" t="str">
            <v>ACAY_0072</v>
          </cell>
          <cell r="C14" t="str">
            <v>Apollo</v>
          </cell>
          <cell r="D14" t="str">
            <v>Emilio Ruiz</v>
          </cell>
          <cell r="F14" t="str">
            <v>Phyo Wai Maung</v>
          </cell>
          <cell r="G14" t="str">
            <v>Thiha Kyaw</v>
          </cell>
          <cell r="H14" t="str">
            <v>WHITE</v>
          </cell>
          <cell r="I14" t="str">
            <v>South</v>
          </cell>
          <cell r="J14" t="str">
            <v>94.8201325291857</v>
          </cell>
          <cell r="K14" t="str">
            <v>16.8383577860532</v>
          </cell>
          <cell r="L14" t="str">
            <v>Rural</v>
          </cell>
          <cell r="M14" t="str">
            <v>Ayeyarwady</v>
          </cell>
          <cell r="N14" t="str">
            <v>Kangyidaunt</v>
          </cell>
          <cell r="O14" t="str">
            <v>Kangyidaunt</v>
          </cell>
          <cell r="P14" t="str">
            <v>Pathein</v>
          </cell>
          <cell r="Q14" t="str">
            <v>14</v>
          </cell>
          <cell r="R14" t="str">
            <v>Kangyidaunt</v>
          </cell>
          <cell r="S14" t="str">
            <v>298</v>
          </cell>
          <cell r="T14" t="str">
            <v>GSM+UMTS</v>
          </cell>
          <cell r="W14" t="str">
            <v>Ph2-Priority</v>
          </cell>
          <cell r="X14" t="str">
            <v>45</v>
          </cell>
          <cell r="Y14" t="str">
            <v>45</v>
          </cell>
          <cell r="Z14" t="str">
            <v>GBT</v>
          </cell>
          <cell r="AA14" t="str">
            <v>500</v>
          </cell>
          <cell r="AB14" t="str">
            <v>Access</v>
          </cell>
          <cell r="AC14" t="str">
            <v>Class C</v>
          </cell>
          <cell r="BE14" t="str">
            <v>Route 5 Yangon - Pathein</v>
          </cell>
          <cell r="BH14" t="str">
            <v>IENG</v>
          </cell>
          <cell r="BJ14">
            <v>42124</v>
          </cell>
          <cell r="BK14">
            <v>42121</v>
          </cell>
          <cell r="BL14">
            <v>42129</v>
          </cell>
          <cell r="BM14">
            <v>42121</v>
          </cell>
          <cell r="BT14">
            <v>10</v>
          </cell>
          <cell r="BU14">
            <v>42126</v>
          </cell>
          <cell r="BV14">
            <v>42131</v>
          </cell>
          <cell r="BW14" t="str">
            <v>94.81777</v>
          </cell>
          <cell r="BX14" t="str">
            <v>16.83857</v>
          </cell>
          <cell r="BY14" t="str">
            <v>C1</v>
          </cell>
          <cell r="BZ14" t="str">
            <v>Aapin Nase Qtr,Kan gyi dauk Tsh.</v>
          </cell>
          <cell r="CA14" t="str">
            <v>U Thein Nyunt;Aapin Nase Qtr,Kan gyi dauk Tsh,09-36327708</v>
          </cell>
          <cell r="CB14" t="str">
            <v>7May15: C1 SAR Sub</v>
          </cell>
          <cell r="CC14" t="str">
            <v>Farm Land</v>
          </cell>
          <cell r="CE14">
            <v>5</v>
          </cell>
          <cell r="CF14">
            <v>42127</v>
          </cell>
          <cell r="CG14">
            <v>42136</v>
          </cell>
          <cell r="CH14">
            <v>42129</v>
          </cell>
          <cell r="CJ14">
            <v>42137</v>
          </cell>
          <cell r="CK14" t="str">
            <v>45</v>
          </cell>
          <cell r="CL14" t="str">
            <v>47</v>
          </cell>
          <cell r="CM14" t="str">
            <v>45</v>
          </cell>
          <cell r="CN14">
            <v>7</v>
          </cell>
          <cell r="CO14">
            <v>42132</v>
          </cell>
          <cell r="CP14">
            <v>42143</v>
          </cell>
          <cell r="CQ14" t="str">
            <v>M1: grid power + battery</v>
          </cell>
          <cell r="CR14">
            <v>1</v>
          </cell>
          <cell r="CS14">
            <v>42133</v>
          </cell>
          <cell r="CT14">
            <v>42144</v>
          </cell>
          <cell r="CU14" t="str">
            <v>AY0927</v>
          </cell>
          <cell r="DH14">
            <v>10</v>
          </cell>
          <cell r="DI14">
            <v>42173</v>
          </cell>
          <cell r="DJ14">
            <v>42154</v>
          </cell>
          <cell r="DK14">
            <v>42170</v>
          </cell>
          <cell r="DL14">
            <v>42156</v>
          </cell>
          <cell r="DM14">
            <v>42174</v>
          </cell>
          <cell r="DN14">
            <v>42159</v>
          </cell>
          <cell r="DO14">
            <v>0</v>
          </cell>
          <cell r="DP14">
            <v>42173</v>
          </cell>
          <cell r="DQ14">
            <v>42154</v>
          </cell>
          <cell r="DT14">
            <v>79</v>
          </cell>
          <cell r="DU14">
            <v>42188</v>
          </cell>
          <cell r="DW14">
            <v>0</v>
          </cell>
          <cell r="DY14">
            <v>42174</v>
          </cell>
          <cell r="DZ14">
            <v>42159</v>
          </cell>
          <cell r="EA14" t="str">
            <v>IENG</v>
          </cell>
          <cell r="ED14" t="str">
            <v>06Jul15 :YeHtet.Zaw: 30-June-2015;Tower erection is done.Telecom installation is ongoing.Power is on site.24-June-2015:Tower erection is ongoing.
22Jun15 :YeHtet.Zaw: 17-June-2015;Tower footing is done.</v>
          </cell>
          <cell r="EI14" t="str">
            <v>M5: grid power + DG + battery      </v>
          </cell>
          <cell r="EJ14">
            <v>7</v>
          </cell>
          <cell r="EK14">
            <v>42191</v>
          </cell>
          <cell r="EL14">
            <v>42166</v>
          </cell>
          <cell r="EM14">
            <v>42192</v>
          </cell>
          <cell r="EN14">
            <v>42167</v>
          </cell>
          <cell r="EQ14">
            <v>42201</v>
          </cell>
          <cell r="ER14">
            <v>42180</v>
          </cell>
          <cell r="ES14">
            <v>42171</v>
          </cell>
          <cell r="ET14">
            <v>42184</v>
          </cell>
          <cell r="EU14">
            <v>42184</v>
          </cell>
          <cell r="EW14">
            <v>74</v>
          </cell>
          <cell r="EX14">
            <v>42215</v>
          </cell>
          <cell r="EY14">
            <v>42242</v>
          </cell>
          <cell r="EZ14">
            <v>42211</v>
          </cell>
          <cell r="FA14">
            <v>42180</v>
          </cell>
          <cell r="FB14">
            <v>42213</v>
          </cell>
          <cell r="FC14">
            <v>42185</v>
          </cell>
          <cell r="FE14">
            <v>42160</v>
          </cell>
          <cell r="FG14">
            <v>42165</v>
          </cell>
          <cell r="FU14">
            <v>42215</v>
          </cell>
          <cell r="FV14">
            <v>42194</v>
          </cell>
          <cell r="FW14">
            <v>42215</v>
          </cell>
          <cell r="FX14">
            <v>42185</v>
          </cell>
          <cell r="FY14" t="str">
            <v>TN</v>
          </cell>
          <cell r="FZ14">
            <v>42170</v>
          </cell>
          <cell r="GA14">
            <v>42172</v>
          </cell>
          <cell r="GB14">
            <v>42180</v>
          </cell>
          <cell r="GC14">
            <v>42183</v>
          </cell>
          <cell r="GD14">
            <v>42183</v>
          </cell>
          <cell r="GE14">
            <v>42180</v>
          </cell>
          <cell r="GF14">
            <v>42180</v>
          </cell>
          <cell r="GG14">
            <v>42187</v>
          </cell>
          <cell r="GH14">
            <v>42188</v>
          </cell>
          <cell r="GI14">
            <v>42216</v>
          </cell>
          <cell r="GJ14" t="str">
            <v>27-2015</v>
          </cell>
          <cell r="GK14">
            <v>42188</v>
          </cell>
          <cell r="GN14" t="str">
            <v xml:space="preserve">ERICSSON </v>
          </cell>
          <cell r="GO14">
            <v>42191</v>
          </cell>
          <cell r="GP14">
            <v>42191</v>
          </cell>
          <cell r="GS14" t="str">
            <v>4/4/4</v>
          </cell>
          <cell r="GT14" t="str">
            <v>Dual Carrier</v>
          </cell>
          <cell r="GU14" t="str">
            <v xml:space="preserve">		</v>
          </cell>
          <cell r="HD14">
            <v>1</v>
          </cell>
        </row>
        <row r="15">
          <cell r="A15" t="str">
            <v>AY0928</v>
          </cell>
          <cell r="B15" t="str">
            <v>ACAY_0044</v>
          </cell>
          <cell r="C15" t="str">
            <v>Apollo</v>
          </cell>
          <cell r="D15" t="str">
            <v>Emilio Ruiz</v>
          </cell>
          <cell r="F15" t="str">
            <v>Phyo Wai Maung</v>
          </cell>
          <cell r="G15" t="str">
            <v>Thiha Kyaw</v>
          </cell>
          <cell r="H15" t="str">
            <v>WHITE</v>
          </cell>
          <cell r="I15" t="str">
            <v>South</v>
          </cell>
          <cell r="J15" t="str">
            <v>94.7748519447816</v>
          </cell>
          <cell r="K15" t="str">
            <v>17.0371028417209</v>
          </cell>
          <cell r="L15" t="str">
            <v>Rural</v>
          </cell>
          <cell r="M15" t="str">
            <v>Ayeyarwady</v>
          </cell>
          <cell r="N15" t="str">
            <v>Thabaung</v>
          </cell>
          <cell r="O15" t="str">
            <v>Thabaung</v>
          </cell>
          <cell r="P15" t="str">
            <v>Pathein</v>
          </cell>
          <cell r="Q15" t="str">
            <v>14</v>
          </cell>
          <cell r="R15" t="str">
            <v>Thabaung</v>
          </cell>
          <cell r="S15" t="str">
            <v>299</v>
          </cell>
          <cell r="T15" t="str">
            <v>GSM+UMTS</v>
          </cell>
          <cell r="W15" t="str">
            <v>Ph2-Priority</v>
          </cell>
          <cell r="X15" t="str">
            <v>45</v>
          </cell>
          <cell r="Y15" t="str">
            <v>47</v>
          </cell>
          <cell r="Z15" t="str">
            <v>GBT</v>
          </cell>
          <cell r="AA15" t="str">
            <v>500</v>
          </cell>
          <cell r="AB15" t="str">
            <v>Access</v>
          </cell>
          <cell r="AC15" t="str">
            <v>Class C</v>
          </cell>
          <cell r="BE15" t="str">
            <v>Route 5 Yangon - Pathein</v>
          </cell>
          <cell r="BH15" t="str">
            <v>IENG</v>
          </cell>
          <cell r="BJ15">
            <v>42130</v>
          </cell>
          <cell r="BK15">
            <v>42125</v>
          </cell>
          <cell r="BL15">
            <v>42135</v>
          </cell>
          <cell r="BM15">
            <v>42125</v>
          </cell>
          <cell r="BT15">
            <v>10</v>
          </cell>
          <cell r="BU15">
            <v>42118</v>
          </cell>
          <cell r="BV15">
            <v>42135</v>
          </cell>
          <cell r="BW15" t="str">
            <v>94.77805</v>
          </cell>
          <cell r="BX15" t="str">
            <v>17.03677</v>
          </cell>
          <cell r="BY15" t="str">
            <v>C1</v>
          </cell>
          <cell r="BZ15" t="str">
            <v>No.(6),San Gone Village,Hlay Gyi Tet Qtr,Tha Baung Township,Ayeyarwady.</v>
          </cell>
          <cell r="CA15" t="str">
            <v>U Kan Myint;No.6,Do San Gone Village,Hlay Gyi Tet Qtr,Tha Baung Tsh,09-31814081,09-49594503</v>
          </cell>
          <cell r="CB15" t="str">
            <v>11May15: C1 SAR Sub</v>
          </cell>
          <cell r="CE15">
            <v>1</v>
          </cell>
          <cell r="CF15">
            <v>42119</v>
          </cell>
          <cell r="CG15">
            <v>42136</v>
          </cell>
          <cell r="CH15">
            <v>42121</v>
          </cell>
          <cell r="CJ15">
            <v>42138</v>
          </cell>
          <cell r="CK15" t="str">
            <v>45</v>
          </cell>
          <cell r="CL15" t="str">
            <v>47</v>
          </cell>
          <cell r="CM15" t="str">
            <v>60</v>
          </cell>
          <cell r="CN15">
            <v>9</v>
          </cell>
          <cell r="CO15">
            <v>42124</v>
          </cell>
          <cell r="CP15">
            <v>42145</v>
          </cell>
          <cell r="CQ15" t="str">
            <v>M1: grid power + battery</v>
          </cell>
          <cell r="CR15">
            <v>1</v>
          </cell>
          <cell r="CS15">
            <v>42125</v>
          </cell>
          <cell r="CT15">
            <v>42146</v>
          </cell>
          <cell r="CU15" t="str">
            <v>AY0928</v>
          </cell>
          <cell r="DH15">
            <v>19</v>
          </cell>
          <cell r="DI15">
            <v>42163</v>
          </cell>
          <cell r="DJ15">
            <v>42165</v>
          </cell>
          <cell r="DK15">
            <v>42160</v>
          </cell>
          <cell r="DL15">
            <v>42166</v>
          </cell>
          <cell r="DM15">
            <v>42164</v>
          </cell>
          <cell r="DN15">
            <v>42171</v>
          </cell>
          <cell r="DO15">
            <v>0</v>
          </cell>
          <cell r="DP15">
            <v>42163</v>
          </cell>
          <cell r="DQ15">
            <v>42165</v>
          </cell>
          <cell r="DT15">
            <v>68</v>
          </cell>
          <cell r="DU15">
            <v>42178</v>
          </cell>
          <cell r="DW15">
            <v>0</v>
          </cell>
          <cell r="DY15">
            <v>42164</v>
          </cell>
          <cell r="DZ15">
            <v>42170</v>
          </cell>
          <cell r="EA15" t="str">
            <v>IENG</v>
          </cell>
          <cell r="ED15" t="str">
            <v>06Jul15 :YeHtet.Zaw: 30-June-2015;Tower is done.Power is on site.RFI.
26Jun15 :YeHtet.Zaw: 23June15;Tower footing is done.Tower equip is on site.Erection will start today.</v>
          </cell>
          <cell r="EI15" t="str">
            <v>M5: grid power + DG + battery      </v>
          </cell>
          <cell r="EJ15">
            <v>11</v>
          </cell>
          <cell r="EK15">
            <v>42186</v>
          </cell>
          <cell r="EL15">
            <v>42181</v>
          </cell>
          <cell r="EM15">
            <v>42187</v>
          </cell>
          <cell r="EN15">
            <v>42181</v>
          </cell>
          <cell r="EQ15">
            <v>42199</v>
          </cell>
          <cell r="ER15">
            <v>42185</v>
          </cell>
          <cell r="ES15">
            <v>42180</v>
          </cell>
          <cell r="ET15">
            <v>42185</v>
          </cell>
          <cell r="EU15">
            <v>42185</v>
          </cell>
          <cell r="EW15">
            <v>27</v>
          </cell>
          <cell r="EX15">
            <v>42213</v>
          </cell>
          <cell r="EY15">
            <v>42197</v>
          </cell>
          <cell r="EZ15">
            <v>42209</v>
          </cell>
          <cell r="FA15">
            <v>42185</v>
          </cell>
          <cell r="FB15">
            <v>42211</v>
          </cell>
          <cell r="FC15">
            <v>42185</v>
          </cell>
          <cell r="FE15">
            <v>42179</v>
          </cell>
          <cell r="FG15">
            <v>42195</v>
          </cell>
          <cell r="FU15">
            <v>42213</v>
          </cell>
          <cell r="FV15">
            <v>42197</v>
          </cell>
          <cell r="FW15">
            <v>42213</v>
          </cell>
          <cell r="FX15">
            <v>42185</v>
          </cell>
          <cell r="FY15" t="str">
            <v>EM</v>
          </cell>
          <cell r="FZ15">
            <v>42185</v>
          </cell>
          <cell r="GA15">
            <v>42186</v>
          </cell>
          <cell r="GB15">
            <v>42187</v>
          </cell>
          <cell r="GC15">
            <v>42188</v>
          </cell>
          <cell r="GD15">
            <v>42188</v>
          </cell>
          <cell r="GE15">
            <v>42187</v>
          </cell>
          <cell r="GF15">
            <v>42187</v>
          </cell>
          <cell r="GG15">
            <v>42189</v>
          </cell>
          <cell r="GH15">
            <v>42189</v>
          </cell>
          <cell r="GI15">
            <v>42216</v>
          </cell>
          <cell r="GJ15" t="str">
            <v>27-2015</v>
          </cell>
          <cell r="GK15">
            <v>42189</v>
          </cell>
          <cell r="GN15" t="str">
            <v xml:space="preserve">ERICSSON </v>
          </cell>
          <cell r="GS15" t="str">
            <v>4/4/4</v>
          </cell>
          <cell r="GU15" t="str">
            <v xml:space="preserve">		</v>
          </cell>
          <cell r="HD15">
            <v>1</v>
          </cell>
        </row>
        <row r="16">
          <cell r="A16" t="str">
            <v>AY0929</v>
          </cell>
          <cell r="B16" t="str">
            <v>ACAY_0073</v>
          </cell>
          <cell r="C16" t="str">
            <v>Apollo</v>
          </cell>
          <cell r="D16" t="str">
            <v>Emilio Ruiz</v>
          </cell>
          <cell r="F16" t="str">
            <v>Phyo Wai Maung</v>
          </cell>
          <cell r="G16" t="str">
            <v>Thiha Kyaw</v>
          </cell>
          <cell r="H16" t="str">
            <v>RED</v>
          </cell>
          <cell r="I16" t="str">
            <v>South</v>
          </cell>
          <cell r="J16" t="str">
            <v>95.6424602064683</v>
          </cell>
          <cell r="K16" t="str">
            <v>16.2744981814261</v>
          </cell>
          <cell r="L16" t="str">
            <v>Rural</v>
          </cell>
          <cell r="M16" t="str">
            <v>Ayeyarwady</v>
          </cell>
          <cell r="N16" t="str">
            <v>Pyapon</v>
          </cell>
          <cell r="O16" t="str">
            <v>Pyapon</v>
          </cell>
          <cell r="P16" t="str">
            <v>Hinthada</v>
          </cell>
          <cell r="Q16" t="str">
            <v>13</v>
          </cell>
          <cell r="R16" t="str">
            <v>Pyapon</v>
          </cell>
          <cell r="S16" t="str">
            <v>319</v>
          </cell>
          <cell r="T16" t="str">
            <v>GSM+UMTS</v>
          </cell>
          <cell r="W16" t="str">
            <v>Ph2-Priority</v>
          </cell>
          <cell r="X16" t="str">
            <v>45</v>
          </cell>
          <cell r="Y16" t="str">
            <v>45</v>
          </cell>
          <cell r="Z16" t="str">
            <v>GBT</v>
          </cell>
          <cell r="AA16" t="str">
            <v>500</v>
          </cell>
          <cell r="AB16" t="str">
            <v>Access</v>
          </cell>
          <cell r="AC16" t="str">
            <v>Class C</v>
          </cell>
          <cell r="BE16" t="str">
            <v>Yangon South</v>
          </cell>
          <cell r="BH16" t="str">
            <v>IENG</v>
          </cell>
          <cell r="BJ16">
            <v>42151</v>
          </cell>
          <cell r="BK16">
            <v>42121</v>
          </cell>
          <cell r="BL16">
            <v>42156</v>
          </cell>
          <cell r="BM16">
            <v>42123</v>
          </cell>
          <cell r="BT16">
            <v>112</v>
          </cell>
          <cell r="BU16">
            <v>42197</v>
          </cell>
          <cell r="BV16">
            <v>42126</v>
          </cell>
          <cell r="BW16" t="str">
            <v>95.26717</v>
          </cell>
          <cell r="BX16" t="str">
            <v>16.37546</v>
          </cell>
          <cell r="BY16" t="str">
            <v>C1</v>
          </cell>
          <cell r="BZ16" t="str">
            <v>Kan Nar Monastry,(6)Quarter,Mawlamyaing Gyun ,Ayeyarwady</v>
          </cell>
          <cell r="CA16" t="str">
            <v>U Eaith Thari Ya;Kan Nar Monastry ,(6)quarterMawlamyaing Gyun ,Ayeyarwady;09 8598035</v>
          </cell>
          <cell r="CB16" t="str">
            <v>2May15: C1 SAR Sub</v>
          </cell>
          <cell r="CE16">
            <v>0</v>
          </cell>
          <cell r="CF16">
            <v>42198</v>
          </cell>
          <cell r="CG16">
            <v>42128</v>
          </cell>
          <cell r="CH16">
            <v>42200</v>
          </cell>
          <cell r="CJ16">
            <v>42141</v>
          </cell>
          <cell r="CK16" t="str">
            <v>35</v>
          </cell>
          <cell r="CL16" t="str">
            <v>37</v>
          </cell>
          <cell r="CM16" t="str">
            <v>35</v>
          </cell>
          <cell r="CN16">
            <v>0</v>
          </cell>
          <cell r="CO16">
            <v>42203</v>
          </cell>
          <cell r="CP16">
            <v>42143</v>
          </cell>
          <cell r="CQ16" t="str">
            <v>M1: grid power + battery</v>
          </cell>
          <cell r="CR16">
            <v>0</v>
          </cell>
          <cell r="CS16">
            <v>42204</v>
          </cell>
          <cell r="CT16">
            <v>42144</v>
          </cell>
          <cell r="CU16" t="str">
            <v>AY0929</v>
          </cell>
          <cell r="DH16">
            <v>0</v>
          </cell>
          <cell r="DI16">
            <v>42214</v>
          </cell>
          <cell r="DJ16">
            <v>42170</v>
          </cell>
          <cell r="DK16">
            <v>42211</v>
          </cell>
          <cell r="DL16">
            <v>42153</v>
          </cell>
          <cell r="DM16">
            <v>42215</v>
          </cell>
          <cell r="DO16">
            <v>0</v>
          </cell>
          <cell r="DP16">
            <v>42214</v>
          </cell>
          <cell r="DQ16">
            <v>42170</v>
          </cell>
          <cell r="DT16">
            <v>0</v>
          </cell>
          <cell r="DU16">
            <v>42229</v>
          </cell>
          <cell r="DW16">
            <v>0</v>
          </cell>
          <cell r="DY16">
            <v>42215</v>
          </cell>
          <cell r="DZ16">
            <v>42224</v>
          </cell>
          <cell r="EA16" t="str">
            <v>IENG</v>
          </cell>
          <cell r="EJ16">
            <v>0</v>
          </cell>
          <cell r="EK16">
            <v>42232</v>
          </cell>
          <cell r="EM16">
            <v>42233</v>
          </cell>
          <cell r="EQ16">
            <v>42242</v>
          </cell>
          <cell r="EW16">
            <v>0</v>
          </cell>
          <cell r="EX16">
            <v>42215</v>
          </cell>
          <cell r="EZ16">
            <v>42252</v>
          </cell>
          <cell r="FB16">
            <v>42254</v>
          </cell>
          <cell r="FU16">
            <v>42256</v>
          </cell>
          <cell r="FW16">
            <v>42256</v>
          </cell>
          <cell r="GJ16">
            <v>0</v>
          </cell>
          <cell r="GN16" t="str">
            <v>ERICSSON</v>
          </cell>
          <cell r="GS16" t="str">
            <v>4/4/4</v>
          </cell>
          <cell r="GU16" t="str">
            <v xml:space="preserve">		</v>
          </cell>
          <cell r="HD16">
            <v>1</v>
          </cell>
        </row>
        <row r="17">
          <cell r="A17" t="str">
            <v>AY0930</v>
          </cell>
          <cell r="B17" t="str">
            <v>ACAY_0045</v>
          </cell>
          <cell r="C17" t="str">
            <v>Apollo</v>
          </cell>
          <cell r="D17" t="str">
            <v>Emilio Ruiz</v>
          </cell>
          <cell r="F17" t="str">
            <v>Phyo Wai Maung</v>
          </cell>
          <cell r="G17" t="str">
            <v>Thiha Kyaw</v>
          </cell>
          <cell r="H17" t="str">
            <v>RED</v>
          </cell>
          <cell r="I17" t="str">
            <v>South</v>
          </cell>
          <cell r="J17" t="str">
            <v>95.3590146870607</v>
          </cell>
          <cell r="K17" t="str">
            <v>16.2742013452549</v>
          </cell>
          <cell r="L17" t="str">
            <v>Rural</v>
          </cell>
          <cell r="M17" t="str">
            <v>Ayeyarwady</v>
          </cell>
          <cell r="N17" t="str">
            <v>Bogale</v>
          </cell>
          <cell r="O17" t="str">
            <v>Bogale</v>
          </cell>
          <cell r="P17" t="str">
            <v>Hinthada</v>
          </cell>
          <cell r="Q17" t="str">
            <v>13</v>
          </cell>
          <cell r="R17" t="str">
            <v>Bogale</v>
          </cell>
          <cell r="S17" t="str">
            <v>320</v>
          </cell>
          <cell r="T17" t="str">
            <v>GSM+UMTS</v>
          </cell>
          <cell r="W17" t="str">
            <v>Ph2-Priority</v>
          </cell>
          <cell r="X17" t="str">
            <v>45</v>
          </cell>
          <cell r="Y17" t="str">
            <v>47</v>
          </cell>
          <cell r="Z17" t="str">
            <v>GBT</v>
          </cell>
          <cell r="AA17" t="str">
            <v>500</v>
          </cell>
          <cell r="AB17" t="str">
            <v>Access</v>
          </cell>
          <cell r="AC17" t="str">
            <v>Class C</v>
          </cell>
          <cell r="BE17" t="str">
            <v>Route 5 Yangon - Pathein</v>
          </cell>
          <cell r="BH17" t="str">
            <v>IENG</v>
          </cell>
          <cell r="BJ17">
            <v>42165</v>
          </cell>
          <cell r="BK17">
            <v>42144</v>
          </cell>
          <cell r="BL17">
            <v>42170</v>
          </cell>
          <cell r="BM17">
            <v>42125</v>
          </cell>
          <cell r="BT17">
            <v>89</v>
          </cell>
          <cell r="BU17">
            <v>42251</v>
          </cell>
          <cell r="BV17">
            <v>42135</v>
          </cell>
          <cell r="BW17" t="str">
            <v>94.77805</v>
          </cell>
          <cell r="BX17" t="str">
            <v>17.03677</v>
          </cell>
          <cell r="BY17" t="str">
            <v>Reject</v>
          </cell>
          <cell r="BZ17" t="str">
            <v>No.(6),San Gone Village,Hlay Gyi Tet Qtr,Tha Baung Township,Ayeyarwady.</v>
          </cell>
          <cell r="CA17" t="str">
            <v>U Kan Myint;No.6,Do San Gone Village,Hlay Gyi Tet Qtr,Tha Baung Tsh,09-31814081,09-49594503</v>
          </cell>
          <cell r="CB17" t="str">
            <v>13 Aug 15: C4 deactivate because of its flooded and manual hauling is 1.2km, Too costly. ONM point of view and power is rejected;  26 Jun 15 : C4 SAR app;20Jun15: C4 SAR Sub. C1 to C3 Rejected bt AT</v>
          </cell>
          <cell r="CE17">
            <v>0</v>
          </cell>
          <cell r="CF17">
            <v>42252</v>
          </cell>
          <cell r="CG17">
            <v>42136</v>
          </cell>
          <cell r="CH17">
            <v>42254</v>
          </cell>
          <cell r="CJ17">
            <v>42138</v>
          </cell>
          <cell r="CK17" t="str">
            <v>45</v>
          </cell>
          <cell r="CL17" t="str">
            <v>47</v>
          </cell>
          <cell r="CM17" t="str">
            <v>60</v>
          </cell>
          <cell r="CN17">
            <v>0</v>
          </cell>
          <cell r="CO17">
            <v>42257</v>
          </cell>
          <cell r="CP17">
            <v>42145</v>
          </cell>
          <cell r="CQ17" t="str">
            <v>M4: solar + DG + battery</v>
          </cell>
          <cell r="CR17">
            <v>0</v>
          </cell>
          <cell r="CS17">
            <v>42258</v>
          </cell>
          <cell r="CT17">
            <v>42146</v>
          </cell>
          <cell r="CU17" t="str">
            <v>AY0930</v>
          </cell>
          <cell r="DH17">
            <v>0</v>
          </cell>
          <cell r="DI17">
            <v>42268</v>
          </cell>
          <cell r="DJ17">
            <v>42165</v>
          </cell>
          <cell r="DK17">
            <v>42265</v>
          </cell>
          <cell r="DL17">
            <v>42166</v>
          </cell>
          <cell r="DM17">
            <v>42269</v>
          </cell>
          <cell r="DN17">
            <v>42171</v>
          </cell>
          <cell r="DO17">
            <v>0</v>
          </cell>
          <cell r="DP17">
            <v>42268</v>
          </cell>
          <cell r="DQ17">
            <v>42165</v>
          </cell>
          <cell r="DT17">
            <v>0</v>
          </cell>
          <cell r="DU17">
            <v>42283</v>
          </cell>
          <cell r="DW17">
            <v>0</v>
          </cell>
          <cell r="DY17">
            <v>42269</v>
          </cell>
          <cell r="DZ17">
            <v>42170</v>
          </cell>
          <cell r="EA17" t="str">
            <v>IENG</v>
          </cell>
          <cell r="ED17" t="str">
            <v>06Jul15 :YeHtet.Zaw: 30-June-2015;Tower is done.Power is on site.RFI.
26Jun15 :YeHtet.Zaw: 23June15;Tower footing is done.Tower equip is on site.Erection will start today.</v>
          </cell>
          <cell r="EI17" t="str">
            <v>M5: grid power + DG + battery      </v>
          </cell>
          <cell r="EJ17">
            <v>0</v>
          </cell>
          <cell r="EK17">
            <v>42286</v>
          </cell>
          <cell r="EL17">
            <v>42181</v>
          </cell>
          <cell r="EM17">
            <v>42287</v>
          </cell>
          <cell r="EN17">
            <v>42181</v>
          </cell>
          <cell r="EQ17">
            <v>42296</v>
          </cell>
          <cell r="ER17">
            <v>42185</v>
          </cell>
          <cell r="ES17">
            <v>42180</v>
          </cell>
          <cell r="ET17">
            <v>42185</v>
          </cell>
          <cell r="EU17">
            <v>42185</v>
          </cell>
          <cell r="EW17">
            <v>0</v>
          </cell>
          <cell r="EX17">
            <v>42310</v>
          </cell>
          <cell r="EY17">
            <v>42197</v>
          </cell>
          <cell r="EZ17">
            <v>42306</v>
          </cell>
          <cell r="FA17">
            <v>42185</v>
          </cell>
          <cell r="FB17">
            <v>42308</v>
          </cell>
          <cell r="FC17">
            <v>42185</v>
          </cell>
          <cell r="FE17">
            <v>42179</v>
          </cell>
          <cell r="FG17">
            <v>42195</v>
          </cell>
          <cell r="FU17">
            <v>42310</v>
          </cell>
          <cell r="FV17">
            <v>42197</v>
          </cell>
          <cell r="FW17">
            <v>42310</v>
          </cell>
          <cell r="FX17">
            <v>42185</v>
          </cell>
          <cell r="FY17" t="str">
            <v>EM</v>
          </cell>
          <cell r="FZ17">
            <v>42185</v>
          </cell>
          <cell r="GA17">
            <v>42186</v>
          </cell>
          <cell r="GB17">
            <v>42187</v>
          </cell>
          <cell r="GC17">
            <v>42188</v>
          </cell>
          <cell r="GD17">
            <v>42188</v>
          </cell>
          <cell r="GE17">
            <v>42187</v>
          </cell>
          <cell r="GF17">
            <v>42187</v>
          </cell>
          <cell r="GG17">
            <v>42189</v>
          </cell>
          <cell r="GH17">
            <v>42189</v>
          </cell>
          <cell r="GI17">
            <v>42216</v>
          </cell>
          <cell r="GJ17">
            <v>0</v>
          </cell>
          <cell r="GK17">
            <v>42189</v>
          </cell>
          <cell r="GN17" t="str">
            <v xml:space="preserve">ERICSSON </v>
          </cell>
          <cell r="GS17" t="str">
            <v>4/4/4</v>
          </cell>
          <cell r="GU17" t="str">
            <v xml:space="preserve">		</v>
          </cell>
          <cell r="HD17">
            <v>1</v>
          </cell>
        </row>
        <row r="18">
          <cell r="A18" t="str">
            <v>AY0931</v>
          </cell>
          <cell r="B18" t="str">
            <v>ACAY_0074</v>
          </cell>
          <cell r="C18" t="str">
            <v>Apollo</v>
          </cell>
          <cell r="D18" t="str">
            <v>Emilio Ruiz</v>
          </cell>
          <cell r="F18" t="str">
            <v>Phyo Wai Maung</v>
          </cell>
          <cell r="G18" t="str">
            <v>Thiha Kyaw</v>
          </cell>
          <cell r="H18" t="str">
            <v>RED</v>
          </cell>
          <cell r="I18" t="str">
            <v>South</v>
          </cell>
          <cell r="J18" t="str">
            <v>95.2498389784995</v>
          </cell>
          <cell r="K18" t="str">
            <v>16.3488382757403</v>
          </cell>
          <cell r="L18" t="str">
            <v>Rural</v>
          </cell>
          <cell r="M18" t="str">
            <v>Ayeyarwady</v>
          </cell>
          <cell r="N18" t="str">
            <v>Mawlamyinegyun</v>
          </cell>
          <cell r="O18" t="str">
            <v>Mawlamyinegyun</v>
          </cell>
          <cell r="P18" t="str">
            <v>Pathein</v>
          </cell>
          <cell r="Q18" t="str">
            <v>14</v>
          </cell>
          <cell r="R18" t="str">
            <v>Mawlamyinegyun</v>
          </cell>
          <cell r="S18" t="str">
            <v>314</v>
          </cell>
          <cell r="T18" t="str">
            <v>GSM+UMTS</v>
          </cell>
          <cell r="W18" t="str">
            <v>Ph2-Priority</v>
          </cell>
          <cell r="X18" t="str">
            <v>45</v>
          </cell>
          <cell r="Y18" t="str">
            <v>45</v>
          </cell>
          <cell r="Z18" t="str">
            <v>GBT</v>
          </cell>
          <cell r="AA18" t="str">
            <v>500</v>
          </cell>
          <cell r="AB18" t="str">
            <v>Access</v>
          </cell>
          <cell r="AC18" t="str">
            <v>Class C</v>
          </cell>
          <cell r="BE18" t="str">
            <v>Route 5 Yangon - Pathein</v>
          </cell>
          <cell r="BH18" t="str">
            <v>IENG</v>
          </cell>
          <cell r="BJ18">
            <v>42111</v>
          </cell>
          <cell r="BK18">
            <v>42121</v>
          </cell>
          <cell r="BL18">
            <v>42116</v>
          </cell>
          <cell r="BM18">
            <v>42121</v>
          </cell>
          <cell r="BT18">
            <v>112</v>
          </cell>
          <cell r="BU18">
            <v>42212</v>
          </cell>
          <cell r="BV18">
            <v>42131</v>
          </cell>
          <cell r="BW18" t="str">
            <v>95.19213</v>
          </cell>
          <cell r="BX18" t="str">
            <v>17.30907</v>
          </cell>
          <cell r="BY18" t="str">
            <v>Reject</v>
          </cell>
          <cell r="BZ18" t="str">
            <v>No(73), Tayza (4) Road,Tay Za Quarter,Kyone Pyaw Township,Ayeyarwady.</v>
          </cell>
          <cell r="CA18" t="str">
            <v>U Thet Aung Naing;Daw San San Win;No(73), Tayza (4) Road,Tay Za Quarter,Kyone Pyaw Township,Ayeyarwady;09-250436707,09794552072</v>
          </cell>
          <cell r="CB18" t="str">
            <v>13 Aug 15: C1 deactivate because of TSS REJECTED,Off grid site with access by boat. To bad condition for the maintenance ; 9 Jun 15 : C1 TSSR app;8 Jun 15 : C1 TSSR sub;4 May 15: C1 SAR app;2May15: C1 SAR Sub.</v>
          </cell>
          <cell r="CC18" t="str">
            <v>Farm Land</v>
          </cell>
          <cell r="CE18">
            <v>0</v>
          </cell>
          <cell r="CF18">
            <v>42213</v>
          </cell>
          <cell r="CG18">
            <v>42136</v>
          </cell>
          <cell r="CH18">
            <v>42215</v>
          </cell>
          <cell r="CJ18">
            <v>42137</v>
          </cell>
          <cell r="CK18" t="str">
            <v>35</v>
          </cell>
          <cell r="CL18" t="str">
            <v>37</v>
          </cell>
          <cell r="CM18" t="str">
            <v>35</v>
          </cell>
          <cell r="CN18">
            <v>0</v>
          </cell>
          <cell r="CO18">
            <v>42218</v>
          </cell>
          <cell r="CP18">
            <v>42143</v>
          </cell>
          <cell r="CQ18" t="str">
            <v>M4: solar + DG + battery</v>
          </cell>
          <cell r="CR18">
            <v>0</v>
          </cell>
          <cell r="CS18">
            <v>42219</v>
          </cell>
          <cell r="CT18">
            <v>42144</v>
          </cell>
          <cell r="CU18" t="str">
            <v>AY0931</v>
          </cell>
          <cell r="DH18">
            <v>0</v>
          </cell>
          <cell r="DI18">
            <v>42229</v>
          </cell>
          <cell r="DJ18">
            <v>42154</v>
          </cell>
          <cell r="DK18">
            <v>42226</v>
          </cell>
          <cell r="DL18">
            <v>42156</v>
          </cell>
          <cell r="DM18">
            <v>42230</v>
          </cell>
          <cell r="DN18">
            <v>42159</v>
          </cell>
          <cell r="DO18">
            <v>0</v>
          </cell>
          <cell r="DP18">
            <v>42229</v>
          </cell>
          <cell r="DQ18">
            <v>42154</v>
          </cell>
          <cell r="DT18">
            <v>0</v>
          </cell>
          <cell r="DU18">
            <v>42244</v>
          </cell>
          <cell r="DW18">
            <v>0</v>
          </cell>
          <cell r="DY18">
            <v>42230</v>
          </cell>
          <cell r="DZ18">
            <v>42158</v>
          </cell>
          <cell r="EA18" t="str">
            <v>IENG</v>
          </cell>
          <cell r="ED18" t="str">
            <v>13Jul15 :Thiha.Kyaw: 10-7-15 Site on air.
06Jul15 :Thiha.Kyaw: 6-7-15 RFI Telecom. Fencing making in progress.
26Jun15 :Thiha.Kyaw: 26-6-15 Tower erection in progress.
22Jun15 :Thiha.Kyaw: 22-6-15 Pedestal Done. Back filling in progress.</v>
          </cell>
          <cell r="EE18" t="str">
            <v>19Jun15 Pedestal Done. Tower on site. Back filling in progress.</v>
          </cell>
          <cell r="EI18" t="str">
            <v>M5: grid power + DG + battery      </v>
          </cell>
          <cell r="EJ18">
            <v>0</v>
          </cell>
          <cell r="EK18">
            <v>42247</v>
          </cell>
          <cell r="EL18">
            <v>42178</v>
          </cell>
          <cell r="EM18">
            <v>42248</v>
          </cell>
          <cell r="EN18">
            <v>42180</v>
          </cell>
          <cell r="EQ18">
            <v>42257</v>
          </cell>
          <cell r="ER18">
            <v>42185</v>
          </cell>
          <cell r="ES18">
            <v>42182</v>
          </cell>
          <cell r="ET18">
            <v>42185</v>
          </cell>
          <cell r="EU18">
            <v>42185</v>
          </cell>
          <cell r="EW18">
            <v>0</v>
          </cell>
          <cell r="EX18">
            <v>42214</v>
          </cell>
          <cell r="EZ18">
            <v>42267</v>
          </cell>
          <cell r="FA18">
            <v>42186</v>
          </cell>
          <cell r="FB18">
            <v>42269</v>
          </cell>
          <cell r="FC18">
            <v>42191</v>
          </cell>
          <cell r="FE18">
            <v>42160</v>
          </cell>
          <cell r="FS18">
            <v>42192</v>
          </cell>
          <cell r="FT18" t="str">
            <v>Off Grid</v>
          </cell>
          <cell r="FU18">
            <v>42271</v>
          </cell>
          <cell r="FV18">
            <v>42191</v>
          </cell>
          <cell r="FW18">
            <v>42271</v>
          </cell>
          <cell r="FX18">
            <v>42191</v>
          </cell>
          <cell r="FY18" t="str">
            <v>EM</v>
          </cell>
          <cell r="FZ18">
            <v>42185</v>
          </cell>
          <cell r="GA18">
            <v>42186</v>
          </cell>
          <cell r="GB18">
            <v>42189</v>
          </cell>
          <cell r="GC18">
            <v>42189</v>
          </cell>
          <cell r="GD18">
            <v>42190</v>
          </cell>
          <cell r="GE18">
            <v>42191</v>
          </cell>
          <cell r="GF18">
            <v>42191</v>
          </cell>
          <cell r="GG18">
            <v>42191</v>
          </cell>
          <cell r="GH18">
            <v>42191</v>
          </cell>
          <cell r="GI18">
            <v>42216</v>
          </cell>
          <cell r="GJ18">
            <v>0</v>
          </cell>
          <cell r="GK18">
            <v>42191</v>
          </cell>
          <cell r="GN18" t="str">
            <v xml:space="preserve">ERICSSON </v>
          </cell>
          <cell r="GS18" t="str">
            <v>4/4/4</v>
          </cell>
          <cell r="GU18" t="str">
            <v xml:space="preserve">		</v>
          </cell>
          <cell r="HD18">
            <v>1</v>
          </cell>
        </row>
        <row r="19">
          <cell r="A19" t="str">
            <v>AY0934</v>
          </cell>
          <cell r="B19" t="str">
            <v>ACAY_0047</v>
          </cell>
          <cell r="C19" t="str">
            <v>Apollo</v>
          </cell>
          <cell r="D19" t="str">
            <v>Emilio Ruiz</v>
          </cell>
          <cell r="F19" t="str">
            <v>Phyo Wai Maung</v>
          </cell>
          <cell r="G19" t="str">
            <v>Thiha Kyaw</v>
          </cell>
          <cell r="H19" t="str">
            <v>RED</v>
          </cell>
          <cell r="I19" t="str">
            <v>South</v>
          </cell>
          <cell r="J19" t="str">
            <v>95.511740606518</v>
          </cell>
          <cell r="K19" t="str">
            <v>16.3327770008299</v>
          </cell>
          <cell r="L19" t="str">
            <v>Rural</v>
          </cell>
          <cell r="M19" t="str">
            <v>Ayeyarwady</v>
          </cell>
          <cell r="N19" t="str">
            <v>Bogale</v>
          </cell>
          <cell r="O19" t="str">
            <v>Bogale</v>
          </cell>
          <cell r="P19" t="str">
            <v>Hinthada</v>
          </cell>
          <cell r="Q19" t="str">
            <v>13</v>
          </cell>
          <cell r="R19" t="str">
            <v>Bogale</v>
          </cell>
          <cell r="S19" t="str">
            <v>320</v>
          </cell>
          <cell r="T19" t="str">
            <v>GSM+UMTS</v>
          </cell>
          <cell r="W19" t="str">
            <v>Ph2-Priority</v>
          </cell>
          <cell r="X19" t="str">
            <v>45</v>
          </cell>
          <cell r="Y19" t="str">
            <v>47</v>
          </cell>
          <cell r="Z19" t="str">
            <v>GBT</v>
          </cell>
          <cell r="AA19" t="str">
            <v>500</v>
          </cell>
          <cell r="AB19" t="str">
            <v>Access</v>
          </cell>
          <cell r="AC19" t="str">
            <v>Class C</v>
          </cell>
          <cell r="BE19" t="str">
            <v>Yangon South</v>
          </cell>
          <cell r="BH19" t="str">
            <v>IENG</v>
          </cell>
          <cell r="BJ19">
            <v>42165</v>
          </cell>
          <cell r="BK19">
            <v>42141</v>
          </cell>
          <cell r="BL19">
            <v>42170</v>
          </cell>
          <cell r="BM19">
            <v>42146</v>
          </cell>
          <cell r="BT19">
            <v>51</v>
          </cell>
          <cell r="BU19">
            <v>42251</v>
          </cell>
          <cell r="BV19">
            <v>42192</v>
          </cell>
          <cell r="BW19" t="str">
            <v>95.51304</v>
          </cell>
          <cell r="BX19" t="str">
            <v>16.33411</v>
          </cell>
          <cell r="BY19" t="str">
            <v>C2</v>
          </cell>
          <cell r="BZ19" t="str">
            <v>WART (1 ),Developing area,Myin Ka Kone Village,Bokalay Township, Ayeyarwady</v>
          </cell>
          <cell r="CA19" t="str">
            <v>U Ban Du;09-250750853</v>
          </cell>
          <cell r="CB19" t="str">
            <v>13 Aug 15: C4 deactivate because of its flooded and manual hauling is 1.2km, Too costly. ONM point of view and power is rejected;  26 Jun 15 : C4 SAR app;20Jun15: C4 SAR Sub. C1 to C3 Rejected bt AT</v>
          </cell>
          <cell r="CC19" t="str">
            <v>RESIDENTIAL</v>
          </cell>
          <cell r="CE19">
            <v>1</v>
          </cell>
          <cell r="CF19">
            <v>42252</v>
          </cell>
          <cell r="CG19">
            <v>42193</v>
          </cell>
          <cell r="CH19">
            <v>42254</v>
          </cell>
          <cell r="CJ19">
            <v>42196</v>
          </cell>
          <cell r="CK19" t="str">
            <v>45</v>
          </cell>
          <cell r="CL19" t="str">
            <v>47</v>
          </cell>
          <cell r="CM19" t="str">
            <v>50</v>
          </cell>
          <cell r="CN19">
            <v>5</v>
          </cell>
          <cell r="CO19">
            <v>42257</v>
          </cell>
          <cell r="CP19">
            <v>42198</v>
          </cell>
          <cell r="CQ19" t="str">
            <v>M1: grid power + battery</v>
          </cell>
          <cell r="CR19">
            <v>2</v>
          </cell>
          <cell r="CS19">
            <v>42258</v>
          </cell>
          <cell r="CT19">
            <v>42200</v>
          </cell>
          <cell r="CU19" t="str">
            <v>AY0934</v>
          </cell>
          <cell r="DH19">
            <v>33</v>
          </cell>
          <cell r="DI19">
            <v>42268</v>
          </cell>
          <cell r="DJ19">
            <v>42150</v>
          </cell>
          <cell r="DK19">
            <v>42265</v>
          </cell>
          <cell r="DL19">
            <v>42242</v>
          </cell>
          <cell r="DM19">
            <v>42269</v>
          </cell>
          <cell r="DN19">
            <v>42153</v>
          </cell>
          <cell r="DO19">
            <v>0</v>
          </cell>
          <cell r="DP19">
            <v>42268</v>
          </cell>
          <cell r="DQ19">
            <v>42150</v>
          </cell>
          <cell r="DT19">
            <v>0</v>
          </cell>
          <cell r="DU19">
            <v>42283</v>
          </cell>
          <cell r="DW19">
            <v>0</v>
          </cell>
          <cell r="DY19">
            <v>42269</v>
          </cell>
          <cell r="DZ19">
            <v>42233</v>
          </cell>
          <cell r="EA19" t="str">
            <v>IENG</v>
          </cell>
          <cell r="EJ19">
            <v>0</v>
          </cell>
          <cell r="EK19">
            <v>42286</v>
          </cell>
          <cell r="EM19">
            <v>42287</v>
          </cell>
          <cell r="EQ19">
            <v>42296</v>
          </cell>
          <cell r="EW19">
            <v>0</v>
          </cell>
          <cell r="EX19">
            <v>42310</v>
          </cell>
          <cell r="EZ19">
            <v>42306</v>
          </cell>
          <cell r="FB19">
            <v>42308</v>
          </cell>
          <cell r="FU19">
            <v>42310</v>
          </cell>
          <cell r="FW19">
            <v>42310</v>
          </cell>
          <cell r="GJ19">
            <v>0</v>
          </cell>
          <cell r="GN19" t="str">
            <v>ERICSSON</v>
          </cell>
          <cell r="GS19" t="str">
            <v>4/4/4</v>
          </cell>
          <cell r="GU19" t="str">
            <v xml:space="preserve">		</v>
          </cell>
          <cell r="HD19">
            <v>1</v>
          </cell>
        </row>
        <row r="20">
          <cell r="A20" t="str">
            <v>AY0944</v>
          </cell>
          <cell r="B20" t="str">
            <v>ACAY_0075</v>
          </cell>
          <cell r="C20" t="str">
            <v>Apollo</v>
          </cell>
          <cell r="D20" t="str">
            <v>Emilio Ruiz</v>
          </cell>
          <cell r="F20" t="str">
            <v>Phyo Wai Maung</v>
          </cell>
          <cell r="G20" t="str">
            <v>Thiha Kyaw</v>
          </cell>
          <cell r="H20" t="str">
            <v>WHITE</v>
          </cell>
          <cell r="I20" t="str">
            <v>South</v>
          </cell>
          <cell r="J20" t="str">
            <v>94.6856</v>
          </cell>
          <cell r="K20" t="str">
            <v>16.5332</v>
          </cell>
          <cell r="L20" t="str">
            <v>SubUrban</v>
          </cell>
          <cell r="M20" t="str">
            <v>Ayeyarwady</v>
          </cell>
          <cell r="N20" t="str">
            <v>Ngapudaw</v>
          </cell>
          <cell r="O20" t="str">
            <v>Ngapudaw</v>
          </cell>
          <cell r="P20" t="str">
            <v>Pathein</v>
          </cell>
          <cell r="Q20" t="str">
            <v>14</v>
          </cell>
          <cell r="R20" t="str">
            <v>Ngapudaw</v>
          </cell>
          <cell r="S20" t="str">
            <v>300</v>
          </cell>
          <cell r="T20" t="str">
            <v>GSM+UMTS</v>
          </cell>
          <cell r="W20" t="str">
            <v>Ph2-Priority</v>
          </cell>
          <cell r="X20" t="str">
            <v>35</v>
          </cell>
          <cell r="Y20" t="str">
            <v>35</v>
          </cell>
          <cell r="Z20" t="str">
            <v>GBT</v>
          </cell>
          <cell r="AA20" t="str">
            <v>250</v>
          </cell>
          <cell r="AB20" t="str">
            <v>Access</v>
          </cell>
          <cell r="AC20" t="str">
            <v>Class B</v>
          </cell>
          <cell r="BE20" t="str">
            <v>Route 5 Yangon - Pathein</v>
          </cell>
          <cell r="BH20" t="str">
            <v>IENG</v>
          </cell>
          <cell r="BJ20">
            <v>42109</v>
          </cell>
          <cell r="BK20">
            <v>42121</v>
          </cell>
          <cell r="BL20">
            <v>42114</v>
          </cell>
          <cell r="BM20">
            <v>42114</v>
          </cell>
          <cell r="BT20">
            <v>3</v>
          </cell>
          <cell r="BU20">
            <v>42124</v>
          </cell>
          <cell r="BV20">
            <v>42124</v>
          </cell>
          <cell r="BW20" t="str">
            <v>94.6866</v>
          </cell>
          <cell r="BX20" t="str">
            <v>16.53395</v>
          </cell>
          <cell r="BY20" t="str">
            <v>C1</v>
          </cell>
          <cell r="BZ20" t="str">
            <v>Dama Yeik Tha Road,Ngapudaw Tsh (north side).</v>
          </cell>
          <cell r="CA20" t="str">
            <v>DAW YIN YIN MYINT;Dama Yeik Tha Road,Ngapudaw Tsh (North Side);09-252381537</v>
          </cell>
          <cell r="CB20" t="str">
            <v>30 Apr 15: Adding plan tower height=37M because there is no plan height (RND approved with 35m/37m GBT.)</v>
          </cell>
          <cell r="CC20" t="str">
            <v>Garden Land</v>
          </cell>
          <cell r="CE20">
            <v>0</v>
          </cell>
          <cell r="CF20">
            <v>42125</v>
          </cell>
          <cell r="CG20">
            <v>42124</v>
          </cell>
          <cell r="CH20">
            <v>42127</v>
          </cell>
          <cell r="CJ20">
            <v>42130</v>
          </cell>
          <cell r="CK20" t="str">
            <v>35</v>
          </cell>
          <cell r="CL20" t="str">
            <v>37</v>
          </cell>
          <cell r="CM20" t="str">
            <v>35</v>
          </cell>
          <cell r="CN20">
            <v>6</v>
          </cell>
          <cell r="CO20">
            <v>42130</v>
          </cell>
          <cell r="CP20">
            <v>42130</v>
          </cell>
          <cell r="CQ20" t="str">
            <v>M1: grid power + battery</v>
          </cell>
          <cell r="CR20">
            <v>6</v>
          </cell>
          <cell r="CS20">
            <v>42131</v>
          </cell>
          <cell r="CT20">
            <v>42136</v>
          </cell>
          <cell r="CU20" t="str">
            <v>AY0944</v>
          </cell>
          <cell r="DH20">
            <v>14</v>
          </cell>
          <cell r="DI20">
            <v>42141</v>
          </cell>
          <cell r="DJ20">
            <v>42150</v>
          </cell>
          <cell r="DK20">
            <v>42138</v>
          </cell>
          <cell r="DL20">
            <v>42153</v>
          </cell>
          <cell r="DM20">
            <v>42156</v>
          </cell>
          <cell r="DN20">
            <v>42153</v>
          </cell>
          <cell r="DO20">
            <v>0</v>
          </cell>
          <cell r="DP20">
            <v>42141</v>
          </cell>
          <cell r="DQ20">
            <v>42150</v>
          </cell>
          <cell r="DT20">
            <v>83</v>
          </cell>
          <cell r="DU20">
            <v>42156</v>
          </cell>
          <cell r="DW20">
            <v>0</v>
          </cell>
          <cell r="DY20">
            <v>42156</v>
          </cell>
          <cell r="DZ20">
            <v>42157</v>
          </cell>
          <cell r="EA20" t="str">
            <v>IENG</v>
          </cell>
          <cell r="ED20" t="str">
            <v xml:space="preserve">25Jun15 :YeHtet.Zaw: 11-Jun-2015;Tower footing is done.17-June-2015;Tower erection is ongoing.24-June-2015;Tower is done.Power is on site.Telecom installation is on going.
</v>
          </cell>
          <cell r="EI20" t="str">
            <v>M5: grid power + DG + battery      </v>
          </cell>
          <cell r="EJ20">
            <v>7</v>
          </cell>
          <cell r="EK20">
            <v>42166</v>
          </cell>
          <cell r="EL20">
            <v>42164</v>
          </cell>
          <cell r="EM20">
            <v>42167</v>
          </cell>
          <cell r="EN20">
            <v>42168</v>
          </cell>
          <cell r="EQ20">
            <v>42174</v>
          </cell>
          <cell r="ER20">
            <v>42172</v>
          </cell>
          <cell r="ES20">
            <v>42167</v>
          </cell>
          <cell r="ET20">
            <v>42173</v>
          </cell>
          <cell r="EU20">
            <v>42173</v>
          </cell>
          <cell r="EV20">
            <v>42193</v>
          </cell>
          <cell r="EW20">
            <v>27</v>
          </cell>
          <cell r="EX20">
            <v>42185</v>
          </cell>
          <cell r="EY20">
            <v>42184</v>
          </cell>
          <cell r="EZ20">
            <v>42181</v>
          </cell>
          <cell r="FA20">
            <v>42177</v>
          </cell>
          <cell r="FB20">
            <v>42183</v>
          </cell>
          <cell r="FC20">
            <v>42178</v>
          </cell>
          <cell r="FE20">
            <v>42160</v>
          </cell>
          <cell r="FG20">
            <v>42165</v>
          </cell>
          <cell r="FU20">
            <v>42185</v>
          </cell>
          <cell r="FV20">
            <v>42184</v>
          </cell>
          <cell r="FW20">
            <v>42185</v>
          </cell>
          <cell r="FX20">
            <v>42178</v>
          </cell>
          <cell r="FY20" t="str">
            <v>TN</v>
          </cell>
          <cell r="FZ20">
            <v>42170</v>
          </cell>
          <cell r="GA20">
            <v>42172</v>
          </cell>
          <cell r="GB20">
            <v>42174</v>
          </cell>
          <cell r="GC20">
            <v>42176</v>
          </cell>
          <cell r="GD20">
            <v>42176</v>
          </cell>
          <cell r="GE20">
            <v>42176</v>
          </cell>
          <cell r="GF20">
            <v>42178</v>
          </cell>
          <cell r="GG20">
            <v>42178</v>
          </cell>
          <cell r="GH20">
            <v>42179</v>
          </cell>
          <cell r="GI20">
            <v>42185</v>
          </cell>
          <cell r="GJ20" t="str">
            <v>26-2015</v>
          </cell>
          <cell r="GK20">
            <v>42180</v>
          </cell>
          <cell r="GN20" t="str">
            <v xml:space="preserve">ERICSSON </v>
          </cell>
          <cell r="GS20" t="str">
            <v>4/4/4</v>
          </cell>
          <cell r="GT20" t="str">
            <v>Dual Carrier</v>
          </cell>
          <cell r="GU20" t="str">
            <v xml:space="preserve">		</v>
          </cell>
          <cell r="HD20">
            <v>1</v>
          </cell>
        </row>
        <row r="21">
          <cell r="A21" t="str">
            <v>AY0949</v>
          </cell>
          <cell r="B21" t="str">
            <v>ACAY_0076</v>
          </cell>
          <cell r="C21" t="str">
            <v>Apollo</v>
          </cell>
          <cell r="D21" t="str">
            <v>Emilio Ruiz</v>
          </cell>
          <cell r="F21" t="str">
            <v>Phyo Wai Maung</v>
          </cell>
          <cell r="G21" t="str">
            <v>Thiha Kyaw</v>
          </cell>
          <cell r="H21" t="str">
            <v>RED</v>
          </cell>
          <cell r="I21" t="str">
            <v>South</v>
          </cell>
          <cell r="J21" t="str">
            <v>95.483679</v>
          </cell>
          <cell r="K21" t="str">
            <v>17.472586</v>
          </cell>
          <cell r="L21" t="str">
            <v>Rural</v>
          </cell>
          <cell r="M21" t="str">
            <v>Ayeyarwady</v>
          </cell>
          <cell r="N21" t="str">
            <v>Zalun</v>
          </cell>
          <cell r="O21" t="str">
            <v>Zalun</v>
          </cell>
          <cell r="P21" t="str">
            <v>Hinthada</v>
          </cell>
          <cell r="Q21" t="str">
            <v>13</v>
          </cell>
          <cell r="R21" t="str">
            <v>Zalun</v>
          </cell>
          <cell r="S21" t="str">
            <v>305</v>
          </cell>
          <cell r="T21" t="str">
            <v>GSM+UMTS</v>
          </cell>
          <cell r="W21" t="str">
            <v>Ph2-Priority</v>
          </cell>
          <cell r="X21" t="str">
            <v>45</v>
          </cell>
          <cell r="Y21" t="str">
            <v>47</v>
          </cell>
          <cell r="Z21" t="str">
            <v>GBT</v>
          </cell>
          <cell r="AA21" t="str">
            <v>500</v>
          </cell>
          <cell r="AB21" t="str">
            <v>Access</v>
          </cell>
          <cell r="AC21" t="str">
            <v>Class C</v>
          </cell>
          <cell r="BE21" t="str">
            <v>Route 5 Yangon - Pathein</v>
          </cell>
          <cell r="BH21" t="str">
            <v>IENG</v>
          </cell>
          <cell r="BJ21">
            <v>42131</v>
          </cell>
          <cell r="BK21">
            <v>42119</v>
          </cell>
          <cell r="BL21">
            <v>42136</v>
          </cell>
          <cell r="BM21">
            <v>42133</v>
          </cell>
          <cell r="BT21">
            <v>114</v>
          </cell>
          <cell r="BU21">
            <v>42136</v>
          </cell>
          <cell r="BV21">
            <v>42173</v>
          </cell>
          <cell r="BW21" t="str">
            <v>94.90393</v>
          </cell>
          <cell r="BX21" t="str">
            <v>16.91647</v>
          </cell>
          <cell r="BY21" t="str">
            <v>Reject</v>
          </cell>
          <cell r="BZ21" t="str">
            <v>No.4 Qtr ,Kan gyi dauk Myo thit ,Kan gyi dauk Tsp.</v>
          </cell>
          <cell r="CA21" t="str">
            <v>Mg Aarli</v>
          </cell>
          <cell r="CB21" t="str">
            <v>13 Aug 15: C1 deactivate because of After validation of Legal, site rejected due to Paddy land;23May15: C2 SAR Sub. C1 SAR Approved.27 May 15 : C1 TSSR app;26 May 15 : C1 TSSR sub;13 May 15 :C1 SAR app; 12May15: C1 SAR Sub.</v>
          </cell>
          <cell r="CC21" t="str">
            <v>Garden Land</v>
          </cell>
          <cell r="CE21">
            <v>0</v>
          </cell>
          <cell r="CF21">
            <v>42137</v>
          </cell>
          <cell r="CG21">
            <v>42174</v>
          </cell>
          <cell r="CH21">
            <v>42139</v>
          </cell>
          <cell r="CJ21">
            <v>42177</v>
          </cell>
          <cell r="CK21" t="str">
            <v>45</v>
          </cell>
          <cell r="CL21" t="str">
            <v>47</v>
          </cell>
          <cell r="CM21" t="str">
            <v>50</v>
          </cell>
          <cell r="CN21">
            <v>0</v>
          </cell>
          <cell r="CO21">
            <v>42142</v>
          </cell>
          <cell r="CP21">
            <v>42179</v>
          </cell>
          <cell r="CQ21" t="str">
            <v>M4: solar + DG + battery</v>
          </cell>
          <cell r="CR21">
            <v>0</v>
          </cell>
          <cell r="CS21">
            <v>42143</v>
          </cell>
          <cell r="CT21">
            <v>42180</v>
          </cell>
          <cell r="CU21" t="str">
            <v>AY0949</v>
          </cell>
          <cell r="DH21">
            <v>0</v>
          </cell>
          <cell r="DI21">
            <v>42163</v>
          </cell>
          <cell r="DJ21">
            <v>42198</v>
          </cell>
          <cell r="DK21">
            <v>42160</v>
          </cell>
          <cell r="DM21">
            <v>42164</v>
          </cell>
          <cell r="DO21">
            <v>0</v>
          </cell>
          <cell r="DP21">
            <v>42163</v>
          </cell>
          <cell r="DQ21">
            <v>42198</v>
          </cell>
          <cell r="DT21">
            <v>0</v>
          </cell>
          <cell r="DU21">
            <v>42178</v>
          </cell>
          <cell r="DW21">
            <v>0</v>
          </cell>
          <cell r="DY21">
            <v>42164</v>
          </cell>
          <cell r="DZ21">
            <v>42195</v>
          </cell>
          <cell r="EA21" t="str">
            <v>IENG</v>
          </cell>
          <cell r="EE21" t="str">
            <v xml:space="preserve">10 Aug 15:Rain affected_Progress affected; 3-Aug-15:anchor bolt setting								</v>
          </cell>
          <cell r="EJ21">
            <v>0</v>
          </cell>
          <cell r="EK21">
            <v>42181</v>
          </cell>
          <cell r="EL21">
            <v>42226</v>
          </cell>
          <cell r="EM21">
            <v>42182</v>
          </cell>
          <cell r="EN21">
            <v>42226</v>
          </cell>
          <cell r="EQ21">
            <v>42191</v>
          </cell>
          <cell r="ER21">
            <v>42234</v>
          </cell>
          <cell r="EW21">
            <v>0</v>
          </cell>
          <cell r="EX21">
            <v>42205</v>
          </cell>
          <cell r="EZ21">
            <v>42201</v>
          </cell>
          <cell r="FB21">
            <v>42203</v>
          </cell>
          <cell r="FU21">
            <v>42205</v>
          </cell>
          <cell r="FW21">
            <v>42205</v>
          </cell>
          <cell r="FY21" t="str">
            <v>EM</v>
          </cell>
          <cell r="FZ21">
            <v>42227</v>
          </cell>
          <cell r="GA21">
            <v>42235</v>
          </cell>
          <cell r="GI21">
            <v>42246</v>
          </cell>
          <cell r="GJ21">
            <v>0</v>
          </cell>
          <cell r="GN21" t="str">
            <v>ERICSSON</v>
          </cell>
          <cell r="GQ21" t="str">
            <v xml:space="preserve">Equipment Not Delivered; </v>
          </cell>
          <cell r="GS21" t="str">
            <v>4/4/4</v>
          </cell>
          <cell r="GU21" t="str">
            <v xml:space="preserve">		</v>
          </cell>
          <cell r="HD21">
            <v>1</v>
          </cell>
        </row>
        <row r="22">
          <cell r="A22" t="str">
            <v>AY0951</v>
          </cell>
          <cell r="B22" t="str">
            <v>ACAY_0077</v>
          </cell>
          <cell r="C22" t="str">
            <v>Apollo</v>
          </cell>
          <cell r="D22" t="str">
            <v>Emilio Ruiz</v>
          </cell>
          <cell r="F22" t="str">
            <v>Phyo Wai Maung</v>
          </cell>
          <cell r="G22" t="str">
            <v>Thiha Kyaw</v>
          </cell>
          <cell r="H22" t="str">
            <v>WHITE</v>
          </cell>
          <cell r="I22" t="str">
            <v>South</v>
          </cell>
          <cell r="J22" t="str">
            <v>95.5252</v>
          </cell>
          <cell r="K22" t="str">
            <v>17.4343</v>
          </cell>
          <cell r="L22" t="str">
            <v>Rural</v>
          </cell>
          <cell r="M22" t="str">
            <v>Ayeyarwady</v>
          </cell>
          <cell r="N22" t="str">
            <v>Zalun</v>
          </cell>
          <cell r="O22" t="str">
            <v>Zalun</v>
          </cell>
          <cell r="P22" t="str">
            <v>Hinthada</v>
          </cell>
          <cell r="Q22" t="str">
            <v>13</v>
          </cell>
          <cell r="R22" t="str">
            <v>Zalun</v>
          </cell>
          <cell r="S22" t="str">
            <v>305</v>
          </cell>
          <cell r="T22" t="str">
            <v>GSM+UMTS</v>
          </cell>
          <cell r="W22" t="str">
            <v>Ph2-Priority</v>
          </cell>
          <cell r="X22" t="str">
            <v>45</v>
          </cell>
          <cell r="Y22" t="str">
            <v>47</v>
          </cell>
          <cell r="Z22" t="str">
            <v>GBT</v>
          </cell>
          <cell r="AA22" t="str">
            <v>500</v>
          </cell>
          <cell r="AB22" t="str">
            <v>Access</v>
          </cell>
          <cell r="AC22" t="str">
            <v>Class C</v>
          </cell>
          <cell r="BE22" t="str">
            <v>Route 5 Yangon - Pathein</v>
          </cell>
          <cell r="BH22" t="str">
            <v>IENG</v>
          </cell>
          <cell r="BJ22">
            <v>42131</v>
          </cell>
          <cell r="BK22">
            <v>42119</v>
          </cell>
          <cell r="BL22">
            <v>42136</v>
          </cell>
          <cell r="BM22">
            <v>42126</v>
          </cell>
          <cell r="BT22">
            <v>17</v>
          </cell>
          <cell r="BU22">
            <v>42125</v>
          </cell>
          <cell r="BV22">
            <v>42136</v>
          </cell>
          <cell r="BW22" t="str">
            <v>95.52698</v>
          </cell>
          <cell r="BX22" t="str">
            <v>17.43414</v>
          </cell>
          <cell r="BY22" t="str">
            <v>C1</v>
          </cell>
          <cell r="BZ22" t="str">
            <v>Oak Shit Kwin Village track,Zalun ,Ayeyarwaddy</v>
          </cell>
          <cell r="CA22" t="str">
            <v>Daw Myint Myint;Oak Shit Kwin Village,Zalun ,Ayeyarwaddy;09-260398976</v>
          </cell>
          <cell r="CB22" t="str">
            <v>12May15: C1 SAR Sub.</v>
          </cell>
          <cell r="CC22" t="str">
            <v>Garden Land</v>
          </cell>
          <cell r="CE22">
            <v>1</v>
          </cell>
          <cell r="CF22">
            <v>42126</v>
          </cell>
          <cell r="CG22">
            <v>42137</v>
          </cell>
          <cell r="CH22">
            <v>42128</v>
          </cell>
          <cell r="CJ22">
            <v>42138</v>
          </cell>
          <cell r="CK22" t="str">
            <v>46</v>
          </cell>
          <cell r="CL22" t="str">
            <v>47</v>
          </cell>
          <cell r="CM22" t="str">
            <v>50</v>
          </cell>
          <cell r="CN22">
            <v>8</v>
          </cell>
          <cell r="CO22">
            <v>42131</v>
          </cell>
          <cell r="CP22">
            <v>42145</v>
          </cell>
          <cell r="CQ22" t="str">
            <v>M4: solar + DG + battery</v>
          </cell>
          <cell r="CR22">
            <v>1</v>
          </cell>
          <cell r="CS22">
            <v>42132</v>
          </cell>
          <cell r="CT22">
            <v>42146</v>
          </cell>
          <cell r="CU22" t="str">
            <v>AY0951</v>
          </cell>
          <cell r="DH22">
            <v>12</v>
          </cell>
          <cell r="DI22">
            <v>42173</v>
          </cell>
          <cell r="DJ22">
            <v>42158</v>
          </cell>
          <cell r="DK22">
            <v>42170</v>
          </cell>
          <cell r="DL22">
            <v>42163</v>
          </cell>
          <cell r="DM22">
            <v>42174</v>
          </cell>
          <cell r="DN22">
            <v>42163</v>
          </cell>
          <cell r="DO22">
            <v>0</v>
          </cell>
          <cell r="DP22">
            <v>42173</v>
          </cell>
          <cell r="DQ22">
            <v>42158</v>
          </cell>
          <cell r="DT22">
            <v>75</v>
          </cell>
          <cell r="DU22">
            <v>42188</v>
          </cell>
          <cell r="DW22">
            <v>0</v>
          </cell>
          <cell r="DY22">
            <v>42174</v>
          </cell>
          <cell r="DZ22">
            <v>42164</v>
          </cell>
          <cell r="EA22" t="str">
            <v>IENG</v>
          </cell>
          <cell r="ED22" t="str">
            <v>13Jul15 :Thiha.Kyaw: 13-7-15 Site on air.
06Jul15 :Thiha.Kyaw: 6-7-15 RFI Telecom..
26Jun15 :Thiha.Kyaw: 26-6-15 Tower erection in progress. Equipment pad Done.
22Jun15 :Thiha.Kyaw: 22-6-15 Pedestal Done. Back filling in progress.</v>
          </cell>
          <cell r="EE22" t="str">
            <v>19Jun15 Footing Done. Pedestal making in progress. 17Jun15: Footing casting in progress.</v>
          </cell>
          <cell r="EI22" t="str">
            <v>M7: DG + battery      </v>
          </cell>
          <cell r="EJ22">
            <v>11</v>
          </cell>
          <cell r="EK22">
            <v>42191</v>
          </cell>
          <cell r="EL22">
            <v>42175</v>
          </cell>
          <cell r="EM22">
            <v>42192</v>
          </cell>
          <cell r="EN22">
            <v>42180</v>
          </cell>
          <cell r="EQ22">
            <v>42201</v>
          </cell>
          <cell r="ER22">
            <v>42188</v>
          </cell>
          <cell r="ES22">
            <v>42180</v>
          </cell>
          <cell r="ET22">
            <v>42188</v>
          </cell>
          <cell r="EU22">
            <v>42188</v>
          </cell>
          <cell r="EV22">
            <v>42195</v>
          </cell>
          <cell r="EW22">
            <v>69</v>
          </cell>
          <cell r="EX22">
            <v>42215</v>
          </cell>
          <cell r="EY22">
            <v>42242</v>
          </cell>
          <cell r="EZ22">
            <v>42211</v>
          </cell>
          <cell r="FA22">
            <v>42188</v>
          </cell>
          <cell r="FB22">
            <v>42213</v>
          </cell>
          <cell r="FC22">
            <v>42192</v>
          </cell>
          <cell r="FE22">
            <v>42179</v>
          </cell>
          <cell r="FS22">
            <v>42192</v>
          </cell>
          <cell r="FT22" t="str">
            <v>Off Grid</v>
          </cell>
          <cell r="FU22">
            <v>42215</v>
          </cell>
          <cell r="FV22">
            <v>42193</v>
          </cell>
          <cell r="FW22">
            <v>42215</v>
          </cell>
          <cell r="FX22">
            <v>42192</v>
          </cell>
          <cell r="FY22" t="str">
            <v>EM</v>
          </cell>
          <cell r="FZ22">
            <v>42178</v>
          </cell>
          <cell r="GA22">
            <v>42180</v>
          </cell>
          <cell r="GB22">
            <v>42190</v>
          </cell>
          <cell r="GC22">
            <v>42191</v>
          </cell>
          <cell r="GD22">
            <v>42191</v>
          </cell>
          <cell r="GE22">
            <v>42192</v>
          </cell>
          <cell r="GF22">
            <v>42192</v>
          </cell>
          <cell r="GG22">
            <v>42193</v>
          </cell>
          <cell r="GH22">
            <v>42193</v>
          </cell>
          <cell r="GI22">
            <v>42216</v>
          </cell>
          <cell r="GJ22" t="str">
            <v>28-2015</v>
          </cell>
          <cell r="GK22">
            <v>42193</v>
          </cell>
          <cell r="GN22" t="str">
            <v xml:space="preserve">ERICSSON </v>
          </cell>
          <cell r="GS22" t="str">
            <v>4/4/4</v>
          </cell>
          <cell r="GT22" t="str">
            <v>Dual Carrier</v>
          </cell>
          <cell r="GU22" t="str">
            <v xml:space="preserve">		</v>
          </cell>
          <cell r="HD22">
            <v>1</v>
          </cell>
        </row>
        <row r="23">
          <cell r="A23" t="str">
            <v>AY0955</v>
          </cell>
          <cell r="B23" t="str">
            <v>ACAY_0078</v>
          </cell>
          <cell r="C23" t="str">
            <v>Apollo</v>
          </cell>
          <cell r="D23" t="str">
            <v>Emilio Ruiz</v>
          </cell>
          <cell r="F23" t="str">
            <v>Phyo Wai Maung</v>
          </cell>
          <cell r="G23" t="str">
            <v>Thiha Kyaw</v>
          </cell>
          <cell r="H23" t="str">
            <v>RED</v>
          </cell>
          <cell r="I23" t="str">
            <v>South</v>
          </cell>
          <cell r="J23" t="str">
            <v>95.4156</v>
          </cell>
          <cell r="K23" t="str">
            <v>17.6722</v>
          </cell>
          <cell r="L23" t="str">
            <v>Rural</v>
          </cell>
          <cell r="M23" t="str">
            <v>Ayeyarwady</v>
          </cell>
          <cell r="N23" t="str">
            <v>Hinthada</v>
          </cell>
          <cell r="O23" t="str">
            <v>Hinthada</v>
          </cell>
          <cell r="P23" t="str">
            <v>Hinthada</v>
          </cell>
          <cell r="Q23" t="str">
            <v>13</v>
          </cell>
          <cell r="R23" t="str">
            <v>Hinthada</v>
          </cell>
          <cell r="S23" t="str">
            <v>304</v>
          </cell>
          <cell r="T23" t="str">
            <v>GSM+UMTS</v>
          </cell>
          <cell r="W23" t="str">
            <v>Ph2-Priority</v>
          </cell>
          <cell r="X23" t="str">
            <v>45</v>
          </cell>
          <cell r="Y23" t="str">
            <v>47</v>
          </cell>
          <cell r="Z23" t="str">
            <v>GBT</v>
          </cell>
          <cell r="AA23" t="str">
            <v>500</v>
          </cell>
          <cell r="AB23" t="str">
            <v>Access</v>
          </cell>
          <cell r="AC23" t="str">
            <v>Class C</v>
          </cell>
          <cell r="BE23" t="str">
            <v>Route 11 Pyay - Pathein</v>
          </cell>
          <cell r="BH23" t="str">
            <v>IENG</v>
          </cell>
          <cell r="BJ23">
            <v>42143</v>
          </cell>
          <cell r="BK23">
            <v>42125</v>
          </cell>
          <cell r="BL23">
            <v>42148</v>
          </cell>
          <cell r="BM23">
            <v>42129</v>
          </cell>
          <cell r="BT23">
            <v>14</v>
          </cell>
          <cell r="BU23">
            <v>42175</v>
          </cell>
          <cell r="BV23">
            <v>42139</v>
          </cell>
          <cell r="BW23" t="str">
            <v>95.41563</v>
          </cell>
          <cell r="BX23" t="str">
            <v>17.67414</v>
          </cell>
          <cell r="BY23" t="str">
            <v>C1</v>
          </cell>
          <cell r="BZ23" t="str">
            <v>Field no(1440),U Paing (136/4),Aing Ma Village,Ayeyarwaddy.</v>
          </cell>
          <cell r="CA23" t="str">
            <v>U Mg Mg Htwe;Field no(1440),U Paing (136/4),Aing Ma Village,Ayeyarwaddy;09-36216541,09-253203292</v>
          </cell>
          <cell r="CB23" t="str">
            <v>15May15: C1 SAR Sub.</v>
          </cell>
          <cell r="CC23" t="str">
            <v>Farm Land</v>
          </cell>
          <cell r="CE23">
            <v>3</v>
          </cell>
          <cell r="CF23">
            <v>42176</v>
          </cell>
          <cell r="CG23">
            <v>42142</v>
          </cell>
          <cell r="CH23">
            <v>42178</v>
          </cell>
          <cell r="CJ23">
            <v>42143</v>
          </cell>
          <cell r="CK23" t="str">
            <v>45</v>
          </cell>
          <cell r="CL23" t="str">
            <v>47</v>
          </cell>
          <cell r="CM23" t="str">
            <v>50</v>
          </cell>
          <cell r="CN23">
            <v>3</v>
          </cell>
          <cell r="CO23">
            <v>42181</v>
          </cell>
          <cell r="CP23">
            <v>42145</v>
          </cell>
          <cell r="CQ23" t="str">
            <v>M4: solar + DG + battery</v>
          </cell>
          <cell r="CR23">
            <v>1</v>
          </cell>
          <cell r="CS23">
            <v>42182</v>
          </cell>
          <cell r="CT23">
            <v>42146</v>
          </cell>
          <cell r="CU23" t="str">
            <v>AY0955</v>
          </cell>
          <cell r="DH23">
            <v>87</v>
          </cell>
          <cell r="DI23">
            <v>42192</v>
          </cell>
          <cell r="DK23">
            <v>42189</v>
          </cell>
          <cell r="DL23">
            <v>42157</v>
          </cell>
          <cell r="DM23">
            <v>42193</v>
          </cell>
          <cell r="DO23">
            <v>0</v>
          </cell>
          <cell r="DP23">
            <v>42192</v>
          </cell>
          <cell r="DT23">
            <v>0</v>
          </cell>
          <cell r="DU23">
            <v>42207</v>
          </cell>
          <cell r="DW23">
            <v>0</v>
          </cell>
          <cell r="DY23">
            <v>42193</v>
          </cell>
          <cell r="EA23" t="str">
            <v>IENG</v>
          </cell>
          <cell r="EJ23">
            <v>0</v>
          </cell>
          <cell r="EK23">
            <v>42210</v>
          </cell>
          <cell r="EM23">
            <v>42211</v>
          </cell>
          <cell r="EQ23">
            <v>42220</v>
          </cell>
          <cell r="EW23">
            <v>0</v>
          </cell>
          <cell r="EX23">
            <v>42234</v>
          </cell>
          <cell r="EZ23">
            <v>42230</v>
          </cell>
          <cell r="FB23">
            <v>42232</v>
          </cell>
          <cell r="FU23">
            <v>42234</v>
          </cell>
          <cell r="FW23">
            <v>42234</v>
          </cell>
          <cell r="GJ23">
            <v>0</v>
          </cell>
          <cell r="GN23" t="str">
            <v>ERICSSON</v>
          </cell>
          <cell r="GS23" t="str">
            <v>4/4/4</v>
          </cell>
          <cell r="GU23" t="str">
            <v xml:space="preserve">		</v>
          </cell>
          <cell r="HD23">
            <v>1</v>
          </cell>
        </row>
        <row r="24">
          <cell r="A24" t="str">
            <v>AY0961</v>
          </cell>
          <cell r="B24" t="str">
            <v>ACAY_0079</v>
          </cell>
          <cell r="C24" t="str">
            <v>Apollo</v>
          </cell>
          <cell r="D24" t="str">
            <v>Emilio Ruiz</v>
          </cell>
          <cell r="F24" t="str">
            <v>Phyo Wai Maung</v>
          </cell>
          <cell r="G24" t="str">
            <v>Thiha Kyaw</v>
          </cell>
          <cell r="H24" t="str">
            <v>RED</v>
          </cell>
          <cell r="I24" t="str">
            <v>South</v>
          </cell>
          <cell r="J24" t="str">
            <v>95.2918</v>
          </cell>
          <cell r="K24" t="str">
            <v>18.3083</v>
          </cell>
          <cell r="L24" t="str">
            <v>Rural</v>
          </cell>
          <cell r="M24" t="str">
            <v>Ayeyarwady</v>
          </cell>
          <cell r="N24" t="str">
            <v>Myanaung</v>
          </cell>
          <cell r="O24" t="str">
            <v>Myanaung</v>
          </cell>
          <cell r="P24" t="str">
            <v>Hinthada</v>
          </cell>
          <cell r="Q24" t="str">
            <v>13</v>
          </cell>
          <cell r="R24" t="str">
            <v>Myanaung</v>
          </cell>
          <cell r="S24" t="str">
            <v>307</v>
          </cell>
          <cell r="T24" t="str">
            <v>GSM+UMTS</v>
          </cell>
          <cell r="W24" t="str">
            <v>Ph2-Priority</v>
          </cell>
          <cell r="X24" t="str">
            <v>45</v>
          </cell>
          <cell r="Y24" t="str">
            <v>47</v>
          </cell>
          <cell r="Z24" t="str">
            <v>GBT</v>
          </cell>
          <cell r="AA24" t="str">
            <v>500</v>
          </cell>
          <cell r="AB24" t="str">
            <v>Access</v>
          </cell>
          <cell r="AC24" t="str">
            <v>Class C</v>
          </cell>
          <cell r="BE24" t="str">
            <v>Route 11 Pyay - Pathein</v>
          </cell>
          <cell r="BH24" t="str">
            <v>IENG</v>
          </cell>
          <cell r="BJ24">
            <v>42165</v>
          </cell>
          <cell r="BK24">
            <v>42170</v>
          </cell>
          <cell r="BL24">
            <v>42170</v>
          </cell>
          <cell r="BM24">
            <v>42145</v>
          </cell>
          <cell r="BT24">
            <v>63</v>
          </cell>
          <cell r="BU24">
            <v>42230</v>
          </cell>
          <cell r="BV24">
            <v>42137</v>
          </cell>
          <cell r="BW24" t="str">
            <v>95.33419</v>
          </cell>
          <cell r="BX24" t="str">
            <v>16.79844</v>
          </cell>
          <cell r="BY24" t="str">
            <v>Reject</v>
          </cell>
          <cell r="BZ24" t="str">
            <v>No(29), Htein Dut Village, Pha Yar Chaung Compound, Pann Ta Naw Township, Ayeyawady Division.</v>
          </cell>
          <cell r="CA24" t="str">
            <v>U Sa Aung Myint;No(29),Htein Dut Village,Pha Yar Chaung Compound,Pann Ta Naw Township,Ayeyawady Division;09-792801975,972350561</v>
          </cell>
          <cell r="CB24" t="str">
            <v>26 June 15 : C4 SAR rejected(RND rejected because this site is 1.62km far from the nominal point. Please find the new candidate in near the nominal point within the search ring.);24 June 15 : C4 SAR sub</v>
          </cell>
          <cell r="CC24" t="str">
            <v>Village</v>
          </cell>
          <cell r="CE24">
            <v>0</v>
          </cell>
          <cell r="CF24">
            <v>42231</v>
          </cell>
          <cell r="CG24">
            <v>42138</v>
          </cell>
          <cell r="CH24">
            <v>42233</v>
          </cell>
          <cell r="CJ24">
            <v>42142</v>
          </cell>
          <cell r="CK24" t="str">
            <v>45</v>
          </cell>
          <cell r="CL24" t="str">
            <v>47</v>
          </cell>
          <cell r="CM24" t="str">
            <v>45</v>
          </cell>
          <cell r="CN24">
            <v>0</v>
          </cell>
          <cell r="CO24">
            <v>42236</v>
          </cell>
          <cell r="CP24">
            <v>42145</v>
          </cell>
          <cell r="CQ24" t="str">
            <v>M4: solar + DG + battery</v>
          </cell>
          <cell r="CR24">
            <v>0</v>
          </cell>
          <cell r="CS24">
            <v>42237</v>
          </cell>
          <cell r="CT24">
            <v>42146</v>
          </cell>
          <cell r="CU24" t="str">
            <v>AY0961</v>
          </cell>
          <cell r="DH24">
            <v>0</v>
          </cell>
          <cell r="DI24">
            <v>42247</v>
          </cell>
          <cell r="DJ24">
            <v>42166</v>
          </cell>
          <cell r="DK24">
            <v>42244</v>
          </cell>
          <cell r="DL24">
            <v>42166</v>
          </cell>
          <cell r="DM24">
            <v>42248</v>
          </cell>
          <cell r="DN24">
            <v>42180</v>
          </cell>
          <cell r="DO24">
            <v>0</v>
          </cell>
          <cell r="DP24">
            <v>42247</v>
          </cell>
          <cell r="DQ24">
            <v>42166</v>
          </cell>
          <cell r="DT24">
            <v>0</v>
          </cell>
          <cell r="DU24">
            <v>42262</v>
          </cell>
          <cell r="DW24">
            <v>0</v>
          </cell>
          <cell r="DY24">
            <v>42248</v>
          </cell>
          <cell r="DZ24">
            <v>42180</v>
          </cell>
          <cell r="EA24" t="str">
            <v>IENG</v>
          </cell>
          <cell r="ED24" t="str">
            <v>27Jul15 :Thiha.Kyaw: 27-7-15 Back filling Done,Equipment pad making in progress.
20Jul15 :Thiha.Kyaw: 17-7-15 Back filling in progress.
13Jul15 :Thiha.Kyaw: 13-7-15 Footing Done. Pedestal making in progress.</v>
          </cell>
          <cell r="EE24" t="str">
            <v xml:space="preserve">10 Aug 15:Rain affected_Progress affected; 4-Aug-15:on going elev ODU pad construction								</v>
          </cell>
          <cell r="EJ24">
            <v>0</v>
          </cell>
          <cell r="EK24">
            <v>42265</v>
          </cell>
          <cell r="EL24">
            <v>42200</v>
          </cell>
          <cell r="EM24">
            <v>42266</v>
          </cell>
          <cell r="EQ24">
            <v>42275</v>
          </cell>
          <cell r="EW24">
            <v>0</v>
          </cell>
          <cell r="EX24">
            <v>42289</v>
          </cell>
          <cell r="EZ24">
            <v>42285</v>
          </cell>
          <cell r="FB24">
            <v>42287</v>
          </cell>
          <cell r="FS24">
            <v>42192</v>
          </cell>
          <cell r="FT24" t="str">
            <v>Off Grid</v>
          </cell>
          <cell r="FU24">
            <v>42289</v>
          </cell>
          <cell r="FW24">
            <v>42289</v>
          </cell>
          <cell r="FY24" t="str">
            <v>EM</v>
          </cell>
          <cell r="FZ24">
            <v>42201</v>
          </cell>
          <cell r="GA24">
            <v>42206</v>
          </cell>
          <cell r="GB24">
            <v>42209</v>
          </cell>
          <cell r="GE24">
            <v>42209</v>
          </cell>
          <cell r="GI24">
            <v>42246</v>
          </cell>
          <cell r="GJ24">
            <v>0</v>
          </cell>
          <cell r="GN24" t="str">
            <v>ERICSSON</v>
          </cell>
          <cell r="GO24">
            <v>42172</v>
          </cell>
          <cell r="GS24" t="str">
            <v>4/4/4</v>
          </cell>
          <cell r="GU24" t="str">
            <v xml:space="preserve">		</v>
          </cell>
          <cell r="HD24">
            <v>1</v>
          </cell>
        </row>
        <row r="25">
          <cell r="A25" t="str">
            <v>AY0964</v>
          </cell>
          <cell r="B25" t="str">
            <v>ACAY_0080</v>
          </cell>
          <cell r="C25" t="str">
            <v>Apollo</v>
          </cell>
          <cell r="D25" t="str">
            <v>Emilio Ruiz</v>
          </cell>
          <cell r="F25" t="str">
            <v>Phyo Wai Maung</v>
          </cell>
          <cell r="G25" t="str">
            <v>Thiha Kyaw</v>
          </cell>
          <cell r="H25" t="str">
            <v>WHITE</v>
          </cell>
          <cell r="I25" t="str">
            <v>South</v>
          </cell>
          <cell r="J25" t="str">
            <v>95.0729</v>
          </cell>
          <cell r="K25" t="str">
            <v>17.3816</v>
          </cell>
          <cell r="L25" t="str">
            <v>SubUrban</v>
          </cell>
          <cell r="M25" t="str">
            <v>Ayeyarwady</v>
          </cell>
          <cell r="N25" t="str">
            <v>Yegyi</v>
          </cell>
          <cell r="O25" t="str">
            <v>Yegyi</v>
          </cell>
          <cell r="P25" t="str">
            <v>Hinthada</v>
          </cell>
          <cell r="Q25" t="str">
            <v>13</v>
          </cell>
          <cell r="R25" t="str">
            <v>Yegyi</v>
          </cell>
          <cell r="S25" t="str">
            <v>302</v>
          </cell>
          <cell r="T25" t="str">
            <v>GSM+UMTS</v>
          </cell>
          <cell r="W25" t="str">
            <v>Ph2-Priority</v>
          </cell>
          <cell r="X25" t="str">
            <v>35</v>
          </cell>
          <cell r="Y25" t="str">
            <v>35</v>
          </cell>
          <cell r="Z25" t="str">
            <v>GBT</v>
          </cell>
          <cell r="AA25" t="str">
            <v>250</v>
          </cell>
          <cell r="AB25" t="str">
            <v>Access</v>
          </cell>
          <cell r="AC25" t="str">
            <v>Class B</v>
          </cell>
          <cell r="BE25" t="str">
            <v>Route 11 Pyay - Pathein</v>
          </cell>
          <cell r="BH25" t="str">
            <v>IENG</v>
          </cell>
          <cell r="BJ25">
            <v>42109</v>
          </cell>
          <cell r="BK25">
            <v>42121</v>
          </cell>
          <cell r="BL25">
            <v>42114</v>
          </cell>
          <cell r="BM25">
            <v>42114</v>
          </cell>
          <cell r="BT25">
            <v>3</v>
          </cell>
          <cell r="BU25">
            <v>42124</v>
          </cell>
          <cell r="BV25">
            <v>42124</v>
          </cell>
          <cell r="BW25" t="str">
            <v>95.0723</v>
          </cell>
          <cell r="BX25" t="str">
            <v>17.381</v>
          </cell>
          <cell r="BY25" t="str">
            <v>C1</v>
          </cell>
          <cell r="BZ25" t="str">
            <v>Yoe Kyi (1) Road,Myo Thit Quarter,Nga Thaing Chaung Town,Ayeyawady.</v>
          </cell>
          <cell r="CA25" t="str">
            <v>U Hla Myo Oo;Yoe Kyi (1) Road,Myo Thit Quarter,Nga Thaing Chaung Town,Ayeyawady.;09-251131387,254993156,794515</v>
          </cell>
          <cell r="CB25" t="str">
            <v>30Apr15: C1 SAR Sub</v>
          </cell>
          <cell r="CE25">
            <v>4</v>
          </cell>
          <cell r="CF25">
            <v>42125</v>
          </cell>
          <cell r="CG25">
            <v>42128</v>
          </cell>
          <cell r="CH25">
            <v>42127</v>
          </cell>
          <cell r="CJ25">
            <v>42130</v>
          </cell>
          <cell r="CK25" t="str">
            <v>35</v>
          </cell>
          <cell r="CL25" t="str">
            <v>37</v>
          </cell>
          <cell r="CM25" t="str">
            <v>35</v>
          </cell>
          <cell r="CN25">
            <v>4</v>
          </cell>
          <cell r="CO25">
            <v>42130</v>
          </cell>
          <cell r="CP25">
            <v>42132</v>
          </cell>
          <cell r="CQ25" t="str">
            <v>M1: grid power + battery</v>
          </cell>
          <cell r="CR25">
            <v>4</v>
          </cell>
          <cell r="CS25">
            <v>42131</v>
          </cell>
          <cell r="CT25">
            <v>42136</v>
          </cell>
          <cell r="CU25" t="str">
            <v>AY0964</v>
          </cell>
          <cell r="DH25">
            <v>14</v>
          </cell>
          <cell r="DI25">
            <v>42141</v>
          </cell>
          <cell r="DJ25">
            <v>42150</v>
          </cell>
          <cell r="DK25">
            <v>42138</v>
          </cell>
          <cell r="DL25">
            <v>42153</v>
          </cell>
          <cell r="DM25">
            <v>42156</v>
          </cell>
          <cell r="DN25">
            <v>42153</v>
          </cell>
          <cell r="DO25">
            <v>0</v>
          </cell>
          <cell r="DP25">
            <v>42141</v>
          </cell>
          <cell r="DQ25">
            <v>42150</v>
          </cell>
          <cell r="DT25">
            <v>8</v>
          </cell>
          <cell r="DU25">
            <v>42156</v>
          </cell>
          <cell r="DV25">
            <v>42158</v>
          </cell>
          <cell r="DW25">
            <v>-1</v>
          </cell>
          <cell r="DY25">
            <v>42156</v>
          </cell>
          <cell r="DZ25">
            <v>42157</v>
          </cell>
          <cell r="EA25" t="str">
            <v>IENG</v>
          </cell>
          <cell r="ED25" t="str">
            <v>06Jul15 :Thiha.Kyaw: 6-7-15 Site on air. Fencing making in progress.
26Jun15 :Thiha.Kyaw: 26-6-15 Tower erection Done. Equipment pad grounding in progress.
12Jun15 :Thiha.Kyaw: 12-6-15 Pedestal Done. Back filling in progress.</v>
          </cell>
          <cell r="EE25" t="str">
            <v>19Jun15 Tower erection in progress. Equipment pad making in progress. 15Jun15: Back filling Done,Excavation making for Equipment. Tower on site.</v>
          </cell>
          <cell r="EI25" t="str">
            <v>M5: grid power + DG + battery      </v>
          </cell>
          <cell r="EJ25">
            <v>9</v>
          </cell>
          <cell r="EK25">
            <v>42166</v>
          </cell>
          <cell r="EL25">
            <v>42166</v>
          </cell>
          <cell r="EM25">
            <v>42167</v>
          </cell>
          <cell r="EN25">
            <v>42168</v>
          </cell>
          <cell r="EQ25">
            <v>42174</v>
          </cell>
          <cell r="ER25">
            <v>42175</v>
          </cell>
          <cell r="ES25">
            <v>42179</v>
          </cell>
          <cell r="ET25">
            <v>42181</v>
          </cell>
          <cell r="EU25">
            <v>42181</v>
          </cell>
          <cell r="EW25">
            <v>40</v>
          </cell>
          <cell r="EX25">
            <v>42185</v>
          </cell>
          <cell r="EY25">
            <v>42197</v>
          </cell>
          <cell r="EZ25">
            <v>42181</v>
          </cell>
          <cell r="FA25">
            <v>42180</v>
          </cell>
          <cell r="FB25">
            <v>42183</v>
          </cell>
          <cell r="FC25">
            <v>42185</v>
          </cell>
          <cell r="FE25">
            <v>42160</v>
          </cell>
          <cell r="FG25">
            <v>42165</v>
          </cell>
          <cell r="FU25">
            <v>42185</v>
          </cell>
          <cell r="FV25">
            <v>42197</v>
          </cell>
          <cell r="FW25">
            <v>42185</v>
          </cell>
          <cell r="FX25">
            <v>42185</v>
          </cell>
          <cell r="FY25" t="str">
            <v>TN</v>
          </cell>
          <cell r="FZ25">
            <v>42170</v>
          </cell>
          <cell r="GA25">
            <v>42172</v>
          </cell>
          <cell r="GB25">
            <v>42176</v>
          </cell>
          <cell r="GC25">
            <v>42177</v>
          </cell>
          <cell r="GD25">
            <v>42177</v>
          </cell>
          <cell r="GE25">
            <v>42179</v>
          </cell>
          <cell r="GF25">
            <v>42181</v>
          </cell>
          <cell r="GG25">
            <v>42186</v>
          </cell>
          <cell r="GH25">
            <v>42186</v>
          </cell>
          <cell r="GI25">
            <v>42185</v>
          </cell>
          <cell r="GJ25" t="str">
            <v>27-2015</v>
          </cell>
          <cell r="GK25">
            <v>42186</v>
          </cell>
          <cell r="GN25" t="str">
            <v xml:space="preserve">ERICSSON </v>
          </cell>
          <cell r="GO25">
            <v>42143</v>
          </cell>
          <cell r="GS25" t="str">
            <v>4/4/4</v>
          </cell>
          <cell r="GU25" t="str">
            <v xml:space="preserve">		</v>
          </cell>
          <cell r="HD25">
            <v>1</v>
          </cell>
        </row>
        <row r="26">
          <cell r="A26" t="str">
            <v>AY0965</v>
          </cell>
          <cell r="B26" t="str">
            <v>ACAY_0054</v>
          </cell>
          <cell r="C26" t="str">
            <v>Apollo</v>
          </cell>
          <cell r="D26" t="str">
            <v>Emilio Ruiz</v>
          </cell>
          <cell r="F26" t="str">
            <v>Phyo Wai Maung</v>
          </cell>
          <cell r="G26" t="str">
            <v>Thiha Kyaw</v>
          </cell>
          <cell r="H26" t="str">
            <v>WHITE</v>
          </cell>
          <cell r="I26" t="str">
            <v>South</v>
          </cell>
          <cell r="J26" t="str">
            <v>95.2036</v>
          </cell>
          <cell r="K26" t="str">
            <v>17.2949</v>
          </cell>
          <cell r="L26" t="str">
            <v>SubUrban</v>
          </cell>
          <cell r="M26" t="str">
            <v>Ayeyarwady</v>
          </cell>
          <cell r="N26" t="str">
            <v>Kyonpyaw</v>
          </cell>
          <cell r="O26" t="str">
            <v>Kyonpyaw</v>
          </cell>
          <cell r="P26" t="str">
            <v>Hinthada</v>
          </cell>
          <cell r="Q26" t="str">
            <v>13</v>
          </cell>
          <cell r="R26" t="str">
            <v>Kyonpyaw</v>
          </cell>
          <cell r="S26" t="str">
            <v>301</v>
          </cell>
          <cell r="T26" t="str">
            <v>GSM+UMTS</v>
          </cell>
          <cell r="W26" t="str">
            <v>Ph2-Priority</v>
          </cell>
          <cell r="X26" t="str">
            <v>35</v>
          </cell>
          <cell r="Y26" t="str">
            <v>35</v>
          </cell>
          <cell r="Z26" t="str">
            <v>GBT</v>
          </cell>
          <cell r="AA26" t="str">
            <v>250</v>
          </cell>
          <cell r="AB26" t="str">
            <v>Access</v>
          </cell>
          <cell r="AC26" t="str">
            <v>Class B</v>
          </cell>
          <cell r="BE26" t="str">
            <v>Route 11 Pyay - Pathein</v>
          </cell>
          <cell r="BH26" t="str">
            <v>IENG</v>
          </cell>
          <cell r="BJ26">
            <v>42128</v>
          </cell>
          <cell r="BK26">
            <v>42121</v>
          </cell>
          <cell r="BL26">
            <v>42133</v>
          </cell>
          <cell r="BM26">
            <v>42132</v>
          </cell>
          <cell r="BT26">
            <v>21</v>
          </cell>
          <cell r="BU26">
            <v>42143</v>
          </cell>
          <cell r="BV26">
            <v>42142</v>
          </cell>
          <cell r="BW26" t="str">
            <v>95.20601</v>
          </cell>
          <cell r="BX26" t="str">
            <v>17.29406</v>
          </cell>
          <cell r="BY26" t="str">
            <v>C4</v>
          </cell>
          <cell r="BZ26" t="str">
            <v>No(353),Kan Nar Street,Panglong Quarter,Htoung Long Village ,Kyone Pyaw Township,Ayeyarwady.</v>
          </cell>
          <cell r="CA26" t="str">
            <v>U Myint Kyaing;No(353),Kan Nar Street,Panglong Quarter,Htoung Long Village ,Kyone Pyaw Township,Ayeyarwady;09-31379886,04656340;(U Aung Kyaw Thu;09-31379886,04656340)</v>
          </cell>
          <cell r="CB26" t="str">
            <v>18May15: C4 SAR Sub</v>
          </cell>
          <cell r="CE26">
            <v>1</v>
          </cell>
          <cell r="CF26">
            <v>42144</v>
          </cell>
          <cell r="CG26">
            <v>42143</v>
          </cell>
          <cell r="CH26">
            <v>42146</v>
          </cell>
          <cell r="CJ26">
            <v>42148</v>
          </cell>
          <cell r="CK26" t="str">
            <v>35</v>
          </cell>
          <cell r="CL26" t="str">
            <v>37</v>
          </cell>
          <cell r="CM26" t="str">
            <v>35</v>
          </cell>
          <cell r="CN26">
            <v>7</v>
          </cell>
          <cell r="CO26">
            <v>42149</v>
          </cell>
          <cell r="CP26">
            <v>42150</v>
          </cell>
          <cell r="CQ26" t="str">
            <v>M1: grid power + battery</v>
          </cell>
          <cell r="CR26">
            <v>1</v>
          </cell>
          <cell r="CS26">
            <v>42150</v>
          </cell>
          <cell r="CT26">
            <v>42151</v>
          </cell>
          <cell r="CU26" t="str">
            <v>AY0965</v>
          </cell>
          <cell r="DH26">
            <v>14</v>
          </cell>
          <cell r="DI26">
            <v>42163</v>
          </cell>
          <cell r="DJ26">
            <v>42165</v>
          </cell>
          <cell r="DK26">
            <v>42160</v>
          </cell>
          <cell r="DL26">
            <v>42166</v>
          </cell>
          <cell r="DM26">
            <v>42164</v>
          </cell>
          <cell r="DN26">
            <v>42178</v>
          </cell>
          <cell r="DO26">
            <v>0</v>
          </cell>
          <cell r="DP26">
            <v>42163</v>
          </cell>
          <cell r="DQ26">
            <v>42165</v>
          </cell>
          <cell r="DT26">
            <v>68</v>
          </cell>
          <cell r="DU26">
            <v>42178</v>
          </cell>
          <cell r="DW26">
            <v>0</v>
          </cell>
          <cell r="DY26">
            <v>42164</v>
          </cell>
          <cell r="DZ26">
            <v>42178</v>
          </cell>
          <cell r="EA26" t="str">
            <v>IENG</v>
          </cell>
          <cell r="ED26" t="str">
            <v>27Jul15 :Thiha.Kyaw: 17-7-15 RFI Telecom.
20Jul15 :Thiha.Kyaw: 17-7-15 RFI Telecom.
13Jul15 :Thiha.Kyaw: 10-7-15 Pedestal done. Tower on site. Back filling in progress.
06Jul15 :Thiha.Kyaw: 6-7-15 Footing making in progress.
26Jun15 :Thiha.Kyaw: 26-6-15 Excavation Done.</v>
          </cell>
          <cell r="EI26" t="str">
            <v>M5: grid power + DG + battery      </v>
          </cell>
          <cell r="EJ26">
            <v>19</v>
          </cell>
          <cell r="EK26">
            <v>42179</v>
          </cell>
          <cell r="EL26">
            <v>42197</v>
          </cell>
          <cell r="EM26">
            <v>42180</v>
          </cell>
          <cell r="EN26">
            <v>42200</v>
          </cell>
          <cell r="EQ26">
            <v>42187</v>
          </cell>
          <cell r="ER26">
            <v>42202</v>
          </cell>
          <cell r="ES26">
            <v>42203</v>
          </cell>
          <cell r="ET26">
            <v>42204</v>
          </cell>
          <cell r="EU26">
            <v>42204</v>
          </cell>
          <cell r="EW26">
            <v>55</v>
          </cell>
          <cell r="EX26">
            <v>42201</v>
          </cell>
          <cell r="EY26">
            <v>42242</v>
          </cell>
          <cell r="EZ26">
            <v>42197</v>
          </cell>
          <cell r="FA26">
            <v>42207</v>
          </cell>
          <cell r="FB26">
            <v>42199</v>
          </cell>
          <cell r="FC26">
            <v>42208</v>
          </cell>
          <cell r="FE26">
            <v>42193</v>
          </cell>
          <cell r="FU26">
            <v>42201</v>
          </cell>
          <cell r="FW26">
            <v>42201</v>
          </cell>
          <cell r="FX26">
            <v>42211</v>
          </cell>
          <cell r="FY26" t="str">
            <v>EM</v>
          </cell>
          <cell r="FZ26">
            <v>42199</v>
          </cell>
          <cell r="GA26">
            <v>42206</v>
          </cell>
          <cell r="GB26">
            <v>42207</v>
          </cell>
          <cell r="GC26">
            <v>42208</v>
          </cell>
          <cell r="GD26">
            <v>42208</v>
          </cell>
          <cell r="GE26">
            <v>42209</v>
          </cell>
          <cell r="GF26">
            <v>42209</v>
          </cell>
          <cell r="GG26">
            <v>42209</v>
          </cell>
          <cell r="GH26">
            <v>42209</v>
          </cell>
          <cell r="GI26">
            <v>42216</v>
          </cell>
          <cell r="GJ26" t="str">
            <v>30-2015</v>
          </cell>
          <cell r="GK26">
            <v>42209</v>
          </cell>
          <cell r="GN26" t="str">
            <v xml:space="preserve">ERICSSON </v>
          </cell>
          <cell r="GS26" t="str">
            <v>4/4/4</v>
          </cell>
          <cell r="GU26" t="str">
            <v xml:space="preserve">		</v>
          </cell>
          <cell r="HD26">
            <v>1</v>
          </cell>
        </row>
        <row r="27">
          <cell r="A27" t="str">
            <v>AY0966</v>
          </cell>
          <cell r="B27" t="str">
            <v>ACAY_0081</v>
          </cell>
          <cell r="C27" t="str">
            <v>Apollo</v>
          </cell>
          <cell r="D27" t="str">
            <v>Emilio Ruiz</v>
          </cell>
          <cell r="F27" t="str">
            <v>Phyo Wai Maung</v>
          </cell>
          <cell r="G27" t="str">
            <v>Thiha Kyaw</v>
          </cell>
          <cell r="H27" t="str">
            <v>WHITE</v>
          </cell>
          <cell r="I27" t="str">
            <v>South</v>
          </cell>
          <cell r="J27" t="str">
            <v>95.1927</v>
          </cell>
          <cell r="K27" t="str">
            <v>17.3087</v>
          </cell>
          <cell r="L27" t="str">
            <v>SubUrban</v>
          </cell>
          <cell r="M27" t="str">
            <v>Ayeyarwady</v>
          </cell>
          <cell r="N27" t="str">
            <v>Kyonpyaw</v>
          </cell>
          <cell r="O27" t="str">
            <v>Kyonpyaw</v>
          </cell>
          <cell r="P27" t="str">
            <v>Hinthada</v>
          </cell>
          <cell r="Q27" t="str">
            <v>13</v>
          </cell>
          <cell r="R27" t="str">
            <v>Kyonpyaw</v>
          </cell>
          <cell r="S27" t="str">
            <v>301</v>
          </cell>
          <cell r="T27" t="str">
            <v>GSM+UMTS</v>
          </cell>
          <cell r="W27" t="str">
            <v>Ph2-Priority</v>
          </cell>
          <cell r="X27" t="str">
            <v>35</v>
          </cell>
          <cell r="Y27" t="str">
            <v>35</v>
          </cell>
          <cell r="Z27" t="str">
            <v>GBT</v>
          </cell>
          <cell r="AA27" t="str">
            <v>250</v>
          </cell>
          <cell r="AB27" t="str">
            <v>Access</v>
          </cell>
          <cell r="AC27" t="str">
            <v>Class B</v>
          </cell>
          <cell r="BE27" t="str">
            <v>Route 11 Pyay - Pathein</v>
          </cell>
          <cell r="BH27" t="str">
            <v>IENG</v>
          </cell>
          <cell r="BJ27">
            <v>42124</v>
          </cell>
          <cell r="BK27">
            <v>42121</v>
          </cell>
          <cell r="BL27">
            <v>42129</v>
          </cell>
          <cell r="BM27">
            <v>42121</v>
          </cell>
          <cell r="BT27">
            <v>10</v>
          </cell>
          <cell r="BU27">
            <v>42129</v>
          </cell>
          <cell r="BV27">
            <v>42131</v>
          </cell>
          <cell r="BW27" t="str">
            <v>95.19213</v>
          </cell>
          <cell r="BX27" t="str">
            <v>17.30907</v>
          </cell>
          <cell r="BY27" t="str">
            <v>C1</v>
          </cell>
          <cell r="BZ27" t="str">
            <v>No(73), Tayza (4) Road,Tay Za Quarter,Kyone Pyaw Township,Ayeyarwady.</v>
          </cell>
          <cell r="CA27" t="str">
            <v>U Thet Aung Naing;Daw San San Win;No(73), Tayza (4) Road,Tay Za Quarter,Kyone Pyaw Township,Ayeyarwady;09-250436707,09794552072</v>
          </cell>
          <cell r="CB27" t="str">
            <v>7May15: C1 SAR Sub</v>
          </cell>
          <cell r="CE27">
            <v>5</v>
          </cell>
          <cell r="CF27">
            <v>42130</v>
          </cell>
          <cell r="CG27">
            <v>42136</v>
          </cell>
          <cell r="CH27">
            <v>42132</v>
          </cell>
          <cell r="CJ27">
            <v>42137</v>
          </cell>
          <cell r="CK27" t="str">
            <v>35</v>
          </cell>
          <cell r="CL27" t="str">
            <v>37</v>
          </cell>
          <cell r="CM27" t="str">
            <v>35</v>
          </cell>
          <cell r="CN27">
            <v>7</v>
          </cell>
          <cell r="CO27">
            <v>42135</v>
          </cell>
          <cell r="CP27">
            <v>42143</v>
          </cell>
          <cell r="CQ27" t="str">
            <v>M1: grid power + battery</v>
          </cell>
          <cell r="CR27">
            <v>1</v>
          </cell>
          <cell r="CS27">
            <v>42136</v>
          </cell>
          <cell r="CT27">
            <v>42144</v>
          </cell>
          <cell r="CU27" t="str">
            <v>AY0966</v>
          </cell>
          <cell r="DH27">
            <v>10</v>
          </cell>
          <cell r="DI27">
            <v>42173</v>
          </cell>
          <cell r="DJ27">
            <v>42154</v>
          </cell>
          <cell r="DK27">
            <v>42170</v>
          </cell>
          <cell r="DL27">
            <v>42156</v>
          </cell>
          <cell r="DM27">
            <v>42174</v>
          </cell>
          <cell r="DN27">
            <v>42159</v>
          </cell>
          <cell r="DO27">
            <v>0</v>
          </cell>
          <cell r="DP27">
            <v>42173</v>
          </cell>
          <cell r="DQ27">
            <v>42154</v>
          </cell>
          <cell r="DT27">
            <v>79</v>
          </cell>
          <cell r="DU27">
            <v>42188</v>
          </cell>
          <cell r="DW27">
            <v>0</v>
          </cell>
          <cell r="DY27">
            <v>42174</v>
          </cell>
          <cell r="DZ27">
            <v>42158</v>
          </cell>
          <cell r="EA27" t="str">
            <v>IENG</v>
          </cell>
          <cell r="ED27" t="str">
            <v>13Jul15 :Thiha.Kyaw: 10-7-15 Site on air.
06Jul15 :Thiha.Kyaw: 6-7-15 RFI Telecom. Fencing making in progress.
26Jun15 :Thiha.Kyaw: 26-6-15 Tower erection in progress.
22Jun15 :Thiha.Kyaw: 22-6-15 Pedestal Done. Back filling in progress.</v>
          </cell>
          <cell r="EE27" t="str">
            <v>19Jun15 Pedestal Done. Tower on site. Back filling in progress.</v>
          </cell>
          <cell r="EI27" t="str">
            <v>M5: grid power + DG + battery      </v>
          </cell>
          <cell r="EJ27">
            <v>20</v>
          </cell>
          <cell r="EK27">
            <v>42189</v>
          </cell>
          <cell r="EL27">
            <v>42178</v>
          </cell>
          <cell r="EM27">
            <v>42190</v>
          </cell>
          <cell r="EN27">
            <v>42180</v>
          </cell>
          <cell r="EQ27">
            <v>42197</v>
          </cell>
          <cell r="ER27">
            <v>42185</v>
          </cell>
          <cell r="ES27">
            <v>42182</v>
          </cell>
          <cell r="ET27">
            <v>42185</v>
          </cell>
          <cell r="EU27">
            <v>42185</v>
          </cell>
          <cell r="EW27">
            <v>75</v>
          </cell>
          <cell r="EX27">
            <v>42211</v>
          </cell>
          <cell r="EY27">
            <v>42242</v>
          </cell>
          <cell r="EZ27">
            <v>42207</v>
          </cell>
          <cell r="FA27">
            <v>42186</v>
          </cell>
          <cell r="FB27">
            <v>42209</v>
          </cell>
          <cell r="FC27">
            <v>42191</v>
          </cell>
          <cell r="FE27">
            <v>42160</v>
          </cell>
          <cell r="FS27">
            <v>42192</v>
          </cell>
          <cell r="FT27" t="str">
            <v>Off Grid</v>
          </cell>
          <cell r="FU27">
            <v>42211</v>
          </cell>
          <cell r="FV27">
            <v>42191</v>
          </cell>
          <cell r="FW27">
            <v>42211</v>
          </cell>
          <cell r="FX27">
            <v>42191</v>
          </cell>
          <cell r="FY27" t="str">
            <v>EM</v>
          </cell>
          <cell r="FZ27">
            <v>42185</v>
          </cell>
          <cell r="GA27">
            <v>42186</v>
          </cell>
          <cell r="GB27">
            <v>42189</v>
          </cell>
          <cell r="GC27">
            <v>42189</v>
          </cell>
          <cell r="GD27">
            <v>42190</v>
          </cell>
          <cell r="GE27">
            <v>42191</v>
          </cell>
          <cell r="GF27">
            <v>42191</v>
          </cell>
          <cell r="GG27">
            <v>42191</v>
          </cell>
          <cell r="GH27">
            <v>42191</v>
          </cell>
          <cell r="GI27">
            <v>42216</v>
          </cell>
          <cell r="GJ27" t="str">
            <v>28-2015</v>
          </cell>
          <cell r="GK27">
            <v>42191</v>
          </cell>
          <cell r="GN27" t="str">
            <v xml:space="preserve">ERICSSON </v>
          </cell>
          <cell r="GS27" t="str">
            <v>4/4/4</v>
          </cell>
          <cell r="GU27" t="str">
            <v xml:space="preserve">		</v>
          </cell>
          <cell r="HD27">
            <v>1</v>
          </cell>
        </row>
        <row r="28">
          <cell r="A28" t="str">
            <v>AY0967</v>
          </cell>
          <cell r="B28" t="str">
            <v>ACAY_0082</v>
          </cell>
          <cell r="C28" t="str">
            <v>Apollo</v>
          </cell>
          <cell r="D28" t="str">
            <v>Emilio Ruiz</v>
          </cell>
          <cell r="F28" t="str">
            <v>Phyo Wai Maung</v>
          </cell>
          <cell r="G28" t="str">
            <v>Thiha Kyaw</v>
          </cell>
          <cell r="H28" t="str">
            <v>WHITE</v>
          </cell>
          <cell r="I28" t="str">
            <v>South</v>
          </cell>
          <cell r="J28" t="str">
            <v>95.1754</v>
          </cell>
          <cell r="K28" t="str">
            <v>16.8656</v>
          </cell>
          <cell r="L28" t="str">
            <v>Rural</v>
          </cell>
          <cell r="M28" t="str">
            <v>Ayeyarwady</v>
          </cell>
          <cell r="N28" t="str">
            <v>Einme</v>
          </cell>
          <cell r="O28" t="str">
            <v>Einme</v>
          </cell>
          <cell r="P28" t="str">
            <v>Pathein</v>
          </cell>
          <cell r="Q28" t="str">
            <v>14</v>
          </cell>
          <cell r="R28" t="str">
            <v>Einme</v>
          </cell>
          <cell r="S28" t="str">
            <v>311</v>
          </cell>
          <cell r="T28" t="str">
            <v>GSM+UMTS</v>
          </cell>
          <cell r="W28" t="str">
            <v>Ph2-Priority</v>
          </cell>
          <cell r="X28" t="str">
            <v>45</v>
          </cell>
          <cell r="Y28" t="str">
            <v>45</v>
          </cell>
          <cell r="Z28" t="str">
            <v>GBT</v>
          </cell>
          <cell r="AA28" t="str">
            <v>500</v>
          </cell>
          <cell r="AB28" t="str">
            <v>Access</v>
          </cell>
          <cell r="AC28" t="str">
            <v>Class C</v>
          </cell>
          <cell r="BE28" t="str">
            <v>Route 5 Yangon - Pathein</v>
          </cell>
          <cell r="BH28" t="str">
            <v>IENG</v>
          </cell>
          <cell r="BJ28">
            <v>42109</v>
          </cell>
          <cell r="BK28">
            <v>42121</v>
          </cell>
          <cell r="BL28">
            <v>42114</v>
          </cell>
          <cell r="BM28">
            <v>42114</v>
          </cell>
          <cell r="BT28">
            <v>3</v>
          </cell>
          <cell r="BU28">
            <v>42124</v>
          </cell>
          <cell r="BV28">
            <v>42124</v>
          </cell>
          <cell r="BW28" t="str">
            <v>95.17529</v>
          </cell>
          <cell r="BX28" t="str">
            <v>16.8661</v>
          </cell>
          <cell r="BY28" t="str">
            <v>C1</v>
          </cell>
          <cell r="BZ28" t="str">
            <v>No(1) Street,Pakokku Su,Kan Gyi Taung Kone Village,Aein Mae Township,Ayeyawady Division.</v>
          </cell>
          <cell r="CA28" t="str">
            <v>Daw Tin Moe Khaing;No(1) Street,Pakokku Su,Kan Gyi Taung Kone Village,Aein Mae Township,Ayeyawady Division.;09-422543734,254999401</v>
          </cell>
          <cell r="CB28" t="str">
            <v>30Apr15: C1 SAR Sub</v>
          </cell>
          <cell r="CC28" t="str">
            <v>Garden Land</v>
          </cell>
          <cell r="CE28">
            <v>4</v>
          </cell>
          <cell r="CF28">
            <v>42125</v>
          </cell>
          <cell r="CG28">
            <v>42128</v>
          </cell>
          <cell r="CH28">
            <v>42127</v>
          </cell>
          <cell r="CJ28">
            <v>42130</v>
          </cell>
          <cell r="CK28" t="str">
            <v>45</v>
          </cell>
          <cell r="CL28" t="str">
            <v>47</v>
          </cell>
          <cell r="CM28" t="str">
            <v>45</v>
          </cell>
          <cell r="CN28">
            <v>4</v>
          </cell>
          <cell r="CO28">
            <v>42130</v>
          </cell>
          <cell r="CP28">
            <v>42132</v>
          </cell>
          <cell r="CQ28" t="str">
            <v>M1: grid power + battery</v>
          </cell>
          <cell r="CR28">
            <v>4</v>
          </cell>
          <cell r="CS28">
            <v>42131</v>
          </cell>
          <cell r="CT28">
            <v>42136</v>
          </cell>
          <cell r="CU28" t="str">
            <v>AY0967</v>
          </cell>
          <cell r="DH28">
            <v>14</v>
          </cell>
          <cell r="DI28">
            <v>42163</v>
          </cell>
          <cell r="DJ28">
            <v>42150</v>
          </cell>
          <cell r="DK28">
            <v>42160</v>
          </cell>
          <cell r="DL28">
            <v>42153</v>
          </cell>
          <cell r="DM28">
            <v>42156</v>
          </cell>
          <cell r="DN28">
            <v>42153</v>
          </cell>
          <cell r="DO28">
            <v>0</v>
          </cell>
          <cell r="DP28">
            <v>42163</v>
          </cell>
          <cell r="DQ28">
            <v>42150</v>
          </cell>
          <cell r="DT28">
            <v>83</v>
          </cell>
          <cell r="DU28">
            <v>42178</v>
          </cell>
          <cell r="DW28">
            <v>0</v>
          </cell>
          <cell r="DY28">
            <v>42156</v>
          </cell>
          <cell r="DZ28">
            <v>42156</v>
          </cell>
          <cell r="EA28" t="str">
            <v>IENG</v>
          </cell>
          <cell r="ED28" t="str">
            <v xml:space="preserve">22Jun15 :YeHtet.Zaw: 17-June-2015;Tower footing is done.Tower equip is on site.
</v>
          </cell>
          <cell r="EI28" t="str">
            <v>M5: grid power + DG + battery      </v>
          </cell>
          <cell r="EJ28">
            <v>22</v>
          </cell>
          <cell r="EK28">
            <v>42173</v>
          </cell>
          <cell r="EL28">
            <v>42178</v>
          </cell>
          <cell r="EM28">
            <v>42174</v>
          </cell>
          <cell r="EN28">
            <v>42180</v>
          </cell>
          <cell r="EQ28">
            <v>42183</v>
          </cell>
          <cell r="ER28">
            <v>42185</v>
          </cell>
          <cell r="ES28">
            <v>42179</v>
          </cell>
          <cell r="ET28">
            <v>42185</v>
          </cell>
          <cell r="EU28">
            <v>42185</v>
          </cell>
          <cell r="EW28">
            <v>45</v>
          </cell>
          <cell r="EX28">
            <v>42197</v>
          </cell>
          <cell r="EY28">
            <v>42201</v>
          </cell>
          <cell r="EZ28">
            <v>42193</v>
          </cell>
          <cell r="FA28">
            <v>42184</v>
          </cell>
          <cell r="FB28">
            <v>42195</v>
          </cell>
          <cell r="FC28">
            <v>42185</v>
          </cell>
          <cell r="FE28">
            <v>42160</v>
          </cell>
          <cell r="FU28">
            <v>42197</v>
          </cell>
          <cell r="FV28">
            <v>42202</v>
          </cell>
          <cell r="FW28">
            <v>42197</v>
          </cell>
          <cell r="FX28">
            <v>42185</v>
          </cell>
          <cell r="FY28" t="str">
            <v>EM</v>
          </cell>
          <cell r="FZ28">
            <v>42185</v>
          </cell>
          <cell r="GA28">
            <v>42186</v>
          </cell>
          <cell r="GB28">
            <v>42187</v>
          </cell>
          <cell r="GC28">
            <v>42187</v>
          </cell>
          <cell r="GD28">
            <v>42187</v>
          </cell>
          <cell r="GE28">
            <v>42188</v>
          </cell>
          <cell r="GF28">
            <v>42188</v>
          </cell>
          <cell r="GG28">
            <v>42188</v>
          </cell>
          <cell r="GH28">
            <v>42188</v>
          </cell>
          <cell r="GI28">
            <v>42216</v>
          </cell>
          <cell r="GJ28" t="str">
            <v>27-2015</v>
          </cell>
          <cell r="GK28">
            <v>42188</v>
          </cell>
          <cell r="GN28" t="str">
            <v xml:space="preserve">ERICSSON </v>
          </cell>
          <cell r="GS28" t="str">
            <v>4/4/4</v>
          </cell>
          <cell r="GT28" t="str">
            <v>Dual Carrier</v>
          </cell>
          <cell r="GU28" t="str">
            <v xml:space="preserve">		</v>
          </cell>
          <cell r="HD28">
            <v>1</v>
          </cell>
        </row>
        <row r="29">
          <cell r="A29" t="str">
            <v>AY0968</v>
          </cell>
          <cell r="B29" t="str">
            <v>ACAY_0055</v>
          </cell>
          <cell r="C29" t="str">
            <v>Apollo</v>
          </cell>
          <cell r="D29" t="str">
            <v>Emilio Ruiz</v>
          </cell>
          <cell r="E29" t="str">
            <v>Joselito Mapuyan : 9254374794</v>
          </cell>
          <cell r="F29" t="str">
            <v>Phyo Wai Maung</v>
          </cell>
          <cell r="G29" t="str">
            <v>Thiha Kyaw</v>
          </cell>
          <cell r="H29" t="str">
            <v>WHITE</v>
          </cell>
          <cell r="I29" t="str">
            <v>South</v>
          </cell>
          <cell r="J29" t="str">
            <v>95.1601</v>
          </cell>
          <cell r="K29" t="str">
            <v>16.9182</v>
          </cell>
          <cell r="L29" t="str">
            <v>SubUrban</v>
          </cell>
          <cell r="M29" t="str">
            <v>Ayeyarwady</v>
          </cell>
          <cell r="N29" t="str">
            <v>Einme</v>
          </cell>
          <cell r="O29" t="str">
            <v>Einme</v>
          </cell>
          <cell r="P29" t="str">
            <v>Pathein</v>
          </cell>
          <cell r="Q29" t="str">
            <v>14</v>
          </cell>
          <cell r="R29" t="str">
            <v>Einme</v>
          </cell>
          <cell r="S29" t="str">
            <v>311</v>
          </cell>
          <cell r="T29" t="str">
            <v>GSM+UMTS</v>
          </cell>
          <cell r="U29" t="str">
            <v>BAG-N027</v>
          </cell>
          <cell r="V29" t="str">
            <v>4.1</v>
          </cell>
          <cell r="W29" t="str">
            <v>Ph2-Priority</v>
          </cell>
          <cell r="X29" t="str">
            <v>35</v>
          </cell>
          <cell r="Y29" t="str">
            <v>35</v>
          </cell>
          <cell r="Z29" t="str">
            <v>GBT</v>
          </cell>
          <cell r="AA29" t="str">
            <v>250</v>
          </cell>
          <cell r="AB29" t="str">
            <v>Access</v>
          </cell>
          <cell r="AC29" t="str">
            <v>Class B</v>
          </cell>
          <cell r="AD29" t="str">
            <v>1430</v>
          </cell>
          <cell r="AE29" t="str">
            <v>1610</v>
          </cell>
          <cell r="AF29" t="str">
            <v>4</v>
          </cell>
          <cell r="AG29" t="str">
            <v>BA0561</v>
          </cell>
          <cell r="BC29" t="str">
            <v>BA0561</v>
          </cell>
          <cell r="BD29" t="str">
            <v>2</v>
          </cell>
          <cell r="BE29" t="str">
            <v>Route 5 Yangon - Pathein</v>
          </cell>
          <cell r="BF29">
            <v>41973</v>
          </cell>
          <cell r="BG29">
            <v>41969</v>
          </cell>
          <cell r="BH29" t="str">
            <v>IENG</v>
          </cell>
          <cell r="BJ29">
            <v>42124</v>
          </cell>
          <cell r="BK29">
            <v>42121</v>
          </cell>
          <cell r="BL29">
            <v>42129</v>
          </cell>
          <cell r="BM29">
            <v>42121</v>
          </cell>
          <cell r="BT29">
            <v>10</v>
          </cell>
          <cell r="BU29">
            <v>42129</v>
          </cell>
          <cell r="BV29">
            <v>42131</v>
          </cell>
          <cell r="BW29" t="str">
            <v>95.16009</v>
          </cell>
          <cell r="BX29" t="str">
            <v>16.91777</v>
          </cell>
          <cell r="BY29" t="str">
            <v>C1</v>
          </cell>
          <cell r="BZ29" t="str">
            <v>No.59 ,Aung Chan Thar Street,Yae Toe Sake Chae Khone,Aein Mae Township,Ayeyarwady.</v>
          </cell>
          <cell r="CA29" t="str">
            <v>U Htay;U Moe Zaw;No.59 ,Aung Chan Thar Street,Yae Toe Sake Chae Khone,Aein Mae Township,Ayeyarwady;09-451238716</v>
          </cell>
          <cell r="CB29" t="str">
            <v>7May15: C1 SAR Sub</v>
          </cell>
          <cell r="CC29" t="str">
            <v>Garden Land</v>
          </cell>
          <cell r="CE29">
            <v>5</v>
          </cell>
          <cell r="CF29">
            <v>42130</v>
          </cell>
          <cell r="CG29">
            <v>42136</v>
          </cell>
          <cell r="CH29">
            <v>42132</v>
          </cell>
          <cell r="CJ29">
            <v>42137</v>
          </cell>
          <cell r="CK29" t="str">
            <v>35</v>
          </cell>
          <cell r="CL29" t="str">
            <v>37</v>
          </cell>
          <cell r="CM29" t="str">
            <v>35</v>
          </cell>
          <cell r="CN29">
            <v>7</v>
          </cell>
          <cell r="CO29">
            <v>42135</v>
          </cell>
          <cell r="CP29">
            <v>42143</v>
          </cell>
          <cell r="CQ29" t="str">
            <v>M4: solar + DG + battery</v>
          </cell>
          <cell r="CR29">
            <v>1</v>
          </cell>
          <cell r="CS29">
            <v>42136</v>
          </cell>
          <cell r="CT29">
            <v>42144</v>
          </cell>
          <cell r="CU29" t="str">
            <v>AY0968</v>
          </cell>
          <cell r="DH29">
            <v>10</v>
          </cell>
          <cell r="DI29">
            <v>42173</v>
          </cell>
          <cell r="DJ29">
            <v>42154</v>
          </cell>
          <cell r="DK29">
            <v>42170</v>
          </cell>
          <cell r="DL29">
            <v>42156</v>
          </cell>
          <cell r="DM29">
            <v>42174</v>
          </cell>
          <cell r="DN29">
            <v>42159</v>
          </cell>
          <cell r="DO29">
            <v>0</v>
          </cell>
          <cell r="DP29">
            <v>42173</v>
          </cell>
          <cell r="DQ29">
            <v>42154</v>
          </cell>
          <cell r="DR29" t="str">
            <v>Bago CDC</v>
          </cell>
          <cell r="DS29" t="str">
            <v>052-22903</v>
          </cell>
          <cell r="DT29">
            <v>79</v>
          </cell>
          <cell r="DU29">
            <v>42188</v>
          </cell>
          <cell r="DW29">
            <v>0</v>
          </cell>
          <cell r="DY29">
            <v>42174</v>
          </cell>
          <cell r="DZ29">
            <v>42159</v>
          </cell>
          <cell r="EA29" t="str">
            <v>IENG</v>
          </cell>
          <cell r="ED29" t="str">
            <v xml:space="preserve">22Jun15 :YeHtet.Zaw: 17-June-2015;Tower footing is done.
</v>
          </cell>
          <cell r="EI29" t="str">
            <v>M5: grid power + DG + battery      </v>
          </cell>
          <cell r="EJ29">
            <v>13</v>
          </cell>
          <cell r="EK29">
            <v>42189</v>
          </cell>
          <cell r="EL29">
            <v>42172</v>
          </cell>
          <cell r="EM29">
            <v>42190</v>
          </cell>
          <cell r="EN29">
            <v>42169</v>
          </cell>
          <cell r="EQ29">
            <v>42197</v>
          </cell>
          <cell r="ER29">
            <v>42178</v>
          </cell>
          <cell r="ES29">
            <v>42179</v>
          </cell>
          <cell r="ET29">
            <v>42178</v>
          </cell>
          <cell r="EU29">
            <v>42178</v>
          </cell>
          <cell r="EV29">
            <v>42197</v>
          </cell>
          <cell r="EW29">
            <v>41</v>
          </cell>
          <cell r="EX29">
            <v>42211</v>
          </cell>
          <cell r="EY29">
            <v>42200</v>
          </cell>
          <cell r="EZ29">
            <v>42207</v>
          </cell>
          <cell r="FA29">
            <v>42184</v>
          </cell>
          <cell r="FB29">
            <v>42209</v>
          </cell>
          <cell r="FC29">
            <v>42185</v>
          </cell>
          <cell r="FD29">
            <v>41937</v>
          </cell>
          <cell r="FE29">
            <v>42160</v>
          </cell>
          <cell r="FF29">
            <v>41944</v>
          </cell>
          <cell r="FG29">
            <v>42165</v>
          </cell>
          <cell r="FH29">
            <v>41946</v>
          </cell>
          <cell r="FJ29">
            <v>41949</v>
          </cell>
          <cell r="FN29">
            <v>41953</v>
          </cell>
          <cell r="FP29">
            <v>41955</v>
          </cell>
          <cell r="FR29">
            <v>41969</v>
          </cell>
          <cell r="FU29">
            <v>42211</v>
          </cell>
          <cell r="FV29">
            <v>42200</v>
          </cell>
          <cell r="FW29">
            <v>42211</v>
          </cell>
          <cell r="FX29">
            <v>42185</v>
          </cell>
          <cell r="FY29" t="str">
            <v>EM</v>
          </cell>
          <cell r="FZ29">
            <v>42181</v>
          </cell>
          <cell r="GA29">
            <v>42185</v>
          </cell>
          <cell r="GB29">
            <v>42186</v>
          </cell>
          <cell r="GC29">
            <v>42186</v>
          </cell>
          <cell r="GD29">
            <v>42187</v>
          </cell>
          <cell r="GE29">
            <v>42187</v>
          </cell>
          <cell r="GF29">
            <v>42187</v>
          </cell>
          <cell r="GG29">
            <v>42187</v>
          </cell>
          <cell r="GH29">
            <v>42187</v>
          </cell>
          <cell r="GI29">
            <v>42185</v>
          </cell>
          <cell r="GJ29" t="str">
            <v>27-2015</v>
          </cell>
          <cell r="GK29">
            <v>42187</v>
          </cell>
          <cell r="GN29" t="str">
            <v>Ericsson</v>
          </cell>
          <cell r="GP29">
            <v>42191</v>
          </cell>
          <cell r="GS29" t="str">
            <v>4/4/4</v>
          </cell>
          <cell r="GU29" t="str">
            <v xml:space="preserve">		</v>
          </cell>
          <cell r="HD29">
            <v>1</v>
          </cell>
        </row>
        <row r="30">
          <cell r="A30" t="str">
            <v>AY0971</v>
          </cell>
          <cell r="B30" t="str">
            <v>ACAY_0056</v>
          </cell>
          <cell r="C30" t="str">
            <v>Apollo</v>
          </cell>
          <cell r="D30" t="str">
            <v>Robert</v>
          </cell>
          <cell r="F30" t="str">
            <v>Phyo Wai Maung</v>
          </cell>
          <cell r="G30" t="str">
            <v>Ye Htet Zaw</v>
          </cell>
          <cell r="H30" t="str">
            <v>AMBER</v>
          </cell>
          <cell r="I30" t="str">
            <v>South</v>
          </cell>
          <cell r="J30" t="str">
            <v>95.2667</v>
          </cell>
          <cell r="K30" t="str">
            <v>16.3758</v>
          </cell>
          <cell r="L30" t="str">
            <v>SubUrban</v>
          </cell>
          <cell r="M30" t="str">
            <v>Ayeyarwady</v>
          </cell>
          <cell r="N30" t="str">
            <v>Mawlamyinegyun</v>
          </cell>
          <cell r="O30" t="str">
            <v>Mawlamyinegyun</v>
          </cell>
          <cell r="P30" t="str">
            <v>Pathein</v>
          </cell>
          <cell r="Q30" t="str">
            <v>14</v>
          </cell>
          <cell r="R30" t="str">
            <v>Mawlamyinegyun</v>
          </cell>
          <cell r="S30" t="str">
            <v>314</v>
          </cell>
          <cell r="T30" t="str">
            <v>GSM+UMTS</v>
          </cell>
          <cell r="W30" t="str">
            <v>Ph2-Priority</v>
          </cell>
          <cell r="X30" t="str">
            <v>35</v>
          </cell>
          <cell r="Y30" t="str">
            <v>35</v>
          </cell>
          <cell r="Z30" t="str">
            <v>GBT</v>
          </cell>
          <cell r="AA30" t="str">
            <v>100</v>
          </cell>
          <cell r="AB30" t="str">
            <v>Access</v>
          </cell>
          <cell r="AC30" t="str">
            <v>Class B</v>
          </cell>
          <cell r="BE30" t="str">
            <v>Route 5 Yangon - Pathein</v>
          </cell>
          <cell r="BH30" t="str">
            <v>IENG</v>
          </cell>
          <cell r="BJ30">
            <v>42111</v>
          </cell>
          <cell r="BK30">
            <v>42121</v>
          </cell>
          <cell r="BL30">
            <v>42116</v>
          </cell>
          <cell r="BM30">
            <v>42116</v>
          </cell>
          <cell r="BT30">
            <v>5</v>
          </cell>
          <cell r="BU30">
            <v>42126</v>
          </cell>
          <cell r="BV30">
            <v>42126</v>
          </cell>
          <cell r="BW30" t="str">
            <v>95.26717</v>
          </cell>
          <cell r="BX30" t="str">
            <v>16.37546</v>
          </cell>
          <cell r="BY30" t="str">
            <v>C1</v>
          </cell>
          <cell r="BZ30" t="str">
            <v>Kan Nar Monastry,(6)Quarter,Mawlamyaing Gyun ,Ayeyarwady</v>
          </cell>
          <cell r="CA30" t="str">
            <v>U Eaith Thari Ya;Kan Nar Monastry ,(6)quarterMawlamyaing Gyun ,Ayeyarwady;09 8598035</v>
          </cell>
          <cell r="CB30" t="str">
            <v>2May15: C1 SAR Sub</v>
          </cell>
          <cell r="CE30">
            <v>2</v>
          </cell>
          <cell r="CF30">
            <v>42127</v>
          </cell>
          <cell r="CG30">
            <v>42128</v>
          </cell>
          <cell r="CH30">
            <v>42129</v>
          </cell>
          <cell r="CJ30">
            <v>42141</v>
          </cell>
          <cell r="CK30" t="str">
            <v>35</v>
          </cell>
          <cell r="CL30" t="str">
            <v>37</v>
          </cell>
          <cell r="CM30" t="str">
            <v>35</v>
          </cell>
          <cell r="CN30">
            <v>15</v>
          </cell>
          <cell r="CO30">
            <v>42132</v>
          </cell>
          <cell r="CP30">
            <v>42143</v>
          </cell>
          <cell r="CQ30" t="str">
            <v>M1: grid power + battery</v>
          </cell>
          <cell r="CR30">
            <v>1</v>
          </cell>
          <cell r="CS30">
            <v>42133</v>
          </cell>
          <cell r="CT30">
            <v>42144</v>
          </cell>
          <cell r="CU30" t="str">
            <v>AY0971</v>
          </cell>
          <cell r="DH30">
            <v>26</v>
          </cell>
          <cell r="DI30">
            <v>42173</v>
          </cell>
          <cell r="DJ30">
            <v>42170</v>
          </cell>
          <cell r="DK30">
            <v>42170</v>
          </cell>
          <cell r="DL30">
            <v>42153</v>
          </cell>
          <cell r="DM30">
            <v>42174</v>
          </cell>
          <cell r="DO30">
            <v>0</v>
          </cell>
          <cell r="DP30">
            <v>42173</v>
          </cell>
          <cell r="DQ30">
            <v>42170</v>
          </cell>
          <cell r="DT30">
            <v>63</v>
          </cell>
          <cell r="DU30">
            <v>42188</v>
          </cell>
          <cell r="DW30">
            <v>0</v>
          </cell>
          <cell r="DY30">
            <v>42174</v>
          </cell>
          <cell r="DZ30">
            <v>42224</v>
          </cell>
          <cell r="EA30" t="str">
            <v>IENG</v>
          </cell>
          <cell r="ED30" t="str">
            <v xml:space="preserve">24Aug15 :YeHtet.Zaw: 19-8-2015;Column Rebar working in progress.6-8-2015;Excavation is ongoing.
</v>
          </cell>
          <cell r="EJ30">
            <v>9</v>
          </cell>
          <cell r="EK30">
            <v>42189</v>
          </cell>
          <cell r="EL30">
            <v>42243</v>
          </cell>
          <cell r="EM30">
            <v>42190</v>
          </cell>
          <cell r="EN30">
            <v>42243</v>
          </cell>
          <cell r="EQ30">
            <v>42197</v>
          </cell>
          <cell r="EW30">
            <v>9</v>
          </cell>
          <cell r="EX30">
            <v>42211</v>
          </cell>
          <cell r="EZ30">
            <v>42207</v>
          </cell>
          <cell r="FB30">
            <v>42209</v>
          </cell>
          <cell r="FU30">
            <v>42211</v>
          </cell>
          <cell r="FW30">
            <v>42211</v>
          </cell>
          <cell r="FY30" t="str">
            <v>EM</v>
          </cell>
          <cell r="FZ30">
            <v>42244</v>
          </cell>
          <cell r="GA30">
            <v>42248</v>
          </cell>
          <cell r="GB30">
            <v>42249</v>
          </cell>
          <cell r="GE30">
            <v>42249</v>
          </cell>
          <cell r="GI30">
            <v>42277</v>
          </cell>
          <cell r="GJ30" t="str">
            <v>40-2015</v>
          </cell>
          <cell r="GN30" t="str">
            <v xml:space="preserve">ERICSSON </v>
          </cell>
          <cell r="GS30" t="str">
            <v>4/4/4</v>
          </cell>
          <cell r="GU30" t="str">
            <v xml:space="preserve">		</v>
          </cell>
          <cell r="HD30">
            <v>1</v>
          </cell>
        </row>
        <row r="31">
          <cell r="A31" t="str">
            <v>AY0973</v>
          </cell>
          <cell r="B31" t="str">
            <v>ACAY_0083</v>
          </cell>
          <cell r="C31" t="str">
            <v>Apollo</v>
          </cell>
          <cell r="D31" t="str">
            <v>Emilio Ruiz</v>
          </cell>
          <cell r="F31" t="str">
            <v>Phyo Wai Maung</v>
          </cell>
          <cell r="G31" t="str">
            <v>Thiha Kyaw</v>
          </cell>
          <cell r="H31" t="str">
            <v>RED</v>
          </cell>
          <cell r="I31" t="str">
            <v>South</v>
          </cell>
          <cell r="J31" t="str">
            <v>95.2552</v>
          </cell>
          <cell r="K31" t="str">
            <v>16.3958</v>
          </cell>
          <cell r="L31" t="str">
            <v>Rural</v>
          </cell>
          <cell r="M31" t="str">
            <v>Ayeyarwady</v>
          </cell>
          <cell r="N31" t="str">
            <v>Mawlamyinegyun</v>
          </cell>
          <cell r="O31" t="str">
            <v>Mawlamyinegyun</v>
          </cell>
          <cell r="P31" t="str">
            <v>Pathein</v>
          </cell>
          <cell r="Q31" t="str">
            <v>14</v>
          </cell>
          <cell r="R31" t="str">
            <v>Mawlamyinegyun</v>
          </cell>
          <cell r="S31" t="str">
            <v>314</v>
          </cell>
          <cell r="T31" t="str">
            <v>GSM+UMTS</v>
          </cell>
          <cell r="W31" t="str">
            <v>Ph2-Priority</v>
          </cell>
          <cell r="X31" t="str">
            <v>45</v>
          </cell>
          <cell r="Y31" t="str">
            <v>45</v>
          </cell>
          <cell r="Z31" t="str">
            <v>GBT</v>
          </cell>
          <cell r="AA31" t="str">
            <v>250</v>
          </cell>
          <cell r="AB31" t="str">
            <v>Access</v>
          </cell>
          <cell r="AC31" t="str">
            <v>Class C</v>
          </cell>
          <cell r="BE31" t="str">
            <v>Route 5 Yangon - Pathein</v>
          </cell>
          <cell r="BH31" t="str">
            <v>IENG</v>
          </cell>
          <cell r="BJ31">
            <v>42134</v>
          </cell>
          <cell r="BK31">
            <v>42121</v>
          </cell>
          <cell r="BL31">
            <v>42139</v>
          </cell>
          <cell r="BM31">
            <v>42139</v>
          </cell>
          <cell r="BT31">
            <v>112</v>
          </cell>
          <cell r="BU31">
            <v>42212</v>
          </cell>
          <cell r="BV31">
            <v>42215</v>
          </cell>
          <cell r="BW31" t="str">
            <v>95.2909</v>
          </cell>
          <cell r="BX31" t="str">
            <v>15.798334</v>
          </cell>
          <cell r="BY31" t="str">
            <v>Reject</v>
          </cell>
          <cell r="BZ31" t="str">
            <v>Thakhin Mya Street, Chan Myae Thar Yar Quarter, Mawlamyaing Gyun Township.</v>
          </cell>
          <cell r="CA31" t="str">
            <v>U Tin Wai,09-263568065/09-795929026</v>
          </cell>
          <cell r="CB31" t="str">
            <v>13 Aug 15: C5 deactivate because of Owner cannot provide Grand; 15 Jul 15 : C5 TSSR app;14 Jul 15 : C5 TSSR sub;8 Jul 15 : C5 SAR app;7 July 15 : C5 SAR sub;26 May 15 : C3 SAR app;25May15: C3 SAR Sub. FARMLAND(C1&amp;C2 FAILED TSS); 5May15: C2 SAR Sub. 4 May 15: C1  SAR reject(RND rejected because this site is 336m far from the nominal point, away from the population area and then no clutter in one sector. Please find the new candidate in 16.395665°, 95.255981°.); 5May15: C2 SAR Sub. 4 May 15: C1  SAR reject(RND rejected because this site is 336m far from the nominal point, away from the population area and then no clutter in one sector. Please find the new candidate in 16.395665°, 95.255981°.);2 May 15 : C1 SAR sub</v>
          </cell>
          <cell r="CC31" t="str">
            <v>PERMIT LAND</v>
          </cell>
          <cell r="CE31">
            <v>0</v>
          </cell>
          <cell r="CF31">
            <v>42213</v>
          </cell>
          <cell r="CG31">
            <v>42219</v>
          </cell>
          <cell r="CH31">
            <v>42215</v>
          </cell>
          <cell r="CJ31">
            <v>42231</v>
          </cell>
          <cell r="CK31" t="str">
            <v>50</v>
          </cell>
          <cell r="CL31" t="str">
            <v>52</v>
          </cell>
          <cell r="CM31" t="str">
            <v>60</v>
          </cell>
          <cell r="CN31">
            <v>0</v>
          </cell>
          <cell r="CO31">
            <v>42218</v>
          </cell>
          <cell r="CP31">
            <v>42233</v>
          </cell>
          <cell r="CQ31" t="str">
            <v>M4: solar + DG + battery</v>
          </cell>
          <cell r="CR31">
            <v>0</v>
          </cell>
          <cell r="CS31">
            <v>42219</v>
          </cell>
          <cell r="CT31">
            <v>42234</v>
          </cell>
          <cell r="CU31" t="str">
            <v>AY0973</v>
          </cell>
          <cell r="DH31">
            <v>0</v>
          </cell>
          <cell r="DI31">
            <v>42229</v>
          </cell>
          <cell r="DK31">
            <v>42226</v>
          </cell>
          <cell r="DM31">
            <v>42230</v>
          </cell>
          <cell r="DO31">
            <v>0</v>
          </cell>
          <cell r="DP31">
            <v>42229</v>
          </cell>
          <cell r="DT31">
            <v>0</v>
          </cell>
          <cell r="DU31">
            <v>42244</v>
          </cell>
          <cell r="DW31">
            <v>0</v>
          </cell>
          <cell r="DY31">
            <v>42230</v>
          </cell>
          <cell r="EA31" t="str">
            <v>IENG</v>
          </cell>
          <cell r="EJ31">
            <v>0</v>
          </cell>
          <cell r="EK31">
            <v>42247</v>
          </cell>
          <cell r="EM31">
            <v>42248</v>
          </cell>
          <cell r="EQ31">
            <v>42257</v>
          </cell>
          <cell r="EW31">
            <v>0</v>
          </cell>
          <cell r="EX31">
            <v>42216</v>
          </cell>
          <cell r="EZ31">
            <v>42267</v>
          </cell>
          <cell r="FB31">
            <v>42269</v>
          </cell>
          <cell r="FU31">
            <v>42271</v>
          </cell>
          <cell r="FW31">
            <v>42271</v>
          </cell>
          <cell r="GJ31">
            <v>0</v>
          </cell>
          <cell r="GN31" t="str">
            <v>ERICSSON</v>
          </cell>
          <cell r="GS31" t="str">
            <v>4/4/4</v>
          </cell>
          <cell r="GU31" t="str">
            <v xml:space="preserve">		</v>
          </cell>
          <cell r="HD31">
            <v>1</v>
          </cell>
        </row>
        <row r="32">
          <cell r="A32" t="str">
            <v>AY0976</v>
          </cell>
          <cell r="B32" t="str">
            <v>ACAY_0059</v>
          </cell>
          <cell r="C32" t="str">
            <v>Apollo</v>
          </cell>
          <cell r="D32" t="str">
            <v>Emilio Ruiz</v>
          </cell>
          <cell r="F32" t="str">
            <v>Phyo Wai Maung</v>
          </cell>
          <cell r="G32" t="str">
            <v>Thiha Kyaw</v>
          </cell>
          <cell r="H32" t="str">
            <v>GREEN</v>
          </cell>
          <cell r="I32" t="str">
            <v>South</v>
          </cell>
          <cell r="J32" t="str">
            <v>95.7012</v>
          </cell>
          <cell r="K32" t="str">
            <v>16.272</v>
          </cell>
          <cell r="L32" t="str">
            <v>SubUrban</v>
          </cell>
          <cell r="M32" t="str">
            <v>Ayeyarwady</v>
          </cell>
          <cell r="N32" t="str">
            <v>Pyapon</v>
          </cell>
          <cell r="O32" t="str">
            <v>Pyapon</v>
          </cell>
          <cell r="P32" t="str">
            <v>Hinthada</v>
          </cell>
          <cell r="Q32" t="str">
            <v>13</v>
          </cell>
          <cell r="R32" t="str">
            <v>Pyapon</v>
          </cell>
          <cell r="S32" t="str">
            <v>319</v>
          </cell>
          <cell r="T32" t="str">
            <v>GSM+UMTS</v>
          </cell>
          <cell r="W32" t="str">
            <v>Ph2-Priority</v>
          </cell>
          <cell r="X32" t="str">
            <v>35</v>
          </cell>
          <cell r="Y32" t="str">
            <v>35</v>
          </cell>
          <cell r="Z32" t="str">
            <v>GBT</v>
          </cell>
          <cell r="AA32" t="str">
            <v>250</v>
          </cell>
          <cell r="AB32" t="str">
            <v>Access</v>
          </cell>
          <cell r="AC32" t="str">
            <v>Class B</v>
          </cell>
          <cell r="BE32" t="str">
            <v>Yangon South</v>
          </cell>
          <cell r="BH32" t="str">
            <v>IENG</v>
          </cell>
          <cell r="BJ32">
            <v>42129</v>
          </cell>
          <cell r="BK32">
            <v>42121</v>
          </cell>
          <cell r="BL32">
            <v>42134</v>
          </cell>
          <cell r="BM32">
            <v>42124</v>
          </cell>
          <cell r="BT32">
            <v>13</v>
          </cell>
          <cell r="BU32">
            <v>42134</v>
          </cell>
          <cell r="BV32">
            <v>42134</v>
          </cell>
          <cell r="BW32" t="str">
            <v>95.70125</v>
          </cell>
          <cell r="BX32" t="str">
            <v>16.27266</v>
          </cell>
          <cell r="BY32" t="str">
            <v>C1</v>
          </cell>
          <cell r="BZ32" t="str">
            <v>;No(177) Outguin Village,Pyapon Township,Ayeyarwaddy Division.</v>
          </cell>
          <cell r="CA32" t="str">
            <v>U Zaw Min Tun-09422465489;(KO NYAN LIN AUNG;No(177) Outguin Village,Pyapon Township)</v>
          </cell>
          <cell r="CB32" t="str">
            <v>22 July 15 : C1 updated TSSR checklist given from E// because of reroute reason and new link addition ;10May15: C1 SAR Sub.</v>
          </cell>
          <cell r="CC32" t="str">
            <v>Farm Land</v>
          </cell>
          <cell r="CE32">
            <v>2</v>
          </cell>
          <cell r="CF32">
            <v>42135</v>
          </cell>
          <cell r="CG32">
            <v>42136</v>
          </cell>
          <cell r="CH32">
            <v>42137</v>
          </cell>
          <cell r="CJ32">
            <v>42142</v>
          </cell>
          <cell r="CK32" t="str">
            <v>35</v>
          </cell>
          <cell r="CL32" t="str">
            <v>37</v>
          </cell>
          <cell r="CM32" t="str">
            <v>35</v>
          </cell>
          <cell r="CN32">
            <v>11</v>
          </cell>
          <cell r="CO32">
            <v>42140</v>
          </cell>
          <cell r="CP32">
            <v>42147</v>
          </cell>
          <cell r="CQ32" t="str">
            <v>M1: grid power + battery</v>
          </cell>
          <cell r="CR32">
            <v>3</v>
          </cell>
          <cell r="CS32">
            <v>42141</v>
          </cell>
          <cell r="CT32">
            <v>42150</v>
          </cell>
          <cell r="CU32" t="str">
            <v>AY0976</v>
          </cell>
          <cell r="DH32">
            <v>23</v>
          </cell>
          <cell r="DI32">
            <v>42163</v>
          </cell>
          <cell r="DJ32">
            <v>42173</v>
          </cell>
          <cell r="DK32">
            <v>42160</v>
          </cell>
          <cell r="DL32">
            <v>42166</v>
          </cell>
          <cell r="DM32">
            <v>42164</v>
          </cell>
          <cell r="DN32">
            <v>42174</v>
          </cell>
          <cell r="DO32">
            <v>0</v>
          </cell>
          <cell r="DP32">
            <v>42163</v>
          </cell>
          <cell r="DQ32">
            <v>42173</v>
          </cell>
          <cell r="DT32">
            <v>60</v>
          </cell>
          <cell r="DU32">
            <v>42178</v>
          </cell>
          <cell r="DW32">
            <v>0</v>
          </cell>
          <cell r="DY32">
            <v>42164</v>
          </cell>
          <cell r="DZ32">
            <v>42179</v>
          </cell>
          <cell r="EA32" t="str">
            <v>IENG</v>
          </cell>
          <cell r="EB32">
            <v>42213</v>
          </cell>
          <cell r="ED32" t="str">
            <v>27Jul15 :Thiha.Kyaw: 27-7-15 Back filling in progress 60% Done.
20Jul15 :Thiha.Kyaw: 17-7-15 Pedestal making in progress, Tower on site.
13Jul15 :Thiha.Kyaw: 13-7-15 Footing making  in progress.
06Jul15 :Thiha.Kyaw: 30-6-15 Excavation in progress.</v>
          </cell>
          <cell r="EE32" t="str">
            <v xml:space="preserve">10 Aug 15:Rain affected_Progress affected; 4-Aug-15:on going elev ODU pad construction								</v>
          </cell>
          <cell r="EJ32">
            <v>27</v>
          </cell>
          <cell r="EK32">
            <v>42179</v>
          </cell>
          <cell r="EL32">
            <v>42206</v>
          </cell>
          <cell r="EM32">
            <v>42180</v>
          </cell>
          <cell r="EN32">
            <v>42195</v>
          </cell>
          <cell r="EQ32">
            <v>42187</v>
          </cell>
          <cell r="ER32">
            <v>42227</v>
          </cell>
          <cell r="ES32">
            <v>42227</v>
          </cell>
          <cell r="ET32">
            <v>42228</v>
          </cell>
          <cell r="EU32">
            <v>42228</v>
          </cell>
          <cell r="EW32">
            <v>54</v>
          </cell>
          <cell r="EX32">
            <v>42201</v>
          </cell>
          <cell r="EZ32">
            <v>42197</v>
          </cell>
          <cell r="FA32">
            <v>42229</v>
          </cell>
          <cell r="FB32">
            <v>42199</v>
          </cell>
          <cell r="FC32">
            <v>42229</v>
          </cell>
          <cell r="FE32">
            <v>42193</v>
          </cell>
          <cell r="FU32">
            <v>42201</v>
          </cell>
          <cell r="FW32">
            <v>42201</v>
          </cell>
          <cell r="FX32">
            <v>42230</v>
          </cell>
          <cell r="FY32" t="str">
            <v>EM</v>
          </cell>
          <cell r="FZ32">
            <v>42213</v>
          </cell>
          <cell r="GA32">
            <v>42225</v>
          </cell>
          <cell r="GB32">
            <v>42226</v>
          </cell>
          <cell r="GC32">
            <v>42230</v>
          </cell>
          <cell r="GD32">
            <v>42230</v>
          </cell>
          <cell r="GE32">
            <v>42226</v>
          </cell>
          <cell r="GF32">
            <v>42232</v>
          </cell>
          <cell r="GG32">
            <v>42232</v>
          </cell>
          <cell r="GH32">
            <v>42232</v>
          </cell>
          <cell r="GI32">
            <v>42246</v>
          </cell>
          <cell r="GJ32" t="str">
            <v>36-2015</v>
          </cell>
          <cell r="GK32">
            <v>42233</v>
          </cell>
          <cell r="GN32" t="str">
            <v xml:space="preserve">ERICSSON </v>
          </cell>
          <cell r="GO32">
            <v>42158</v>
          </cell>
          <cell r="GS32" t="str">
            <v>4/4/4</v>
          </cell>
          <cell r="GU32" t="str">
            <v xml:space="preserve">		</v>
          </cell>
          <cell r="HD32">
            <v>1</v>
          </cell>
        </row>
        <row r="33">
          <cell r="A33" t="str">
            <v>AY0977</v>
          </cell>
          <cell r="B33" t="str">
            <v>ACAY_0060</v>
          </cell>
          <cell r="C33" t="str">
            <v>Apollo</v>
          </cell>
          <cell r="D33" t="str">
            <v>Emilio Ruiz</v>
          </cell>
          <cell r="F33" t="str">
            <v>Phyo Wai Maung</v>
          </cell>
          <cell r="G33" t="str">
            <v>Thiha Kyaw</v>
          </cell>
          <cell r="H33" t="str">
            <v>RED</v>
          </cell>
          <cell r="I33" t="str">
            <v>South</v>
          </cell>
          <cell r="J33" t="str">
            <v>95.6781</v>
          </cell>
          <cell r="K33" t="str">
            <v>16.3028</v>
          </cell>
          <cell r="L33" t="str">
            <v>SubUrban</v>
          </cell>
          <cell r="M33" t="str">
            <v>Ayeyarwady</v>
          </cell>
          <cell r="N33" t="str">
            <v>Pyapon</v>
          </cell>
          <cell r="O33" t="str">
            <v>Pyapon</v>
          </cell>
          <cell r="P33" t="str">
            <v>Hinthada</v>
          </cell>
          <cell r="Q33" t="str">
            <v>13</v>
          </cell>
          <cell r="R33" t="str">
            <v>Pyapon</v>
          </cell>
          <cell r="S33" t="str">
            <v>319</v>
          </cell>
          <cell r="T33" t="str">
            <v>GSM+UMTS</v>
          </cell>
          <cell r="W33" t="str">
            <v>Ph2-Priority</v>
          </cell>
          <cell r="X33" t="str">
            <v>35</v>
          </cell>
          <cell r="Y33" t="str">
            <v>35</v>
          </cell>
          <cell r="Z33" t="str">
            <v>GBT</v>
          </cell>
          <cell r="AA33" t="str">
            <v>250</v>
          </cell>
          <cell r="AB33" t="str">
            <v>Access</v>
          </cell>
          <cell r="AC33" t="str">
            <v>Class B</v>
          </cell>
          <cell r="BE33" t="str">
            <v>Yangon South</v>
          </cell>
          <cell r="BH33" t="str">
            <v>IENG</v>
          </cell>
          <cell r="BJ33">
            <v>42152</v>
          </cell>
          <cell r="BK33">
            <v>42121</v>
          </cell>
          <cell r="BL33">
            <v>42157</v>
          </cell>
          <cell r="BM33">
            <v>42127</v>
          </cell>
          <cell r="BT33">
            <v>112</v>
          </cell>
          <cell r="BU33">
            <v>42183</v>
          </cell>
          <cell r="BV33">
            <v>42137</v>
          </cell>
          <cell r="BW33" t="str">
            <v>95.20618</v>
          </cell>
          <cell r="BX33" t="str">
            <v>17.04336</v>
          </cell>
          <cell r="BY33" t="str">
            <v>Reject</v>
          </cell>
          <cell r="BZ33" t="str">
            <v>KYAUNG KHONE-AEIN MAE MAIN ROAD, KYON TAR VILLAGE , MIN MA NAING VILLAGE GROUP, KYAUNG KHONE TOWNSHIP,AYEYARWADY..</v>
          </cell>
          <cell r="CA33" t="str">
            <v>U Soe Win;Kyaung Khone- Aein Mae Main Road,Kyon Tar Village,Min Ma Naing Village Group,Kyaung Khone Township,Ayeyarwady;09-792767368,09970710285;(U Moe Min Naing;09-792767368,09970710285)</v>
          </cell>
          <cell r="CB33" t="str">
            <v>13 Aug 15: C1 deactivate because of Noc and Proximity issue. JV done; 11 Jun 15 : C1 SAR app;10Jun15: C1 SAR Sub</v>
          </cell>
          <cell r="CC33" t="str">
            <v>SALES DEED</v>
          </cell>
          <cell r="CE33">
            <v>0</v>
          </cell>
          <cell r="CF33">
            <v>42184</v>
          </cell>
          <cell r="CG33">
            <v>42138</v>
          </cell>
          <cell r="CH33">
            <v>42186</v>
          </cell>
          <cell r="CJ33">
            <v>42142</v>
          </cell>
          <cell r="CK33" t="str">
            <v>45</v>
          </cell>
          <cell r="CL33" t="str">
            <v>47</v>
          </cell>
          <cell r="CM33" t="str">
            <v>45</v>
          </cell>
          <cell r="CN33">
            <v>0</v>
          </cell>
          <cell r="CO33">
            <v>42189</v>
          </cell>
          <cell r="CP33">
            <v>42145</v>
          </cell>
          <cell r="CQ33" t="str">
            <v>M1: grid power + battery</v>
          </cell>
          <cell r="CR33">
            <v>0</v>
          </cell>
          <cell r="CS33">
            <v>42190</v>
          </cell>
          <cell r="CT33">
            <v>42146</v>
          </cell>
          <cell r="CU33" t="str">
            <v>AY0977</v>
          </cell>
          <cell r="DH33">
            <v>0</v>
          </cell>
          <cell r="DI33">
            <v>42200</v>
          </cell>
          <cell r="DJ33">
            <v>42165</v>
          </cell>
          <cell r="DK33">
            <v>42197</v>
          </cell>
          <cell r="DL33">
            <v>42166</v>
          </cell>
          <cell r="DM33">
            <v>42201</v>
          </cell>
          <cell r="DN33">
            <v>42170</v>
          </cell>
          <cell r="DO33">
            <v>0</v>
          </cell>
          <cell r="DP33">
            <v>42200</v>
          </cell>
          <cell r="DQ33">
            <v>42165</v>
          </cell>
          <cell r="DT33">
            <v>0</v>
          </cell>
          <cell r="DU33">
            <v>42215</v>
          </cell>
          <cell r="DW33">
            <v>0</v>
          </cell>
          <cell r="DY33">
            <v>42201</v>
          </cell>
          <cell r="DZ33">
            <v>42170</v>
          </cell>
          <cell r="EA33" t="str">
            <v>IENG</v>
          </cell>
          <cell r="ED33" t="str">
            <v xml:space="preserve">29Jun15 :YeHtet.Zaw: 24-June-15;Excavation is done.Tower equip is on site.
</v>
          </cell>
          <cell r="EI33" t="str">
            <v>M7: 2DG + battery      </v>
          </cell>
          <cell r="EJ33">
            <v>0</v>
          </cell>
          <cell r="EK33">
            <v>42216</v>
          </cell>
          <cell r="EL33">
            <v>42191</v>
          </cell>
          <cell r="EM33">
            <v>42217</v>
          </cell>
          <cell r="EN33">
            <v>42191</v>
          </cell>
          <cell r="EQ33">
            <v>42224</v>
          </cell>
          <cell r="ER33">
            <v>42197</v>
          </cell>
          <cell r="ES33">
            <v>42197</v>
          </cell>
          <cell r="ET33">
            <v>42197</v>
          </cell>
          <cell r="EU33">
            <v>42197</v>
          </cell>
          <cell r="EW33">
            <v>0</v>
          </cell>
          <cell r="EX33">
            <v>42212</v>
          </cell>
          <cell r="EZ33">
            <v>42234</v>
          </cell>
          <cell r="FA33">
            <v>42201</v>
          </cell>
          <cell r="FB33">
            <v>42236</v>
          </cell>
          <cell r="FC33">
            <v>42205</v>
          </cell>
          <cell r="FE33">
            <v>42179</v>
          </cell>
          <cell r="FS33">
            <v>42192</v>
          </cell>
          <cell r="FT33" t="str">
            <v>Off Grid</v>
          </cell>
          <cell r="FU33">
            <v>42238</v>
          </cell>
          <cell r="FW33">
            <v>42238</v>
          </cell>
          <cell r="FX33">
            <v>42205</v>
          </cell>
          <cell r="FY33" t="str">
            <v>EM</v>
          </cell>
          <cell r="FZ33">
            <v>42192</v>
          </cell>
          <cell r="GA33">
            <v>42194</v>
          </cell>
          <cell r="GB33">
            <v>42196</v>
          </cell>
          <cell r="GC33">
            <v>42198</v>
          </cell>
          <cell r="GD33">
            <v>42198</v>
          </cell>
          <cell r="GE33">
            <v>42196</v>
          </cell>
          <cell r="GF33">
            <v>42196</v>
          </cell>
          <cell r="GG33">
            <v>42204</v>
          </cell>
          <cell r="GH33">
            <v>42204</v>
          </cell>
          <cell r="GI33">
            <v>42216</v>
          </cell>
          <cell r="GJ33">
            <v>0</v>
          </cell>
          <cell r="GK33">
            <v>42205</v>
          </cell>
          <cell r="GN33" t="str">
            <v xml:space="preserve">ERICSSON </v>
          </cell>
          <cell r="GO33">
            <v>42191</v>
          </cell>
          <cell r="GP33">
            <v>42191</v>
          </cell>
          <cell r="GS33" t="str">
            <v>4/4/4</v>
          </cell>
          <cell r="GU33" t="str">
            <v xml:space="preserve">		</v>
          </cell>
          <cell r="HD33">
            <v>1</v>
          </cell>
        </row>
        <row r="34">
          <cell r="A34" t="str">
            <v>AY0978</v>
          </cell>
          <cell r="B34" t="str">
            <v>ACAY_0061</v>
          </cell>
          <cell r="C34" t="str">
            <v>Apollo</v>
          </cell>
          <cell r="D34" t="str">
            <v>Emilio Ruiz</v>
          </cell>
          <cell r="F34" t="str">
            <v>Phyo Wai Maung</v>
          </cell>
          <cell r="G34" t="str">
            <v>Thiha Kyaw</v>
          </cell>
          <cell r="H34" t="str">
            <v>RED</v>
          </cell>
          <cell r="I34" t="str">
            <v>South</v>
          </cell>
          <cell r="J34" t="str">
            <v>95.7047</v>
          </cell>
          <cell r="K34" t="str">
            <v>16.4567</v>
          </cell>
          <cell r="L34" t="str">
            <v>SubUrban</v>
          </cell>
          <cell r="M34" t="str">
            <v>Ayeyarwady</v>
          </cell>
          <cell r="N34" t="str">
            <v>Kyaiklat</v>
          </cell>
          <cell r="O34" t="str">
            <v>Kyaiklat</v>
          </cell>
          <cell r="P34" t="str">
            <v>Hinthada</v>
          </cell>
          <cell r="Q34" t="str">
            <v>13</v>
          </cell>
          <cell r="R34" t="str">
            <v>Kyaiklat</v>
          </cell>
          <cell r="S34" t="str">
            <v>321</v>
          </cell>
          <cell r="T34" t="str">
            <v>GSM+UMTS</v>
          </cell>
          <cell r="W34" t="str">
            <v>Ph2-Priority</v>
          </cell>
          <cell r="X34" t="str">
            <v>35</v>
          </cell>
          <cell r="Y34" t="str">
            <v>35</v>
          </cell>
          <cell r="Z34" t="str">
            <v>GBT</v>
          </cell>
          <cell r="AA34" t="str">
            <v>250</v>
          </cell>
          <cell r="AB34" t="str">
            <v>Access</v>
          </cell>
          <cell r="AC34" t="str">
            <v>Class B</v>
          </cell>
          <cell r="BE34" t="str">
            <v>Yangon South</v>
          </cell>
          <cell r="BH34" t="str">
            <v>IENG</v>
          </cell>
          <cell r="BJ34">
            <v>42129</v>
          </cell>
          <cell r="BK34">
            <v>42121</v>
          </cell>
          <cell r="BL34">
            <v>42134</v>
          </cell>
          <cell r="BM34">
            <v>42123</v>
          </cell>
          <cell r="BT34">
            <v>112</v>
          </cell>
          <cell r="BU34">
            <v>42134</v>
          </cell>
          <cell r="BV34">
            <v>42134</v>
          </cell>
          <cell r="BW34" t="str">
            <v>95.70326</v>
          </cell>
          <cell r="BX34" t="str">
            <v>16.45641</v>
          </cell>
          <cell r="BY34" t="str">
            <v>Reject</v>
          </cell>
          <cell r="BZ34" t="str">
            <v>Yar Thint Lam Road, (5) Quarter,Kyaiklat Township.</v>
          </cell>
          <cell r="CA34" t="str">
            <v>KO AUNG KYAW SOE;Yar Thint Lam Road, (5) Quarter,Kyaiklat Township;0949010143, 09794040039</v>
          </cell>
          <cell r="CB34" t="str">
            <v>13 Aug 15: C1 deactivate because of Paddy land thus rejected by Legal. JV done;27 May 15 :C1 TSSR app;26 May 15 : C1 TSSR sub;12 May 15 : C1 SAR app;10May15: C1 SAR Sub.</v>
          </cell>
          <cell r="CC34" t="str">
            <v>Garden Land</v>
          </cell>
          <cell r="CE34">
            <v>0</v>
          </cell>
          <cell r="CF34">
            <v>42135</v>
          </cell>
          <cell r="CG34">
            <v>42136</v>
          </cell>
          <cell r="CH34">
            <v>42137</v>
          </cell>
          <cell r="CJ34">
            <v>42142</v>
          </cell>
          <cell r="CK34" t="str">
            <v>35</v>
          </cell>
          <cell r="CL34" t="str">
            <v>37</v>
          </cell>
          <cell r="CM34" t="str">
            <v>35</v>
          </cell>
          <cell r="CN34">
            <v>0</v>
          </cell>
          <cell r="CO34">
            <v>42140</v>
          </cell>
          <cell r="CP34">
            <v>42150</v>
          </cell>
          <cell r="CQ34" t="str">
            <v>M4: solar + DG + battery</v>
          </cell>
          <cell r="CR34">
            <v>0</v>
          </cell>
          <cell r="CS34">
            <v>42141</v>
          </cell>
          <cell r="CT34">
            <v>42151</v>
          </cell>
          <cell r="CU34" t="str">
            <v>AY0978</v>
          </cell>
          <cell r="DH34">
            <v>0</v>
          </cell>
          <cell r="DI34">
            <v>42163</v>
          </cell>
          <cell r="DK34">
            <v>42160</v>
          </cell>
          <cell r="DM34">
            <v>42164</v>
          </cell>
          <cell r="DO34">
            <v>0</v>
          </cell>
          <cell r="DP34">
            <v>42163</v>
          </cell>
          <cell r="DT34">
            <v>0</v>
          </cell>
          <cell r="DU34">
            <v>42178</v>
          </cell>
          <cell r="DW34">
            <v>0</v>
          </cell>
          <cell r="DY34">
            <v>42164</v>
          </cell>
          <cell r="EA34" t="str">
            <v>IENG</v>
          </cell>
          <cell r="ED34" t="str">
            <v xml:space="preserve">20Jul15 :Thiha.Kyaw: 17-7-15 Site on air and fencing making in progress.
</v>
          </cell>
          <cell r="EJ34">
            <v>0</v>
          </cell>
          <cell r="EK34">
            <v>42179</v>
          </cell>
          <cell r="EM34">
            <v>42180</v>
          </cell>
          <cell r="EQ34">
            <v>42187</v>
          </cell>
          <cell r="EW34">
            <v>0</v>
          </cell>
          <cell r="EX34">
            <v>42201</v>
          </cell>
          <cell r="EZ34">
            <v>42197</v>
          </cell>
          <cell r="FB34">
            <v>42199</v>
          </cell>
          <cell r="FU34">
            <v>42201</v>
          </cell>
          <cell r="FW34">
            <v>42201</v>
          </cell>
          <cell r="GJ34">
            <v>0</v>
          </cell>
          <cell r="GN34" t="str">
            <v>ERICSSON</v>
          </cell>
          <cell r="GO34">
            <v>42158</v>
          </cell>
          <cell r="GS34" t="str">
            <v>4/4/4</v>
          </cell>
          <cell r="GU34" t="str">
            <v xml:space="preserve">		</v>
          </cell>
          <cell r="HD34">
            <v>1</v>
          </cell>
        </row>
        <row r="35">
          <cell r="A35" t="str">
            <v>AY0979</v>
          </cell>
          <cell r="B35" t="str">
            <v>ACAY_0084</v>
          </cell>
          <cell r="C35" t="str">
            <v>Apollo</v>
          </cell>
          <cell r="D35" t="str">
            <v>Emilio Ruiz</v>
          </cell>
          <cell r="F35" t="str">
            <v>Phyo Wai Maung</v>
          </cell>
          <cell r="G35" t="str">
            <v>Thiha Kyaw</v>
          </cell>
          <cell r="H35" t="str">
            <v>GREEN</v>
          </cell>
          <cell r="I35" t="str">
            <v>South</v>
          </cell>
          <cell r="J35" t="str">
            <v>95.9061</v>
          </cell>
          <cell r="K35" t="str">
            <v>16.4037</v>
          </cell>
          <cell r="L35" t="str">
            <v>Rural</v>
          </cell>
          <cell r="M35" t="str">
            <v>Ayeyarwady</v>
          </cell>
          <cell r="N35" t="str">
            <v>Dedaye</v>
          </cell>
          <cell r="O35" t="str">
            <v>Dedaye</v>
          </cell>
          <cell r="P35" t="str">
            <v>Hinthada</v>
          </cell>
          <cell r="Q35" t="str">
            <v>13</v>
          </cell>
          <cell r="R35" t="str">
            <v>Dedaye</v>
          </cell>
          <cell r="S35" t="str">
            <v>322</v>
          </cell>
          <cell r="T35" t="str">
            <v>GSM+UMTS</v>
          </cell>
          <cell r="W35" t="str">
            <v>Ph2-Priority</v>
          </cell>
          <cell r="X35" t="str">
            <v>45</v>
          </cell>
          <cell r="Y35" t="str">
            <v>45</v>
          </cell>
          <cell r="Z35" t="str">
            <v>GBT</v>
          </cell>
          <cell r="AA35" t="str">
            <v>250</v>
          </cell>
          <cell r="AB35" t="str">
            <v>Access</v>
          </cell>
          <cell r="AC35" t="str">
            <v>Class C</v>
          </cell>
          <cell r="BE35" t="str">
            <v>Yangon South</v>
          </cell>
          <cell r="BH35" t="str">
            <v>IENG</v>
          </cell>
          <cell r="BJ35">
            <v>42129</v>
          </cell>
          <cell r="BK35">
            <v>42121</v>
          </cell>
          <cell r="BL35">
            <v>42134</v>
          </cell>
          <cell r="BM35">
            <v>42124</v>
          </cell>
          <cell r="BT35">
            <v>13</v>
          </cell>
          <cell r="BU35">
            <v>42134</v>
          </cell>
          <cell r="BV35">
            <v>42134</v>
          </cell>
          <cell r="BW35" t="str">
            <v>95.90698</v>
          </cell>
          <cell r="BX35" t="str">
            <v>16.40236</v>
          </cell>
          <cell r="BY35" t="str">
            <v>C1</v>
          </cell>
          <cell r="BZ35" t="str">
            <v>Mtang Mhu Char Vilage,3/4 Quarter,Dedaye Township,Ayeyarwady Division.</v>
          </cell>
          <cell r="CA35" t="str">
            <v>U THAN SOE;Mtang Mhu Char Vilage,3/4 Quarter,Dedaye Township;09-8593160</v>
          </cell>
          <cell r="CB35" t="str">
            <v>10May15: C1 SAR Sub.</v>
          </cell>
          <cell r="CC35" t="str">
            <v>Garden Land</v>
          </cell>
          <cell r="CE35">
            <v>2</v>
          </cell>
          <cell r="CF35">
            <v>42135</v>
          </cell>
          <cell r="CG35">
            <v>42136</v>
          </cell>
          <cell r="CH35">
            <v>42137</v>
          </cell>
          <cell r="CJ35">
            <v>42142</v>
          </cell>
          <cell r="CK35" t="str">
            <v>45</v>
          </cell>
          <cell r="CL35" t="str">
            <v>47</v>
          </cell>
          <cell r="CM35" t="str">
            <v>45</v>
          </cell>
          <cell r="CN35">
            <v>11</v>
          </cell>
          <cell r="CO35">
            <v>42140</v>
          </cell>
          <cell r="CP35">
            <v>42147</v>
          </cell>
          <cell r="CQ35" t="str">
            <v>M4: solar + DG + battery</v>
          </cell>
          <cell r="CR35">
            <v>2</v>
          </cell>
          <cell r="CS35">
            <v>42141</v>
          </cell>
          <cell r="CT35">
            <v>42149</v>
          </cell>
          <cell r="CU35" t="str">
            <v>AY0979</v>
          </cell>
          <cell r="DH35">
            <v>16</v>
          </cell>
          <cell r="DI35">
            <v>42163</v>
          </cell>
          <cell r="DJ35">
            <v>42165</v>
          </cell>
          <cell r="DK35">
            <v>42160</v>
          </cell>
          <cell r="DL35">
            <v>42172</v>
          </cell>
          <cell r="DM35">
            <v>42164</v>
          </cell>
          <cell r="DN35">
            <v>42172</v>
          </cell>
          <cell r="DO35">
            <v>0</v>
          </cell>
          <cell r="DP35">
            <v>42163</v>
          </cell>
          <cell r="DQ35">
            <v>42165</v>
          </cell>
          <cell r="DT35">
            <v>68</v>
          </cell>
          <cell r="DU35">
            <v>42178</v>
          </cell>
          <cell r="DW35">
            <v>0</v>
          </cell>
          <cell r="DY35">
            <v>42164</v>
          </cell>
          <cell r="DZ35">
            <v>42172</v>
          </cell>
          <cell r="EA35" t="str">
            <v>IENG</v>
          </cell>
          <cell r="ED35" t="str">
            <v>27Jul15 :Thiha.Kyaw: 27-7-15 Back filling in progress 75% Done.Equipment pad making in progress. Tower on site.
20Jul15 :Thiha.Kyaw: 17-7-15 Back filling in progress, Tower on site.
13Jul15 :Thiha.Kyaw: 13-7-15 Excavation in progress.
06Jul15 :Thiha.Kyaw: 30-6-15 Excavation in progress.</v>
          </cell>
          <cell r="EE35" t="str">
            <v xml:space="preserve">10 Aug 15:Rain affected_Progress affected; 1-Aug-15: on going tower erection								</v>
          </cell>
          <cell r="EJ35">
            <v>30</v>
          </cell>
          <cell r="EK35">
            <v>42181</v>
          </cell>
          <cell r="EL35">
            <v>42202</v>
          </cell>
          <cell r="EM35">
            <v>42182</v>
          </cell>
          <cell r="EN35">
            <v>42195</v>
          </cell>
          <cell r="EQ35">
            <v>42191</v>
          </cell>
          <cell r="ER35">
            <v>42227</v>
          </cell>
          <cell r="ES35">
            <v>42227</v>
          </cell>
          <cell r="ET35">
            <v>42228</v>
          </cell>
          <cell r="EU35">
            <v>42228</v>
          </cell>
          <cell r="EW35">
            <v>61</v>
          </cell>
          <cell r="EX35">
            <v>42205</v>
          </cell>
          <cell r="EZ35">
            <v>42201</v>
          </cell>
          <cell r="FA35">
            <v>42230</v>
          </cell>
          <cell r="FB35">
            <v>42203</v>
          </cell>
          <cell r="FC35">
            <v>42236</v>
          </cell>
          <cell r="FE35">
            <v>42193</v>
          </cell>
          <cell r="FU35">
            <v>42205</v>
          </cell>
          <cell r="FW35">
            <v>42205</v>
          </cell>
          <cell r="FX35">
            <v>42236</v>
          </cell>
          <cell r="FY35" t="str">
            <v>EM</v>
          </cell>
          <cell r="FZ35">
            <v>42207</v>
          </cell>
          <cell r="GA35">
            <v>42210</v>
          </cell>
          <cell r="GB35">
            <v>42211</v>
          </cell>
          <cell r="GC35">
            <v>42234</v>
          </cell>
          <cell r="GD35">
            <v>42235</v>
          </cell>
          <cell r="GE35">
            <v>42211</v>
          </cell>
          <cell r="GF35">
            <v>42235</v>
          </cell>
          <cell r="GG35">
            <v>42235</v>
          </cell>
          <cell r="GH35">
            <v>42235</v>
          </cell>
          <cell r="GI35">
            <v>42246</v>
          </cell>
          <cell r="GJ35" t="str">
            <v>36-2015</v>
          </cell>
          <cell r="GK35">
            <v>42235</v>
          </cell>
          <cell r="GN35" t="str">
            <v>ERICSSON</v>
          </cell>
          <cell r="GO35">
            <v>42171</v>
          </cell>
          <cell r="GS35" t="str">
            <v>4/4/4</v>
          </cell>
          <cell r="GU35" t="str">
            <v xml:space="preserve">		</v>
          </cell>
          <cell r="HD35">
            <v>1</v>
          </cell>
        </row>
        <row r="36">
          <cell r="A36" t="str">
            <v>AY0980</v>
          </cell>
          <cell r="B36" t="str">
            <v>ACAY_0062</v>
          </cell>
          <cell r="C36" t="str">
            <v>Apollo</v>
          </cell>
          <cell r="D36" t="str">
            <v>Emilio Ruiz</v>
          </cell>
          <cell r="F36" t="str">
            <v>Phyo Wai Maung</v>
          </cell>
          <cell r="G36" t="str">
            <v>Thiha Kyaw</v>
          </cell>
          <cell r="H36" t="str">
            <v>RED</v>
          </cell>
          <cell r="I36" t="str">
            <v>South</v>
          </cell>
          <cell r="J36" t="str">
            <v>95.8771</v>
          </cell>
          <cell r="K36" t="str">
            <v>16.4161</v>
          </cell>
          <cell r="L36" t="str">
            <v>SubUrban</v>
          </cell>
          <cell r="M36" t="str">
            <v>Ayeyarwady</v>
          </cell>
          <cell r="N36" t="str">
            <v>Dedaye</v>
          </cell>
          <cell r="O36" t="str">
            <v>Dedaye</v>
          </cell>
          <cell r="P36" t="str">
            <v>Hinthada</v>
          </cell>
          <cell r="Q36" t="str">
            <v>13</v>
          </cell>
          <cell r="R36" t="str">
            <v>Dedaye</v>
          </cell>
          <cell r="S36" t="str">
            <v>322</v>
          </cell>
          <cell r="T36" t="str">
            <v>GSM+UMTS</v>
          </cell>
          <cell r="W36" t="str">
            <v>Ph2-Priority</v>
          </cell>
          <cell r="X36" t="str">
            <v>35</v>
          </cell>
          <cell r="Y36" t="str">
            <v>35</v>
          </cell>
          <cell r="Z36" t="str">
            <v>GBT</v>
          </cell>
          <cell r="AA36" t="str">
            <v>250</v>
          </cell>
          <cell r="AB36" t="str">
            <v>Access</v>
          </cell>
          <cell r="AC36" t="str">
            <v>Class B</v>
          </cell>
          <cell r="BE36" t="str">
            <v>Yangon South</v>
          </cell>
          <cell r="BH36" t="str">
            <v>IENG</v>
          </cell>
          <cell r="BJ36">
            <v>42128</v>
          </cell>
          <cell r="BK36">
            <v>42121</v>
          </cell>
          <cell r="BL36">
            <v>42133</v>
          </cell>
          <cell r="BM36">
            <v>42150</v>
          </cell>
          <cell r="BT36">
            <v>101</v>
          </cell>
          <cell r="BU36">
            <v>42143</v>
          </cell>
          <cell r="BV36">
            <v>42222</v>
          </cell>
          <cell r="BW36" t="str">
            <v>95.8796</v>
          </cell>
          <cell r="BX36" t="str">
            <v>16.41366</v>
          </cell>
          <cell r="BY36" t="str">
            <v>C4</v>
          </cell>
          <cell r="BZ36" t="str">
            <v>Kyone Boat Village,Dedaye Township,Ayeyarwaddy.</v>
          </cell>
          <cell r="CA36" t="str">
            <v>U Aye Lwin,09-780575717</v>
          </cell>
          <cell r="CB36" t="str">
            <v>10 Aug 15 : C4 SAR Rev approved as an option 2; 6 Aug 15 : C4 rev SAR sub because of CHANGED COORDINATES;3 Aug 15 : C4 SAR app;30 Jul 15 : C4 SAR sub with 35 M Tower(C3 NOC ISSUE);7 Jul 15 : C3 TSSR app;6 Jul 15: C1 TSSR sub;23 Jun 15 : C3 SAR app;22 Jun 15 : C3 SAR sub (C1, CANCELED MONASTERY LAND);prev TSSR app 27 May 15;13May15: C1 SAR Sub</v>
          </cell>
          <cell r="CC36" t="str">
            <v>GARDEN LAND</v>
          </cell>
          <cell r="CE36">
            <v>4</v>
          </cell>
          <cell r="CF36">
            <v>42144</v>
          </cell>
          <cell r="CG36">
            <v>42226</v>
          </cell>
          <cell r="CH36">
            <v>42146</v>
          </cell>
          <cell r="CJ36">
            <v>42228</v>
          </cell>
          <cell r="CK36" t="str">
            <v>35</v>
          </cell>
          <cell r="CL36" t="str">
            <v>37</v>
          </cell>
          <cell r="CM36" t="str">
            <v>35</v>
          </cell>
          <cell r="CN36">
            <v>4</v>
          </cell>
          <cell r="CO36">
            <v>42149</v>
          </cell>
          <cell r="CP36">
            <v>42230</v>
          </cell>
          <cell r="CQ36" t="str">
            <v>M4: solar + DG + battery</v>
          </cell>
          <cell r="CR36">
            <v>3</v>
          </cell>
          <cell r="CS36">
            <v>42150</v>
          </cell>
          <cell r="CT36">
            <v>42233</v>
          </cell>
          <cell r="CU36" t="str">
            <v>AY0980</v>
          </cell>
          <cell r="DH36">
            <v>0</v>
          </cell>
          <cell r="DI36">
            <v>42163</v>
          </cell>
          <cell r="DK36">
            <v>42160</v>
          </cell>
          <cell r="DL36">
            <v>42242</v>
          </cell>
          <cell r="DM36">
            <v>42164</v>
          </cell>
          <cell r="DO36">
            <v>0</v>
          </cell>
          <cell r="DP36">
            <v>42163</v>
          </cell>
          <cell r="DT36">
            <v>0</v>
          </cell>
          <cell r="DU36">
            <v>42178</v>
          </cell>
          <cell r="DW36">
            <v>0</v>
          </cell>
          <cell r="DY36">
            <v>42164</v>
          </cell>
          <cell r="DZ36">
            <v>42245</v>
          </cell>
          <cell r="EA36" t="str">
            <v>IENG</v>
          </cell>
          <cell r="EJ36">
            <v>0</v>
          </cell>
          <cell r="EK36">
            <v>42179</v>
          </cell>
          <cell r="EM36">
            <v>42180</v>
          </cell>
          <cell r="EQ36">
            <v>42187</v>
          </cell>
          <cell r="EW36">
            <v>0</v>
          </cell>
          <cell r="EX36">
            <v>42201</v>
          </cell>
          <cell r="EZ36">
            <v>42197</v>
          </cell>
          <cell r="FB36">
            <v>42199</v>
          </cell>
          <cell r="FU36">
            <v>42201</v>
          </cell>
          <cell r="FW36">
            <v>42201</v>
          </cell>
          <cell r="GJ36">
            <v>0</v>
          </cell>
          <cell r="GN36" t="str">
            <v>ERICSSON</v>
          </cell>
          <cell r="GO36">
            <v>42171</v>
          </cell>
          <cell r="GS36" t="str">
            <v>4/4/4</v>
          </cell>
          <cell r="GU36" t="str">
            <v xml:space="preserve">		</v>
          </cell>
          <cell r="HD36">
            <v>1</v>
          </cell>
        </row>
        <row r="37">
          <cell r="A37" t="str">
            <v>AY0990</v>
          </cell>
          <cell r="B37" t="str">
            <v>ACAY_0085</v>
          </cell>
          <cell r="C37" t="str">
            <v>Apollo</v>
          </cell>
          <cell r="D37" t="str">
            <v>Emilio Ruiz</v>
          </cell>
          <cell r="F37" t="str">
            <v>Phyo Wai Maung</v>
          </cell>
          <cell r="G37" t="str">
            <v>Thiha Kyaw</v>
          </cell>
          <cell r="H37" t="str">
            <v>YELLOW</v>
          </cell>
          <cell r="I37" t="str">
            <v>South</v>
          </cell>
          <cell r="J37" t="str">
            <v>94.9034</v>
          </cell>
          <cell r="K37" t="str">
            <v>16.9196</v>
          </cell>
          <cell r="L37" t="str">
            <v>Rural</v>
          </cell>
          <cell r="M37" t="str">
            <v>Ayeyarwady</v>
          </cell>
          <cell r="N37" t="str">
            <v>Kangyidaunt</v>
          </cell>
          <cell r="O37" t="str">
            <v>Kangyidaunt</v>
          </cell>
          <cell r="P37" t="str">
            <v>Pathein</v>
          </cell>
          <cell r="Q37" t="str">
            <v>14</v>
          </cell>
          <cell r="R37" t="str">
            <v>Kangyidaunt</v>
          </cell>
          <cell r="S37" t="str">
            <v>298</v>
          </cell>
          <cell r="T37" t="str">
            <v>GSM+UMTS</v>
          </cell>
          <cell r="W37" t="str">
            <v>Ph2-Priority</v>
          </cell>
          <cell r="X37" t="str">
            <v>45</v>
          </cell>
          <cell r="Y37" t="str">
            <v>45</v>
          </cell>
          <cell r="Z37" t="str">
            <v>GBT</v>
          </cell>
          <cell r="AA37" t="str">
            <v>250</v>
          </cell>
          <cell r="AB37" t="str">
            <v>Access</v>
          </cell>
          <cell r="AC37" t="str">
            <v>Class C</v>
          </cell>
          <cell r="BE37" t="str">
            <v>Route 5 Yangon - Pathein</v>
          </cell>
          <cell r="BH37" t="str">
            <v>IENG</v>
          </cell>
          <cell r="BJ37">
            <v>42128</v>
          </cell>
          <cell r="BK37">
            <v>42121</v>
          </cell>
          <cell r="BL37">
            <v>42133</v>
          </cell>
          <cell r="BM37">
            <v>42133</v>
          </cell>
          <cell r="BT37">
            <v>52</v>
          </cell>
          <cell r="BU37">
            <v>42119</v>
          </cell>
          <cell r="BV37">
            <v>42173</v>
          </cell>
          <cell r="BW37" t="str">
            <v>94.90393</v>
          </cell>
          <cell r="BX37" t="str">
            <v>16.91647</v>
          </cell>
          <cell r="BY37" t="str">
            <v>C4</v>
          </cell>
          <cell r="BZ37" t="str">
            <v>No.4 Qtr ,Kan gyi dauk Myo thit ,Kan gyi dauk Tsp.</v>
          </cell>
          <cell r="CA37" t="str">
            <v>Mg Aarli</v>
          </cell>
          <cell r="CB37" t="str">
            <v>18Jun15: áC3 TSS OWNER BACKED OUT. 19May15:C3 SAR Sub. C1 and C2 Owner Backout. 5May15: C1 SAR Sub.</v>
          </cell>
          <cell r="CC37" t="str">
            <v>Garden Land</v>
          </cell>
          <cell r="CE37">
            <v>1</v>
          </cell>
          <cell r="CF37">
            <v>42120</v>
          </cell>
          <cell r="CG37">
            <v>42174</v>
          </cell>
          <cell r="CH37">
            <v>42122</v>
          </cell>
          <cell r="CJ37">
            <v>42177</v>
          </cell>
          <cell r="CK37" t="str">
            <v>45</v>
          </cell>
          <cell r="CL37" t="str">
            <v>47</v>
          </cell>
          <cell r="CM37" t="str">
            <v>50</v>
          </cell>
          <cell r="CN37">
            <v>5</v>
          </cell>
          <cell r="CO37">
            <v>42125</v>
          </cell>
          <cell r="CP37">
            <v>42179</v>
          </cell>
          <cell r="CQ37" t="str">
            <v>M1: grid power + battery</v>
          </cell>
          <cell r="CR37">
            <v>1</v>
          </cell>
          <cell r="CS37">
            <v>42126</v>
          </cell>
          <cell r="CT37">
            <v>42180</v>
          </cell>
          <cell r="CU37" t="str">
            <v>AY0990</v>
          </cell>
          <cell r="DH37">
            <v>18</v>
          </cell>
          <cell r="DI37">
            <v>42173</v>
          </cell>
          <cell r="DJ37">
            <v>42198</v>
          </cell>
          <cell r="DK37">
            <v>42170</v>
          </cell>
          <cell r="DL37">
            <v>42242</v>
          </cell>
          <cell r="DM37">
            <v>42174</v>
          </cell>
          <cell r="DO37">
            <v>0</v>
          </cell>
          <cell r="DP37">
            <v>42173</v>
          </cell>
          <cell r="DQ37">
            <v>42198</v>
          </cell>
          <cell r="DT37">
            <v>35</v>
          </cell>
          <cell r="DU37">
            <v>42188</v>
          </cell>
          <cell r="DW37">
            <v>0</v>
          </cell>
          <cell r="DY37">
            <v>42174</v>
          </cell>
          <cell r="DZ37">
            <v>42195</v>
          </cell>
          <cell r="EA37" t="str">
            <v>IENG</v>
          </cell>
          <cell r="EE37" t="str">
            <v xml:space="preserve">10 Aug 15:Rain affected_Progress affected; 3-Aug-15:anchor bolt setting								</v>
          </cell>
          <cell r="EJ37">
            <v>31</v>
          </cell>
          <cell r="EK37">
            <v>42191</v>
          </cell>
          <cell r="EL37">
            <v>42226</v>
          </cell>
          <cell r="EM37">
            <v>42192</v>
          </cell>
          <cell r="EN37">
            <v>42226</v>
          </cell>
          <cell r="EQ37">
            <v>42201</v>
          </cell>
          <cell r="ER37">
            <v>42234</v>
          </cell>
          <cell r="ES37">
            <v>42238</v>
          </cell>
          <cell r="ET37">
            <v>42238</v>
          </cell>
          <cell r="EU37">
            <v>42238</v>
          </cell>
          <cell r="EW37">
            <v>38</v>
          </cell>
          <cell r="EX37">
            <v>42215</v>
          </cell>
          <cell r="EZ37">
            <v>42211</v>
          </cell>
          <cell r="FA37">
            <v>42241</v>
          </cell>
          <cell r="FB37">
            <v>42213</v>
          </cell>
          <cell r="FC37">
            <v>42241</v>
          </cell>
          <cell r="FU37">
            <v>42215</v>
          </cell>
          <cell r="FW37">
            <v>42215</v>
          </cell>
          <cell r="FX37">
            <v>42241</v>
          </cell>
          <cell r="FY37" t="str">
            <v>EM</v>
          </cell>
          <cell r="FZ37">
            <v>42227</v>
          </cell>
          <cell r="GA37">
            <v>42235</v>
          </cell>
          <cell r="GB37">
            <v>42237</v>
          </cell>
          <cell r="GC37">
            <v>42239</v>
          </cell>
          <cell r="GD37">
            <v>42241</v>
          </cell>
          <cell r="GE37">
            <v>42237</v>
          </cell>
          <cell r="GF37">
            <v>42242</v>
          </cell>
          <cell r="GG37">
            <v>42242</v>
          </cell>
          <cell r="GH37">
            <v>42242</v>
          </cell>
          <cell r="GI37">
            <v>42246</v>
          </cell>
          <cell r="GJ37" t="str">
            <v>44-2015</v>
          </cell>
          <cell r="GK37">
            <v>42242</v>
          </cell>
          <cell r="GL37" t="str">
            <v>Equipment Required :: Dispatch 13th Aug</v>
          </cell>
          <cell r="GN37" t="str">
            <v>ERICSSON</v>
          </cell>
          <cell r="GQ37" t="str">
            <v xml:space="preserve">Equipment Not Delivered; </v>
          </cell>
          <cell r="GS37" t="str">
            <v>4/4/4</v>
          </cell>
          <cell r="GU37" t="str">
            <v xml:space="preserve">		</v>
          </cell>
          <cell r="HD37">
            <v>1</v>
          </cell>
        </row>
        <row r="38">
          <cell r="A38" t="str">
            <v>AY0993</v>
          </cell>
          <cell r="B38" t="str">
            <v>ACAY_0086</v>
          </cell>
          <cell r="C38" t="str">
            <v>Apollo</v>
          </cell>
          <cell r="D38" t="str">
            <v>Emilio Ruiz</v>
          </cell>
          <cell r="F38" t="str">
            <v>Phyo Wai Maung</v>
          </cell>
          <cell r="G38" t="str">
            <v>Thiha Kyaw</v>
          </cell>
          <cell r="H38" t="str">
            <v>WHITE</v>
          </cell>
          <cell r="I38" t="str">
            <v>South</v>
          </cell>
          <cell r="J38" t="str">
            <v>95.0736</v>
          </cell>
          <cell r="K38" t="str">
            <v>16.9748</v>
          </cell>
          <cell r="L38" t="str">
            <v>Rural</v>
          </cell>
          <cell r="M38" t="str">
            <v>Ayeyarwady</v>
          </cell>
          <cell r="N38" t="str">
            <v>Kyaunggon</v>
          </cell>
          <cell r="O38" t="str">
            <v>Kyaunggon</v>
          </cell>
          <cell r="P38" t="str">
            <v>Pathein</v>
          </cell>
          <cell r="Q38" t="str">
            <v>14</v>
          </cell>
          <cell r="R38" t="str">
            <v>Kyaunggon</v>
          </cell>
          <cell r="S38" t="str">
            <v>303</v>
          </cell>
          <cell r="T38" t="str">
            <v>GSM+UMTS</v>
          </cell>
          <cell r="W38" t="str">
            <v>Ph2-Priority</v>
          </cell>
          <cell r="X38" t="str">
            <v>45</v>
          </cell>
          <cell r="Y38" t="str">
            <v>45</v>
          </cell>
          <cell r="Z38" t="str">
            <v>GBT</v>
          </cell>
          <cell r="AA38" t="str">
            <v>500</v>
          </cell>
          <cell r="AB38" t="str">
            <v>Access</v>
          </cell>
          <cell r="AC38" t="str">
            <v>Class C</v>
          </cell>
          <cell r="BE38" t="str">
            <v>Route 5 Yangon - Pathein</v>
          </cell>
          <cell r="BH38" t="str">
            <v>IENG</v>
          </cell>
          <cell r="BJ38">
            <v>42108</v>
          </cell>
          <cell r="BK38">
            <v>42121</v>
          </cell>
          <cell r="BL38">
            <v>42113</v>
          </cell>
          <cell r="BM38">
            <v>42113</v>
          </cell>
          <cell r="BT38">
            <v>2</v>
          </cell>
          <cell r="BU38">
            <v>42123</v>
          </cell>
          <cell r="BV38">
            <v>42123</v>
          </cell>
          <cell r="BW38" t="str">
            <v>95.0748</v>
          </cell>
          <cell r="BX38" t="str">
            <v>16.97503</v>
          </cell>
          <cell r="BY38" t="str">
            <v>C1</v>
          </cell>
          <cell r="BZ38" t="str">
            <v>No(1/323-B),Daunt Gyi Market Street,Daunt Gyi Kwat Thit,Kyaung Khone Township,Ayeyarwady</v>
          </cell>
          <cell r="CA38" t="str">
            <v>U Thein Aung;Daunt Gyi Village,Daunt Gyi Kwat Thit,Kyaung Khone Township;09-49716620;(U Zayar Lin Lin;09-31362726)</v>
          </cell>
          <cell r="CB38" t="str">
            <v>5 May 15: C1 SAR approved as an option1.(RND approved with 45m / 47m GBT as priority 1. This site is 130m far from the nominal point.); 29Apr15: C1 SAR Sub</v>
          </cell>
          <cell r="CC38" t="str">
            <v>Garden Land</v>
          </cell>
          <cell r="CE38">
            <v>6</v>
          </cell>
          <cell r="CF38">
            <v>42124</v>
          </cell>
          <cell r="CG38">
            <v>42129</v>
          </cell>
          <cell r="CH38">
            <v>42126</v>
          </cell>
          <cell r="CJ38">
            <v>42141</v>
          </cell>
          <cell r="CK38" t="str">
            <v>45</v>
          </cell>
          <cell r="CL38" t="str">
            <v>47</v>
          </cell>
          <cell r="CM38" t="str">
            <v>45</v>
          </cell>
          <cell r="CN38">
            <v>14</v>
          </cell>
          <cell r="CO38">
            <v>42129</v>
          </cell>
          <cell r="CP38">
            <v>42143</v>
          </cell>
          <cell r="CQ38" t="str">
            <v>M4: solar + DG + battery</v>
          </cell>
          <cell r="CR38">
            <v>1</v>
          </cell>
          <cell r="CS38">
            <v>42130</v>
          </cell>
          <cell r="CT38">
            <v>42144</v>
          </cell>
          <cell r="CU38" t="str">
            <v>AY0993</v>
          </cell>
          <cell r="DH38">
            <v>21</v>
          </cell>
          <cell r="DI38">
            <v>42173</v>
          </cell>
          <cell r="DJ38">
            <v>42165</v>
          </cell>
          <cell r="DK38">
            <v>42170</v>
          </cell>
          <cell r="DL38">
            <v>42166</v>
          </cell>
          <cell r="DM38">
            <v>42174</v>
          </cell>
          <cell r="DN38">
            <v>42173</v>
          </cell>
          <cell r="DO38">
            <v>0</v>
          </cell>
          <cell r="DP38">
            <v>42173</v>
          </cell>
          <cell r="DQ38">
            <v>42165</v>
          </cell>
          <cell r="DT38">
            <v>68</v>
          </cell>
          <cell r="DU38">
            <v>42188</v>
          </cell>
          <cell r="DW38">
            <v>0</v>
          </cell>
          <cell r="DY38">
            <v>42174</v>
          </cell>
          <cell r="DZ38">
            <v>42171</v>
          </cell>
          <cell r="EA38" t="str">
            <v>IENG</v>
          </cell>
          <cell r="ED38" t="str">
            <v xml:space="preserve">22Jun15 :YeHtet.Zaw: 17-June-2015;Tower footing is done.
</v>
          </cell>
          <cell r="EI38" t="str">
            <v>M7: 2DG + battery      </v>
          </cell>
          <cell r="EJ38">
            <v>29</v>
          </cell>
          <cell r="EK38">
            <v>42191</v>
          </cell>
          <cell r="EL38">
            <v>42200</v>
          </cell>
          <cell r="EM38">
            <v>42192</v>
          </cell>
          <cell r="EN38">
            <v>42191</v>
          </cell>
          <cell r="EQ38">
            <v>42201</v>
          </cell>
          <cell r="ER38">
            <v>42214</v>
          </cell>
          <cell r="ES38">
            <v>42215</v>
          </cell>
          <cell r="ET38">
            <v>42216</v>
          </cell>
          <cell r="EU38">
            <v>42216</v>
          </cell>
          <cell r="EV38">
            <v>42197</v>
          </cell>
          <cell r="EW38">
            <v>62</v>
          </cell>
          <cell r="EX38">
            <v>42215</v>
          </cell>
          <cell r="EY38">
            <v>42242</v>
          </cell>
          <cell r="EZ38">
            <v>42211</v>
          </cell>
          <cell r="FA38">
            <v>42216</v>
          </cell>
          <cell r="FB38">
            <v>42213</v>
          </cell>
          <cell r="FC38">
            <v>42219</v>
          </cell>
          <cell r="FE38">
            <v>42160</v>
          </cell>
          <cell r="FG38">
            <v>42165</v>
          </cell>
          <cell r="FU38">
            <v>42215</v>
          </cell>
          <cell r="FV38">
            <v>42200</v>
          </cell>
          <cell r="FW38">
            <v>42215</v>
          </cell>
          <cell r="FX38">
            <v>42219</v>
          </cell>
          <cell r="FY38" t="str">
            <v>EM</v>
          </cell>
          <cell r="FZ38">
            <v>42193</v>
          </cell>
          <cell r="GA38">
            <v>42195</v>
          </cell>
          <cell r="GB38">
            <v>42196</v>
          </cell>
          <cell r="GC38">
            <v>42219</v>
          </cell>
          <cell r="GD38">
            <v>42219</v>
          </cell>
          <cell r="GE38">
            <v>42196</v>
          </cell>
          <cell r="GF38">
            <v>42196</v>
          </cell>
          <cell r="GG38">
            <v>42220</v>
          </cell>
          <cell r="GH38">
            <v>42221</v>
          </cell>
          <cell r="GI38">
            <v>42246</v>
          </cell>
          <cell r="GJ38" t="str">
            <v>36-2015</v>
          </cell>
          <cell r="GK38">
            <v>42221</v>
          </cell>
          <cell r="GN38" t="str">
            <v>ERICSSON</v>
          </cell>
          <cell r="GP38">
            <v>42191</v>
          </cell>
          <cell r="GS38" t="str">
            <v>4/4/4</v>
          </cell>
          <cell r="GU38" t="str">
            <v xml:space="preserve">		</v>
          </cell>
          <cell r="HD38">
            <v>1</v>
          </cell>
        </row>
        <row r="39">
          <cell r="A39" t="str">
            <v>AY0999</v>
          </cell>
          <cell r="B39" t="str">
            <v>ACAY_0087</v>
          </cell>
          <cell r="C39" t="str">
            <v>Apollo</v>
          </cell>
          <cell r="D39" t="str">
            <v>Emilio Ruiz</v>
          </cell>
          <cell r="F39" t="str">
            <v>Phyo Wai Maung</v>
          </cell>
          <cell r="G39" t="str">
            <v>Thiha Kyaw</v>
          </cell>
          <cell r="H39" t="str">
            <v>RED</v>
          </cell>
          <cell r="I39" t="str">
            <v>South</v>
          </cell>
          <cell r="J39" t="str">
            <v>95.394921</v>
          </cell>
          <cell r="K39" t="str">
            <v>15.874673</v>
          </cell>
          <cell r="L39" t="str">
            <v>Rural</v>
          </cell>
          <cell r="M39" t="str">
            <v>Ayeyarwady</v>
          </cell>
          <cell r="N39" t="str">
            <v>Pyapon</v>
          </cell>
          <cell r="O39" t="str">
            <v>Pyapon</v>
          </cell>
          <cell r="P39" t="str">
            <v>Hinthada</v>
          </cell>
          <cell r="Q39" t="str">
            <v>13</v>
          </cell>
          <cell r="R39" t="str">
            <v>Pyapon</v>
          </cell>
          <cell r="S39" t="str">
            <v>319</v>
          </cell>
          <cell r="T39" t="str">
            <v>GSM+UMTS</v>
          </cell>
          <cell r="W39" t="str">
            <v>Ph2-Priority</v>
          </cell>
          <cell r="X39" t="str">
            <v>55</v>
          </cell>
          <cell r="Y39" t="str">
            <v>57</v>
          </cell>
          <cell r="Z39" t="str">
            <v>GBT</v>
          </cell>
          <cell r="AA39" t="str">
            <v>500</v>
          </cell>
          <cell r="AB39" t="str">
            <v>Access</v>
          </cell>
          <cell r="AC39" t="str">
            <v>Class C</v>
          </cell>
          <cell r="BE39" t="str">
            <v>Yangon South</v>
          </cell>
          <cell r="BH39" t="str">
            <v>IENG</v>
          </cell>
          <cell r="BJ39">
            <v>42162</v>
          </cell>
          <cell r="BK39">
            <v>42147</v>
          </cell>
          <cell r="BL39">
            <v>42167</v>
          </cell>
          <cell r="BM39">
            <v>42152</v>
          </cell>
          <cell r="BT39">
            <v>86</v>
          </cell>
          <cell r="BU39">
            <v>42210</v>
          </cell>
          <cell r="BV39">
            <v>42135</v>
          </cell>
          <cell r="BW39">
            <v>95.675600000000003</v>
          </cell>
          <cell r="BX39">
            <v>16.284669999999998</v>
          </cell>
          <cell r="BY39" t="str">
            <v>Reject</v>
          </cell>
          <cell r="BZ39" t="str">
            <v>No (109) 11 Road 10 Quarter Pyapon Township, Ayeyarwaddy Division.</v>
          </cell>
          <cell r="CA39" t="str">
            <v>Ko Thant Sin;No (109) 11 Road 10 Quarter Pyapon Township;09-49757272</v>
          </cell>
          <cell r="CB39" t="str">
            <v>13 Aug 15: C1 deactivate because of Noc and Proximity issue. JV done; 11 Jun 15 : C1 SAR app;10Jun15: C1 SAR Sub</v>
          </cell>
          <cell r="CE39">
            <v>0</v>
          </cell>
          <cell r="CF39">
            <v>42211</v>
          </cell>
          <cell r="CG39">
            <v>42137</v>
          </cell>
          <cell r="CH39">
            <v>42213</v>
          </cell>
          <cell r="CJ39">
            <v>42138</v>
          </cell>
          <cell r="CK39">
            <v>35</v>
          </cell>
          <cell r="CL39">
            <v>37</v>
          </cell>
          <cell r="CM39">
            <v>35</v>
          </cell>
          <cell r="CN39">
            <v>0</v>
          </cell>
          <cell r="CO39">
            <v>42216</v>
          </cell>
          <cell r="CP39">
            <v>42150</v>
          </cell>
          <cell r="CQ39" t="str">
            <v>M1: grid power + battery</v>
          </cell>
          <cell r="CR39">
            <v>0</v>
          </cell>
          <cell r="CS39">
            <v>42217</v>
          </cell>
          <cell r="CT39">
            <v>42151</v>
          </cell>
          <cell r="CU39" t="str">
            <v>AY0999</v>
          </cell>
          <cell r="DH39">
            <v>0</v>
          </cell>
          <cell r="DI39">
            <v>42227</v>
          </cell>
          <cell r="DK39">
            <v>42224</v>
          </cell>
          <cell r="DM39">
            <v>42228</v>
          </cell>
          <cell r="DO39">
            <v>0</v>
          </cell>
          <cell r="DP39">
            <v>42227</v>
          </cell>
          <cell r="DT39">
            <v>0</v>
          </cell>
          <cell r="DU39">
            <v>42242</v>
          </cell>
          <cell r="DW39">
            <v>0</v>
          </cell>
          <cell r="DY39">
            <v>42228</v>
          </cell>
          <cell r="EA39" t="str">
            <v>IENG</v>
          </cell>
          <cell r="EJ39">
            <v>0</v>
          </cell>
          <cell r="EK39">
            <v>42250</v>
          </cell>
          <cell r="EM39">
            <v>42251</v>
          </cell>
          <cell r="EQ39">
            <v>42263</v>
          </cell>
          <cell r="EW39">
            <v>0</v>
          </cell>
          <cell r="EX39">
            <v>42293</v>
          </cell>
          <cell r="EZ39">
            <v>42273</v>
          </cell>
          <cell r="FB39">
            <v>42275</v>
          </cell>
          <cell r="FU39">
            <v>42277</v>
          </cell>
          <cell r="FW39">
            <v>42277</v>
          </cell>
          <cell r="GJ39">
            <v>0</v>
          </cell>
          <cell r="GN39" t="str">
            <v>ERICSSON</v>
          </cell>
          <cell r="GS39" t="str">
            <v>4/4/4</v>
          </cell>
          <cell r="GU39" t="str">
            <v xml:space="preserve">		</v>
          </cell>
          <cell r="HD39">
            <v>1</v>
          </cell>
        </row>
        <row r="40">
          <cell r="A40" t="str">
            <v>AY1002</v>
          </cell>
          <cell r="B40" t="str">
            <v>ACAY_0088</v>
          </cell>
          <cell r="C40" t="str">
            <v>Apollo</v>
          </cell>
          <cell r="D40" t="str">
            <v>Emilio Ruiz</v>
          </cell>
          <cell r="F40" t="str">
            <v>Phyo Wai Maung</v>
          </cell>
          <cell r="G40" t="str">
            <v>Thiha Kyaw</v>
          </cell>
          <cell r="H40" t="str">
            <v>AMBER</v>
          </cell>
          <cell r="I40" t="str">
            <v>South</v>
          </cell>
          <cell r="J40" t="str">
            <v>95.671723</v>
          </cell>
          <cell r="K40" t="str">
            <v>16.284966</v>
          </cell>
          <cell r="L40" t="str">
            <v>Suburban</v>
          </cell>
          <cell r="M40" t="str">
            <v>Ayeyarwady</v>
          </cell>
          <cell r="N40" t="str">
            <v>Pyapon</v>
          </cell>
          <cell r="O40" t="str">
            <v>Pyapon</v>
          </cell>
          <cell r="P40" t="str">
            <v>Hinthada</v>
          </cell>
          <cell r="Q40" t="str">
            <v>13</v>
          </cell>
          <cell r="R40" t="str">
            <v>Pyapon</v>
          </cell>
          <cell r="S40" t="str">
            <v>319</v>
          </cell>
          <cell r="T40" t="str">
            <v>GSM+UMTS</v>
          </cell>
          <cell r="W40" t="str">
            <v>Ph2-Priority</v>
          </cell>
          <cell r="X40" t="str">
            <v>35</v>
          </cell>
          <cell r="Y40" t="str">
            <v>35</v>
          </cell>
          <cell r="Z40" t="str">
            <v>GBT</v>
          </cell>
          <cell r="AA40" t="str">
            <v>250</v>
          </cell>
          <cell r="AB40" t="str">
            <v>Access</v>
          </cell>
          <cell r="AC40" t="str">
            <v>Class B</v>
          </cell>
          <cell r="BH40" t="str">
            <v>IENG</v>
          </cell>
          <cell r="BJ40">
            <v>42116</v>
          </cell>
          <cell r="BK40">
            <v>42121</v>
          </cell>
          <cell r="BL40">
            <v>42121</v>
          </cell>
          <cell r="BM40">
            <v>42161</v>
          </cell>
          <cell r="BT40">
            <v>50</v>
          </cell>
          <cell r="BU40">
            <v>42139</v>
          </cell>
          <cell r="BV40">
            <v>42171</v>
          </cell>
          <cell r="BW40" t="str">
            <v>95.67557</v>
          </cell>
          <cell r="BX40" t="str">
            <v>16.28318</v>
          </cell>
          <cell r="BY40" t="str">
            <v>C3</v>
          </cell>
          <cell r="BZ40" t="str">
            <v>13 Street, 10 Quarter,Pyapon Township,Ayeyarwaddy Division.</v>
          </cell>
          <cell r="CA40" t="str">
            <v>DAW AMAR NI;09-33149993</v>
          </cell>
          <cell r="CB40" t="str">
            <v>16Jun15: C3 SAR Sub. C1 &amp; C2 Owner Backout. 13 May 15 :C1 SAR approved again as an option 1(First RND rejected as it is 420m far from the nominalá but tower co provide justification so that RND reconsider for this site and we approved with 35m/37m GBT.);11 May 15: C1 location wasá rejected after reviewing justification(RND rejected as it is 420m far from the nominal ); 7May15: C1 SAR Sub.</v>
          </cell>
          <cell r="CC40" t="str">
            <v>Garden Land</v>
          </cell>
          <cell r="CE40">
            <v>1</v>
          </cell>
          <cell r="CF40">
            <v>42140</v>
          </cell>
          <cell r="CG40">
            <v>42172</v>
          </cell>
          <cell r="CH40">
            <v>42142</v>
          </cell>
          <cell r="CJ40">
            <v>42175</v>
          </cell>
          <cell r="CK40" t="str">
            <v>35</v>
          </cell>
          <cell r="CL40" t="str">
            <v>37</v>
          </cell>
          <cell r="CM40" t="str">
            <v>35</v>
          </cell>
          <cell r="CN40">
            <v>5</v>
          </cell>
          <cell r="CO40">
            <v>42145</v>
          </cell>
          <cell r="CP40">
            <v>42177</v>
          </cell>
          <cell r="CQ40" t="str">
            <v>M1: grid power + battery</v>
          </cell>
          <cell r="CR40">
            <v>1</v>
          </cell>
          <cell r="CS40">
            <v>42146</v>
          </cell>
          <cell r="CT40">
            <v>42178</v>
          </cell>
          <cell r="CU40" t="str">
            <v>AY1002</v>
          </cell>
          <cell r="DH40">
            <v>8</v>
          </cell>
          <cell r="DI40">
            <v>42163</v>
          </cell>
          <cell r="DJ40">
            <v>42186</v>
          </cell>
          <cell r="DK40">
            <v>42160</v>
          </cell>
          <cell r="DL40">
            <v>42188</v>
          </cell>
          <cell r="DM40">
            <v>42164</v>
          </cell>
          <cell r="DN40">
            <v>42192</v>
          </cell>
          <cell r="DO40">
            <v>0</v>
          </cell>
          <cell r="DP40">
            <v>42163</v>
          </cell>
          <cell r="DQ40">
            <v>42186</v>
          </cell>
          <cell r="DT40">
            <v>47</v>
          </cell>
          <cell r="DU40">
            <v>42178</v>
          </cell>
          <cell r="DW40">
            <v>0</v>
          </cell>
          <cell r="DY40">
            <v>42164</v>
          </cell>
          <cell r="DZ40">
            <v>42189</v>
          </cell>
          <cell r="EA40" t="str">
            <v>IENG</v>
          </cell>
          <cell r="ED40" t="str">
            <v xml:space="preserve">24Aug15 :Thiha.Kyaw: 19-8-15 Tower on site. Back filling in progress.
</v>
          </cell>
          <cell r="EE40" t="str">
            <v xml:space="preserve">10 Aug 15:Rain affected_Progress affected; 1-Aug-15:lean concrete done (remobilized Jul 28),dewatering								</v>
          </cell>
          <cell r="EJ40">
            <v>44</v>
          </cell>
          <cell r="EK40">
            <v>42179</v>
          </cell>
          <cell r="EL40">
            <v>42237</v>
          </cell>
          <cell r="EM40">
            <v>42180</v>
          </cell>
          <cell r="EN40">
            <v>42233</v>
          </cell>
          <cell r="EQ40">
            <v>42187</v>
          </cell>
          <cell r="ER40">
            <v>42241</v>
          </cell>
          <cell r="ES40">
            <v>42241</v>
          </cell>
          <cell r="ET40">
            <v>42242</v>
          </cell>
          <cell r="EU40">
            <v>42242</v>
          </cell>
          <cell r="EW40">
            <v>44</v>
          </cell>
          <cell r="EX40">
            <v>42201</v>
          </cell>
          <cell r="EZ40">
            <v>42197</v>
          </cell>
          <cell r="FA40">
            <v>42243</v>
          </cell>
          <cell r="FB40">
            <v>42199</v>
          </cell>
          <cell r="FC40">
            <v>42244</v>
          </cell>
          <cell r="FS40">
            <v>42192</v>
          </cell>
          <cell r="FT40" t="str">
            <v>Off Grid</v>
          </cell>
          <cell r="FU40">
            <v>42201</v>
          </cell>
          <cell r="FW40">
            <v>42201</v>
          </cell>
          <cell r="FX40">
            <v>42244</v>
          </cell>
          <cell r="FY40" t="str">
            <v>EM</v>
          </cell>
          <cell r="FZ40">
            <v>42236</v>
          </cell>
          <cell r="GA40">
            <v>42237</v>
          </cell>
          <cell r="GB40">
            <v>42242</v>
          </cell>
          <cell r="GC40">
            <v>42244</v>
          </cell>
          <cell r="GD40">
            <v>42244</v>
          </cell>
          <cell r="GE40">
            <v>42242</v>
          </cell>
          <cell r="GF40">
            <v>42245</v>
          </cell>
          <cell r="GG40">
            <v>42245</v>
          </cell>
          <cell r="GH40">
            <v>42246</v>
          </cell>
          <cell r="GI40">
            <v>42246</v>
          </cell>
          <cell r="GJ40" t="str">
            <v>40-2015</v>
          </cell>
          <cell r="GK40">
            <v>42246</v>
          </cell>
          <cell r="GL40" t="str">
            <v>SMR Required ::</v>
          </cell>
          <cell r="GN40" t="str">
            <v>ERICSSON</v>
          </cell>
          <cell r="GO40">
            <v>42158</v>
          </cell>
          <cell r="GP40">
            <v>42198</v>
          </cell>
          <cell r="GQ40" t="str">
            <v xml:space="preserve">SMR Pending; </v>
          </cell>
          <cell r="GS40" t="str">
            <v>4/4/4</v>
          </cell>
          <cell r="GU40" t="str">
            <v xml:space="preserve">		</v>
          </cell>
          <cell r="HD40">
            <v>1</v>
          </cell>
        </row>
        <row r="41">
          <cell r="A41" t="str">
            <v>AY1003</v>
          </cell>
          <cell r="B41" t="str">
            <v>ACAY_0089</v>
          </cell>
          <cell r="C41" t="str">
            <v>Apollo</v>
          </cell>
          <cell r="D41" t="str">
            <v>Emilio Ruiz</v>
          </cell>
          <cell r="F41" t="str">
            <v>Phyo Wai Maung</v>
          </cell>
          <cell r="G41" t="str">
            <v>Thiha Kyaw</v>
          </cell>
          <cell r="H41" t="str">
            <v>WHITE</v>
          </cell>
          <cell r="I41" t="str">
            <v>South</v>
          </cell>
          <cell r="J41" t="str">
            <v>94.771766</v>
          </cell>
          <cell r="K41" t="str">
            <v>16.667597</v>
          </cell>
          <cell r="L41" t="str">
            <v>Rural</v>
          </cell>
          <cell r="M41" t="str">
            <v>Ayeyarwady</v>
          </cell>
          <cell r="N41" t="str">
            <v>Kangyidaunt</v>
          </cell>
          <cell r="O41" t="str">
            <v>Kangyidaunt</v>
          </cell>
          <cell r="P41" t="str">
            <v>Pathein</v>
          </cell>
          <cell r="Q41" t="str">
            <v>14</v>
          </cell>
          <cell r="R41" t="str">
            <v>Kangyidaunt</v>
          </cell>
          <cell r="S41" t="str">
            <v>298</v>
          </cell>
          <cell r="T41" t="str">
            <v>GSM+UMTS</v>
          </cell>
          <cell r="W41" t="str">
            <v>Ph2-Priority</v>
          </cell>
          <cell r="X41" t="str">
            <v>45</v>
          </cell>
          <cell r="Y41" t="str">
            <v>47</v>
          </cell>
          <cell r="Z41" t="str">
            <v>GBT</v>
          </cell>
          <cell r="AA41" t="str">
            <v>500</v>
          </cell>
          <cell r="AB41" t="str">
            <v>Access</v>
          </cell>
          <cell r="AC41" t="str">
            <v>Class C</v>
          </cell>
          <cell r="BH41" t="str">
            <v>IENG</v>
          </cell>
          <cell r="BJ41">
            <v>42131</v>
          </cell>
          <cell r="BK41">
            <v>42119</v>
          </cell>
          <cell r="BL41">
            <v>42136</v>
          </cell>
          <cell r="BM41">
            <v>42126</v>
          </cell>
          <cell r="BT41">
            <v>17</v>
          </cell>
          <cell r="BU41">
            <v>42125</v>
          </cell>
          <cell r="BV41">
            <v>42136</v>
          </cell>
          <cell r="BW41" t="str">
            <v>94.77265</v>
          </cell>
          <cell r="BX41" t="str">
            <v>16.66684</v>
          </cell>
          <cell r="BY41" t="str">
            <v>C1</v>
          </cell>
          <cell r="BZ41" t="str">
            <v>Pay Pin Lay Village,De Kan Qtr,Kan Gyi Dauk Tsh.</v>
          </cell>
          <cell r="CA41" t="str">
            <v>U Htay Myint;Pay Pin Lay Village,De Kan Qtr,Kan Gyi Dauk Tsh;09-794531585,09-794535826</v>
          </cell>
          <cell r="CB41" t="str">
            <v>12May15: C1 SAR Sub.</v>
          </cell>
          <cell r="CE41">
            <v>1</v>
          </cell>
          <cell r="CF41">
            <v>42126</v>
          </cell>
          <cell r="CG41">
            <v>42137</v>
          </cell>
          <cell r="CH41">
            <v>42128</v>
          </cell>
          <cell r="CJ41">
            <v>42138</v>
          </cell>
          <cell r="CK41" t="str">
            <v>45</v>
          </cell>
          <cell r="CL41" t="str">
            <v>47</v>
          </cell>
          <cell r="CM41" t="str">
            <v>45</v>
          </cell>
          <cell r="CN41">
            <v>6</v>
          </cell>
          <cell r="CO41">
            <v>42131</v>
          </cell>
          <cell r="CP41">
            <v>42143</v>
          </cell>
          <cell r="CQ41" t="str">
            <v>M1: grid power + battery</v>
          </cell>
          <cell r="CR41">
            <v>1</v>
          </cell>
          <cell r="CS41">
            <v>42132</v>
          </cell>
          <cell r="CT41">
            <v>42144</v>
          </cell>
          <cell r="CU41" t="str">
            <v>AY1003</v>
          </cell>
          <cell r="DH41">
            <v>10</v>
          </cell>
          <cell r="DI41">
            <v>42173</v>
          </cell>
          <cell r="DJ41">
            <v>42154</v>
          </cell>
          <cell r="DK41">
            <v>42170</v>
          </cell>
          <cell r="DL41">
            <v>42156</v>
          </cell>
          <cell r="DM41">
            <v>42174</v>
          </cell>
          <cell r="DN41">
            <v>42159</v>
          </cell>
          <cell r="DO41">
            <v>0</v>
          </cell>
          <cell r="DP41">
            <v>42173</v>
          </cell>
          <cell r="DQ41">
            <v>42154</v>
          </cell>
          <cell r="DT41">
            <v>79</v>
          </cell>
          <cell r="DU41">
            <v>42188</v>
          </cell>
          <cell r="DW41">
            <v>0</v>
          </cell>
          <cell r="DY41">
            <v>42174</v>
          </cell>
          <cell r="DZ41">
            <v>42159</v>
          </cell>
          <cell r="EA41" t="str">
            <v>IENG</v>
          </cell>
          <cell r="ED41" t="str">
            <v>22Jun15 :YeHtet.Zaw: 17-June-2015;Civil Work cannot start.
15Jun15 :YeHtet.Zaw: 11-June-2015;Excavation is done.</v>
          </cell>
          <cell r="EI41" t="str">
            <v>M5: grid power + DG + battery      </v>
          </cell>
          <cell r="EJ41">
            <v>32</v>
          </cell>
          <cell r="EK41">
            <v>42191</v>
          </cell>
          <cell r="EL41">
            <v>42191</v>
          </cell>
          <cell r="EM41">
            <v>42192</v>
          </cell>
          <cell r="EN41">
            <v>42191</v>
          </cell>
          <cell r="EQ41">
            <v>42201</v>
          </cell>
          <cell r="ER41">
            <v>42209</v>
          </cell>
          <cell r="ES41">
            <v>42207</v>
          </cell>
          <cell r="ET41">
            <v>42210</v>
          </cell>
          <cell r="EU41">
            <v>42210</v>
          </cell>
          <cell r="EW41">
            <v>74</v>
          </cell>
          <cell r="EX41">
            <v>42215</v>
          </cell>
          <cell r="EZ41">
            <v>42211</v>
          </cell>
          <cell r="FA41">
            <v>42211</v>
          </cell>
          <cell r="FB41">
            <v>42213</v>
          </cell>
          <cell r="FC41">
            <v>42211</v>
          </cell>
          <cell r="FE41">
            <v>42160</v>
          </cell>
          <cell r="FG41">
            <v>42165</v>
          </cell>
          <cell r="FU41">
            <v>42215</v>
          </cell>
          <cell r="FW41">
            <v>42215</v>
          </cell>
          <cell r="FX41">
            <v>42211</v>
          </cell>
          <cell r="FY41" t="str">
            <v>EM</v>
          </cell>
          <cell r="FZ41">
            <v>42192</v>
          </cell>
          <cell r="GA41">
            <v>42194</v>
          </cell>
          <cell r="GB41">
            <v>42197</v>
          </cell>
          <cell r="GC41">
            <v>42212</v>
          </cell>
          <cell r="GD41">
            <v>42212</v>
          </cell>
          <cell r="GE41">
            <v>42197</v>
          </cell>
          <cell r="GF41">
            <v>42197</v>
          </cell>
          <cell r="GG41">
            <v>42212</v>
          </cell>
          <cell r="GH41">
            <v>42212</v>
          </cell>
          <cell r="GI41">
            <v>42216</v>
          </cell>
          <cell r="GJ41" t="str">
            <v>31-2015</v>
          </cell>
          <cell r="GK41">
            <v>42212</v>
          </cell>
          <cell r="GN41" t="str">
            <v xml:space="preserve">ERICSSON </v>
          </cell>
          <cell r="GO41">
            <v>42192</v>
          </cell>
          <cell r="GP41">
            <v>42192</v>
          </cell>
          <cell r="GS41" t="str">
            <v>4/4/4</v>
          </cell>
          <cell r="GU41" t="str">
            <v xml:space="preserve">		</v>
          </cell>
          <cell r="HD41">
            <v>1</v>
          </cell>
        </row>
        <row r="42">
          <cell r="A42" t="str">
            <v>AY1015</v>
          </cell>
          <cell r="B42" t="str">
            <v>ACAY_0090</v>
          </cell>
          <cell r="C42" t="str">
            <v>Apollo</v>
          </cell>
          <cell r="D42" t="str">
            <v>Emilio Ruiz</v>
          </cell>
          <cell r="F42" t="str">
            <v>Phyo Wai Maung</v>
          </cell>
          <cell r="G42" t="str">
            <v>Thiha Kyaw</v>
          </cell>
          <cell r="H42" t="str">
            <v>AMBER</v>
          </cell>
          <cell r="I42" t="str">
            <v>South</v>
          </cell>
          <cell r="J42" t="str">
            <v>95.709533821165</v>
          </cell>
          <cell r="K42" t="str">
            <v>16.1504637000055</v>
          </cell>
          <cell r="L42" t="str">
            <v>Rural</v>
          </cell>
          <cell r="M42" t="str">
            <v>Ayeyarwady</v>
          </cell>
          <cell r="N42" t="str">
            <v>Pyapon</v>
          </cell>
          <cell r="O42" t="str">
            <v>Pyapon</v>
          </cell>
          <cell r="P42" t="str">
            <v>Hinthada</v>
          </cell>
          <cell r="Q42" t="str">
            <v>13</v>
          </cell>
          <cell r="R42" t="str">
            <v>Pyapon</v>
          </cell>
          <cell r="S42" t="str">
            <v>319</v>
          </cell>
          <cell r="T42" t="str">
            <v>GSM+UMTS</v>
          </cell>
          <cell r="W42" t="str">
            <v>Ph2-Priority</v>
          </cell>
          <cell r="X42" t="str">
            <v>45</v>
          </cell>
          <cell r="Y42" t="str">
            <v>47</v>
          </cell>
          <cell r="Z42" t="str">
            <v>GBT</v>
          </cell>
          <cell r="AA42" t="str">
            <v>500</v>
          </cell>
          <cell r="AB42" t="str">
            <v>Access</v>
          </cell>
          <cell r="AC42" t="str">
            <v>Class C</v>
          </cell>
          <cell r="BE42" t="str">
            <v>Route 1 Yangon - Mandalay</v>
          </cell>
          <cell r="BH42" t="str">
            <v>IENG</v>
          </cell>
          <cell r="BJ42">
            <v>42162</v>
          </cell>
          <cell r="BK42">
            <v>42140</v>
          </cell>
          <cell r="BL42">
            <v>42167</v>
          </cell>
          <cell r="BM42">
            <v>42145</v>
          </cell>
          <cell r="BT42">
            <v>33</v>
          </cell>
          <cell r="BU42">
            <v>42240</v>
          </cell>
          <cell r="BV42">
            <v>42173</v>
          </cell>
          <cell r="BW42" t="str">
            <v>95.710431</v>
          </cell>
          <cell r="BX42" t="str">
            <v>16.150239</v>
          </cell>
          <cell r="BY42" t="str">
            <v>C1</v>
          </cell>
          <cell r="BZ42" t="str">
            <v>NO.56, KAN VILLLAGE, U SAN NAW MAIN ROAD, PYAR PON T/S,AYEYARWADDY</v>
          </cell>
          <cell r="CA42" t="str">
            <v>KO WIN MOE KYAW;09-49757286, 09-32316602</v>
          </cell>
          <cell r="CB42" t="str">
            <v>18Jun15: C1 SAR Sub</v>
          </cell>
          <cell r="CC42" t="str">
            <v>Garden Land</v>
          </cell>
          <cell r="CE42">
            <v>1</v>
          </cell>
          <cell r="CF42">
            <v>42241</v>
          </cell>
          <cell r="CG42">
            <v>42174</v>
          </cell>
          <cell r="CH42">
            <v>42243</v>
          </cell>
          <cell r="CJ42">
            <v>42177</v>
          </cell>
          <cell r="CK42" t="str">
            <v>45</v>
          </cell>
          <cell r="CL42" t="str">
            <v>47</v>
          </cell>
          <cell r="CM42" t="str">
            <v>50</v>
          </cell>
          <cell r="CN42">
            <v>5</v>
          </cell>
          <cell r="CO42">
            <v>42246</v>
          </cell>
          <cell r="CP42">
            <v>42179</v>
          </cell>
          <cell r="CQ42" t="str">
            <v>M1: grid power + battery</v>
          </cell>
          <cell r="CR42">
            <v>1</v>
          </cell>
          <cell r="CS42">
            <v>42247</v>
          </cell>
          <cell r="CT42">
            <v>42180</v>
          </cell>
          <cell r="CU42" t="str">
            <v>AY1015</v>
          </cell>
          <cell r="DH42">
            <v>8</v>
          </cell>
          <cell r="DI42">
            <v>42257</v>
          </cell>
          <cell r="DJ42">
            <v>42188</v>
          </cell>
          <cell r="DK42">
            <v>42254</v>
          </cell>
          <cell r="DL42">
            <v>42195</v>
          </cell>
          <cell r="DM42">
            <v>42258</v>
          </cell>
          <cell r="DN42">
            <v>42195</v>
          </cell>
          <cell r="DO42">
            <v>0</v>
          </cell>
          <cell r="DP42">
            <v>42257</v>
          </cell>
          <cell r="DQ42">
            <v>42188</v>
          </cell>
          <cell r="DT42">
            <v>45</v>
          </cell>
          <cell r="DU42">
            <v>42272</v>
          </cell>
          <cell r="DW42">
            <v>0</v>
          </cell>
          <cell r="DY42">
            <v>42258</v>
          </cell>
          <cell r="DZ42">
            <v>42193</v>
          </cell>
          <cell r="EA42" t="str">
            <v>IENG</v>
          </cell>
          <cell r="ED42" t="str">
            <v xml:space="preserve">24Aug15 :Thiha.Kyaw: 18-8-15 Access road poor connection.Concrete Road making in progress. Cant entry.
</v>
          </cell>
          <cell r="EE42" t="str">
            <v xml:space="preserve">10 Aug 15:Rain affected_Progress affected; 4-Aug-15:CW Started, Dewatering,on going excavation (remobilized Jul 26)								</v>
          </cell>
          <cell r="EF42" t="str">
            <v>The Sun Circle</v>
          </cell>
          <cell r="EJ42">
            <v>40</v>
          </cell>
          <cell r="EK42">
            <v>42275</v>
          </cell>
          <cell r="EL42">
            <v>42237</v>
          </cell>
          <cell r="EM42">
            <v>42276</v>
          </cell>
          <cell r="EN42">
            <v>42237</v>
          </cell>
          <cell r="EQ42">
            <v>42285</v>
          </cell>
          <cell r="ER42">
            <v>42233</v>
          </cell>
          <cell r="ES42">
            <v>42243</v>
          </cell>
          <cell r="EW42">
            <v>40</v>
          </cell>
          <cell r="EX42">
            <v>42290</v>
          </cell>
          <cell r="EZ42">
            <v>42295</v>
          </cell>
          <cell r="FB42">
            <v>42297</v>
          </cell>
          <cell r="FE42">
            <v>42193</v>
          </cell>
          <cell r="FU42">
            <v>42299</v>
          </cell>
          <cell r="FW42">
            <v>42299</v>
          </cell>
          <cell r="FY42" t="str">
            <v>EM</v>
          </cell>
          <cell r="FZ42">
            <v>42240</v>
          </cell>
          <cell r="GA42">
            <v>42241</v>
          </cell>
          <cell r="GB42">
            <v>42243</v>
          </cell>
          <cell r="GE42">
            <v>42248</v>
          </cell>
          <cell r="GI42">
            <v>42307</v>
          </cell>
          <cell r="GJ42" t="str">
            <v>44-2015</v>
          </cell>
          <cell r="GN42" t="str">
            <v>ERICSSON</v>
          </cell>
          <cell r="GO42">
            <v>42152</v>
          </cell>
          <cell r="GP42">
            <v>42178</v>
          </cell>
          <cell r="GS42" t="str">
            <v>4/4/4</v>
          </cell>
          <cell r="GU42" t="str">
            <v xml:space="preserve">		</v>
          </cell>
          <cell r="HD42">
            <v>1</v>
          </cell>
        </row>
        <row r="43">
          <cell r="A43" t="str">
            <v>AY1018</v>
          </cell>
          <cell r="B43" t="str">
            <v>ACAY_0091</v>
          </cell>
          <cell r="C43" t="str">
            <v>Apollo</v>
          </cell>
          <cell r="D43" t="str">
            <v>Emilio Ruiz</v>
          </cell>
          <cell r="E43" t="str">
            <v>Emmanuel Saria : 09254439726</v>
          </cell>
          <cell r="F43" t="str">
            <v>Phyo Wai Maung</v>
          </cell>
          <cell r="G43" t="str">
            <v>Thiha Kyaw</v>
          </cell>
          <cell r="H43" t="str">
            <v>RED</v>
          </cell>
          <cell r="I43" t="str">
            <v>South</v>
          </cell>
          <cell r="J43" t="str">
            <v>95.1585479953617</v>
          </cell>
          <cell r="K43" t="str">
            <v>16.3265613138859</v>
          </cell>
          <cell r="L43" t="str">
            <v>Rural</v>
          </cell>
          <cell r="M43" t="str">
            <v>Ayeyarwady</v>
          </cell>
          <cell r="N43" t="str">
            <v>Mawlamyinegyun</v>
          </cell>
          <cell r="O43" t="str">
            <v>Mawlamyinegyun</v>
          </cell>
          <cell r="P43" t="str">
            <v>Pathein</v>
          </cell>
          <cell r="Q43" t="str">
            <v>14</v>
          </cell>
          <cell r="R43" t="str">
            <v>Mawlamyinegyun</v>
          </cell>
          <cell r="S43" t="str">
            <v>314</v>
          </cell>
          <cell r="T43" t="str">
            <v>GSM+UMTS</v>
          </cell>
          <cell r="U43" t="str">
            <v>BAG-N026</v>
          </cell>
          <cell r="V43" t="str">
            <v>4.1</v>
          </cell>
          <cell r="W43" t="str">
            <v>Ph2-Priority</v>
          </cell>
          <cell r="X43" t="str">
            <v>45</v>
          </cell>
          <cell r="Y43" t="str">
            <v>45</v>
          </cell>
          <cell r="Z43" t="str">
            <v>GBT</v>
          </cell>
          <cell r="AA43" t="str">
            <v>500</v>
          </cell>
          <cell r="AB43" t="str">
            <v>Access</v>
          </cell>
          <cell r="AC43" t="str">
            <v>Class C</v>
          </cell>
          <cell r="AD43" t="str">
            <v>925</v>
          </cell>
          <cell r="AE43" t="str">
            <v>935</v>
          </cell>
          <cell r="AF43" t="str">
            <v>3</v>
          </cell>
          <cell r="AG43" t="str">
            <v>BA0516</v>
          </cell>
          <cell r="BC43" t="str">
            <v>BA0516</v>
          </cell>
          <cell r="BD43" t="str">
            <v>2</v>
          </cell>
          <cell r="BE43" t="str">
            <v>Route 2 Yangon -Mawlamyine</v>
          </cell>
          <cell r="BF43">
            <v>41760</v>
          </cell>
          <cell r="BG43">
            <v>41934</v>
          </cell>
          <cell r="BH43" t="str">
            <v>IENG</v>
          </cell>
          <cell r="BJ43">
            <v>42111</v>
          </cell>
          <cell r="BK43">
            <v>42121</v>
          </cell>
          <cell r="BL43">
            <v>42116</v>
          </cell>
          <cell r="BM43">
            <v>41680</v>
          </cell>
          <cell r="BT43">
            <v>112</v>
          </cell>
          <cell r="BU43">
            <v>42212</v>
          </cell>
          <cell r="BV43">
            <v>42126</v>
          </cell>
          <cell r="BW43" t="str">
            <v>95.15952</v>
          </cell>
          <cell r="BX43" t="str">
            <v>16.32666</v>
          </cell>
          <cell r="BY43" t="str">
            <v>Reject</v>
          </cell>
          <cell r="BZ43" t="str">
            <v>Field no(3), U Paing (27),Sein Pan Village,Mawlamyaing Gyun ,Ayeyarwady.</v>
          </cell>
          <cell r="CA43" t="str">
            <v>U Hla Myint;Field no(3), U Paing (27),Sein Pan Village;09 8598997</v>
          </cell>
          <cell r="CB43" t="str">
            <v>13 Aug 15: C1 deactivate because of Rejected by AT O&amp;M as access issue; 4 May 15 : C1 SAR app;2May15: C1 SAR Sub</v>
          </cell>
          <cell r="CC43" t="str">
            <v>Ministry of Forest</v>
          </cell>
          <cell r="CE43">
            <v>0</v>
          </cell>
          <cell r="CF43">
            <v>42213</v>
          </cell>
          <cell r="CG43">
            <v>42128</v>
          </cell>
          <cell r="CH43">
            <v>42215</v>
          </cell>
          <cell r="CN43">
            <v>0</v>
          </cell>
          <cell r="CO43">
            <v>42218</v>
          </cell>
          <cell r="CQ43" t="str">
            <v>M4: solar + DG + battery</v>
          </cell>
          <cell r="CR43">
            <v>0</v>
          </cell>
          <cell r="CS43">
            <v>42219</v>
          </cell>
          <cell r="CU43" t="str">
            <v>AY1018</v>
          </cell>
          <cell r="DH43">
            <v>0</v>
          </cell>
          <cell r="DI43">
            <v>42229</v>
          </cell>
          <cell r="DK43">
            <v>42226</v>
          </cell>
          <cell r="DM43">
            <v>42230</v>
          </cell>
          <cell r="DO43">
            <v>0</v>
          </cell>
          <cell r="DP43">
            <v>42229</v>
          </cell>
          <cell r="DR43" t="str">
            <v>Bago CDC</v>
          </cell>
          <cell r="DS43" t="str">
            <v>052-22903</v>
          </cell>
          <cell r="DT43">
            <v>0</v>
          </cell>
          <cell r="DU43">
            <v>42244</v>
          </cell>
          <cell r="DW43">
            <v>0</v>
          </cell>
          <cell r="DY43">
            <v>42230</v>
          </cell>
          <cell r="EA43" t="str">
            <v>IENG</v>
          </cell>
          <cell r="EJ43">
            <v>0</v>
          </cell>
          <cell r="EK43">
            <v>42245</v>
          </cell>
          <cell r="EM43">
            <v>42246</v>
          </cell>
          <cell r="EQ43">
            <v>42253</v>
          </cell>
          <cell r="EW43">
            <v>0</v>
          </cell>
          <cell r="EX43">
            <v>42211</v>
          </cell>
          <cell r="EZ43">
            <v>42263</v>
          </cell>
          <cell r="FB43">
            <v>42265</v>
          </cell>
          <cell r="FD43">
            <v>41928</v>
          </cell>
          <cell r="FF43">
            <v>41935</v>
          </cell>
          <cell r="FH43">
            <v>41937</v>
          </cell>
          <cell r="FJ43">
            <v>41940</v>
          </cell>
          <cell r="FN43">
            <v>41944</v>
          </cell>
          <cell r="FP43">
            <v>41946</v>
          </cell>
          <cell r="FR43">
            <v>41960</v>
          </cell>
          <cell r="FU43">
            <v>42267</v>
          </cell>
          <cell r="FW43">
            <v>42267</v>
          </cell>
          <cell r="GJ43">
            <v>0</v>
          </cell>
          <cell r="GN43" t="str">
            <v>ERICSSON</v>
          </cell>
          <cell r="GS43" t="str">
            <v>4/4/4</v>
          </cell>
          <cell r="GU43" t="str">
            <v xml:space="preserve">		</v>
          </cell>
          <cell r="HD43">
            <v>1</v>
          </cell>
        </row>
        <row r="44">
          <cell r="A44" t="str">
            <v>AY1019</v>
          </cell>
          <cell r="B44" t="str">
            <v>ACAY_0092</v>
          </cell>
          <cell r="C44" t="str">
            <v>Apollo</v>
          </cell>
          <cell r="D44" t="str">
            <v>Emilio Ruiz</v>
          </cell>
          <cell r="F44" t="str">
            <v>Phyo Wai Maung</v>
          </cell>
          <cell r="G44" t="str">
            <v>Thiha Kyaw</v>
          </cell>
          <cell r="H44" t="str">
            <v>RED</v>
          </cell>
          <cell r="I44" t="str">
            <v>South</v>
          </cell>
          <cell r="J44" t="str">
            <v>95.1413336849452</v>
          </cell>
          <cell r="K44" t="str">
            <v>16.1992592431623</v>
          </cell>
          <cell r="L44" t="str">
            <v>Rural</v>
          </cell>
          <cell r="M44" t="str">
            <v>Ayeyarwady</v>
          </cell>
          <cell r="N44" t="str">
            <v>Mawlamyinegyun</v>
          </cell>
          <cell r="O44" t="str">
            <v>Mawlamyinegyun</v>
          </cell>
          <cell r="P44" t="str">
            <v>Pathein</v>
          </cell>
          <cell r="Q44" t="str">
            <v>14</v>
          </cell>
          <cell r="R44" t="str">
            <v>Mawlamyinegyun</v>
          </cell>
          <cell r="S44" t="str">
            <v>314</v>
          </cell>
          <cell r="T44" t="str">
            <v>GSM+UMTS</v>
          </cell>
          <cell r="W44" t="str">
            <v>Ph2-Priority</v>
          </cell>
          <cell r="X44" t="str">
            <v>45</v>
          </cell>
          <cell r="Y44" t="str">
            <v>47</v>
          </cell>
          <cell r="Z44" t="str">
            <v>GBT</v>
          </cell>
          <cell r="AA44" t="str">
            <v>500</v>
          </cell>
          <cell r="AB44" t="str">
            <v>Access</v>
          </cell>
          <cell r="AC44" t="str">
            <v>Class C</v>
          </cell>
          <cell r="BE44" t="str">
            <v>Route 2 Yangon -Mawlamyine</v>
          </cell>
          <cell r="BH44" t="str">
            <v>IENG</v>
          </cell>
          <cell r="BJ44">
            <v>42162</v>
          </cell>
          <cell r="BK44">
            <v>42145</v>
          </cell>
          <cell r="BL44">
            <v>42167</v>
          </cell>
          <cell r="BM44">
            <v>42150</v>
          </cell>
          <cell r="BT44">
            <v>88</v>
          </cell>
          <cell r="BU44">
            <v>42240</v>
          </cell>
          <cell r="BV44">
            <v>42167</v>
          </cell>
          <cell r="BW44" t="str">
            <v>96.81049</v>
          </cell>
          <cell r="BX44" t="str">
            <v>17.59835</v>
          </cell>
          <cell r="BY44" t="str">
            <v>C1</v>
          </cell>
          <cell r="BZ44" t="str">
            <v>No(13), Kyaunt Street, Myit Kyo Village Group, Waw Township, Bago.</v>
          </cell>
          <cell r="CA44" t="str">
            <v>U Kyaing;09-791798001</v>
          </cell>
          <cell r="CB44" t="str">
            <v>12Jun15: C1 SAR Sub on Friday 8PM</v>
          </cell>
          <cell r="CE44">
            <v>0</v>
          </cell>
          <cell r="CF44">
            <v>42241</v>
          </cell>
          <cell r="CG44">
            <v>42170</v>
          </cell>
          <cell r="CH44">
            <v>42243</v>
          </cell>
          <cell r="CJ44">
            <v>42177</v>
          </cell>
          <cell r="CK44" t="str">
            <v>35</v>
          </cell>
          <cell r="CL44" t="str">
            <v>37</v>
          </cell>
          <cell r="CM44" t="str">
            <v>35</v>
          </cell>
          <cell r="CN44">
            <v>0</v>
          </cell>
          <cell r="CO44">
            <v>42246</v>
          </cell>
          <cell r="CP44">
            <v>42179</v>
          </cell>
          <cell r="CQ44">
            <v>0</v>
          </cell>
          <cell r="CR44">
            <v>0</v>
          </cell>
          <cell r="CS44">
            <v>42247</v>
          </cell>
          <cell r="CT44">
            <v>42180</v>
          </cell>
          <cell r="CU44" t="str">
            <v>AY1019</v>
          </cell>
          <cell r="DH44">
            <v>0</v>
          </cell>
          <cell r="DI44">
            <v>42257</v>
          </cell>
          <cell r="DJ44">
            <v>42198</v>
          </cell>
          <cell r="DK44">
            <v>42254</v>
          </cell>
          <cell r="DL44">
            <v>42201</v>
          </cell>
          <cell r="DM44">
            <v>42258</v>
          </cell>
          <cell r="DN44">
            <v>42201</v>
          </cell>
          <cell r="DO44">
            <v>0</v>
          </cell>
          <cell r="DP44">
            <v>42257</v>
          </cell>
          <cell r="DQ44">
            <v>42198</v>
          </cell>
          <cell r="DT44">
            <v>0</v>
          </cell>
          <cell r="DU44">
            <v>42272</v>
          </cell>
          <cell r="DW44">
            <v>0</v>
          </cell>
          <cell r="DY44">
            <v>42258</v>
          </cell>
          <cell r="DZ44">
            <v>42196</v>
          </cell>
          <cell r="EA44" t="str">
            <v>IENG</v>
          </cell>
          <cell r="EB44">
            <v>42215</v>
          </cell>
          <cell r="EE44" t="str">
            <v xml:space="preserve">10 Aug 15:Flood affected_Hold-No access; 30-Jul-15:Pending column casting								</v>
          </cell>
          <cell r="EJ44">
            <v>0</v>
          </cell>
          <cell r="EK44">
            <v>42275</v>
          </cell>
          <cell r="EL44">
            <v>42226</v>
          </cell>
          <cell r="EM44">
            <v>42276</v>
          </cell>
          <cell r="EN44">
            <v>42228</v>
          </cell>
          <cell r="EQ44">
            <v>42285</v>
          </cell>
          <cell r="ER44">
            <v>42234</v>
          </cell>
          <cell r="EW44">
            <v>0</v>
          </cell>
          <cell r="EX44">
            <v>42256</v>
          </cell>
          <cell r="EZ44">
            <v>42295</v>
          </cell>
          <cell r="FB44">
            <v>42297</v>
          </cell>
          <cell r="FU44">
            <v>42299</v>
          </cell>
          <cell r="FW44">
            <v>42299</v>
          </cell>
          <cell r="FY44" t="str">
            <v>EL</v>
          </cell>
          <cell r="FZ44">
            <v>42229</v>
          </cell>
          <cell r="GA44">
            <v>42233</v>
          </cell>
          <cell r="GI44">
            <v>42246</v>
          </cell>
          <cell r="GJ44">
            <v>0</v>
          </cell>
          <cell r="GN44" t="str">
            <v>ERICSSON</v>
          </cell>
          <cell r="GQ44" t="str">
            <v xml:space="preserve">Equipment Not Delivered; </v>
          </cell>
          <cell r="GS44" t="str">
            <v>4/4/4</v>
          </cell>
          <cell r="GU44" t="str">
            <v xml:space="preserve">		</v>
          </cell>
          <cell r="HD44">
            <v>1</v>
          </cell>
        </row>
        <row r="45">
          <cell r="A45" t="str">
            <v>AY1020</v>
          </cell>
          <cell r="B45" t="str">
            <v>ACAY_0093</v>
          </cell>
          <cell r="C45" t="str">
            <v>Apollo</v>
          </cell>
          <cell r="D45" t="str">
            <v>Emilio Ruiz</v>
          </cell>
          <cell r="F45" t="str">
            <v>Phyo Wai Maung</v>
          </cell>
          <cell r="G45" t="str">
            <v>Thiha Kyaw</v>
          </cell>
          <cell r="H45" t="str">
            <v>RED</v>
          </cell>
          <cell r="I45" t="str">
            <v>South</v>
          </cell>
          <cell r="J45" t="str">
            <v>95.2048</v>
          </cell>
          <cell r="K45" t="str">
            <v>16.1724</v>
          </cell>
          <cell r="L45" t="str">
            <v>Rural</v>
          </cell>
          <cell r="M45" t="str">
            <v>Ayeyarwady</v>
          </cell>
          <cell r="N45" t="str">
            <v>Mawlamyinegyun</v>
          </cell>
          <cell r="O45" t="str">
            <v>Mawlamyinegyun</v>
          </cell>
          <cell r="P45" t="str">
            <v>Pathein</v>
          </cell>
          <cell r="Q45" t="str">
            <v>14</v>
          </cell>
          <cell r="R45" t="str">
            <v>Mawlamyinegyun</v>
          </cell>
          <cell r="S45" t="str">
            <v>314</v>
          </cell>
          <cell r="T45" t="str">
            <v>GSM+UMTS</v>
          </cell>
          <cell r="W45" t="str">
            <v>Ph2-Priority</v>
          </cell>
          <cell r="X45" t="str">
            <v>45</v>
          </cell>
          <cell r="Y45" t="str">
            <v>47</v>
          </cell>
          <cell r="Z45" t="str">
            <v>GBT</v>
          </cell>
          <cell r="AA45" t="str">
            <v>500</v>
          </cell>
          <cell r="AB45" t="str">
            <v>Access</v>
          </cell>
          <cell r="AC45" t="str">
            <v>Class C</v>
          </cell>
          <cell r="BE45" t="str">
            <v>Route 5 Yangon - Pathein</v>
          </cell>
          <cell r="BH45" t="str">
            <v>IENG</v>
          </cell>
          <cell r="BJ45">
            <v>42162</v>
          </cell>
          <cell r="BK45">
            <v>42145</v>
          </cell>
          <cell r="BL45">
            <v>42167</v>
          </cell>
          <cell r="BM45">
            <v>42150</v>
          </cell>
          <cell r="BT45">
            <v>88</v>
          </cell>
          <cell r="BU45">
            <v>42240</v>
          </cell>
          <cell r="BV45">
            <v>42194</v>
          </cell>
          <cell r="BW45" t="str">
            <v>94.80037</v>
          </cell>
          <cell r="BX45" t="str">
            <v>17.04477</v>
          </cell>
          <cell r="BY45" t="str">
            <v>C4</v>
          </cell>
          <cell r="BZ45" t="str">
            <v>Myo Thit(8) street,No.(2) Qtr,Thabaung Tsh.</v>
          </cell>
          <cell r="CA45" t="str">
            <v>U San Hlaing ,09-451230448, 09974992135</v>
          </cell>
          <cell r="CB45" t="str">
            <v>9 July 15 : C4 SAR sub;17 June 15: C3 TSSR app;3 June 15 : C3 SAR sub; 3June15: C3 SAR Sub. C2 Noc Issue. 27 May 15 :  C2 SAR app (but cancelled due to NOC issue);26May15:C2 SAR Sub. C1 (TSSR Approved) Owner Backout.8 May 25:C1 TSSR approved( RND approved with 35m/35m GBT as per PDF);30 Apr 15: Adding plan tower height=37M because there is no plan height . (RND approved with 35m/37m GBT.) 26May15:C2 SAR Sub. C1 (TSSR Approved) Owner Backout.8 May 25:C1 TSSR approved( RND approved with 35m/35m GBT as per PDF);30 Apr 15: Adding plan tower height=37M because there is no plan height . (RND approved with 35m/37m GBT.) 30 Apr 15: Adding plan tower height=37M because there is no plan height . (RND approved with 35m/37m GBT.)</v>
          </cell>
          <cell r="CC45" t="str">
            <v>TOWNLAND</v>
          </cell>
          <cell r="CE45">
            <v>0</v>
          </cell>
          <cell r="CF45">
            <v>42241</v>
          </cell>
          <cell r="CG45">
            <v>42195</v>
          </cell>
          <cell r="CH45">
            <v>42243</v>
          </cell>
          <cell r="CJ45">
            <v>42197</v>
          </cell>
          <cell r="CK45" t="str">
            <v>35</v>
          </cell>
          <cell r="CL45" t="str">
            <v>37</v>
          </cell>
          <cell r="CM45" t="str">
            <v>35</v>
          </cell>
          <cell r="CN45">
            <v>0</v>
          </cell>
          <cell r="CO45">
            <v>42246</v>
          </cell>
          <cell r="CP45">
            <v>42199</v>
          </cell>
          <cell r="CQ45" t="str">
            <v>M1: grid power + battery</v>
          </cell>
          <cell r="CR45">
            <v>0</v>
          </cell>
          <cell r="CS45">
            <v>42247</v>
          </cell>
          <cell r="CT45">
            <v>42200</v>
          </cell>
          <cell r="CU45" t="str">
            <v>AY1020</v>
          </cell>
          <cell r="DH45">
            <v>0</v>
          </cell>
          <cell r="DI45">
            <v>42257</v>
          </cell>
          <cell r="DJ45">
            <v>42208</v>
          </cell>
          <cell r="DK45">
            <v>42254</v>
          </cell>
          <cell r="DM45">
            <v>42258</v>
          </cell>
          <cell r="DO45">
            <v>0</v>
          </cell>
          <cell r="DP45">
            <v>42257</v>
          </cell>
          <cell r="DQ45">
            <v>42208</v>
          </cell>
          <cell r="DT45">
            <v>0</v>
          </cell>
          <cell r="DU45">
            <v>42272</v>
          </cell>
          <cell r="DW45">
            <v>0</v>
          </cell>
          <cell r="DY45">
            <v>42258</v>
          </cell>
          <cell r="DZ45">
            <v>42210</v>
          </cell>
          <cell r="EA45" t="str">
            <v>IENG</v>
          </cell>
          <cell r="EJ45">
            <v>0</v>
          </cell>
          <cell r="EK45">
            <v>42275</v>
          </cell>
          <cell r="EM45">
            <v>42276</v>
          </cell>
          <cell r="EQ45">
            <v>42285</v>
          </cell>
          <cell r="EW45">
            <v>0</v>
          </cell>
          <cell r="EX45">
            <v>42256</v>
          </cell>
          <cell r="EZ45">
            <v>42295</v>
          </cell>
          <cell r="FB45">
            <v>42297</v>
          </cell>
          <cell r="FU45">
            <v>42299</v>
          </cell>
          <cell r="FW45">
            <v>42299</v>
          </cell>
          <cell r="GJ45">
            <v>0</v>
          </cell>
          <cell r="GN45" t="str">
            <v>ERICSSON</v>
          </cell>
          <cell r="GS45" t="str">
            <v>4/4/4</v>
          </cell>
          <cell r="GU45" t="str">
            <v xml:space="preserve">		</v>
          </cell>
          <cell r="HD45">
            <v>1</v>
          </cell>
        </row>
        <row r="46">
          <cell r="A46" t="str">
            <v>AY1021</v>
          </cell>
          <cell r="B46" t="str">
            <v>ACAY_0094</v>
          </cell>
          <cell r="C46" t="str">
            <v>Apollo</v>
          </cell>
          <cell r="D46" t="str">
            <v>Emilio Ruiz</v>
          </cell>
          <cell r="F46" t="str">
            <v>Phyo Wai Maung</v>
          </cell>
          <cell r="G46" t="str">
            <v>Thiha Kyaw</v>
          </cell>
          <cell r="H46" t="str">
            <v>RED</v>
          </cell>
          <cell r="I46" t="str">
            <v>South</v>
          </cell>
          <cell r="J46" t="str">
            <v>95.2280632893894</v>
          </cell>
          <cell r="K46" t="str">
            <v>16.2559785126152</v>
          </cell>
          <cell r="L46" t="str">
            <v>Rural</v>
          </cell>
          <cell r="M46" t="str">
            <v>Ayeyarwady</v>
          </cell>
          <cell r="N46" t="str">
            <v>Mawlamyinegyun</v>
          </cell>
          <cell r="O46" t="str">
            <v>Mawlamyinegyun</v>
          </cell>
          <cell r="P46" t="str">
            <v>Pathein</v>
          </cell>
          <cell r="Q46" t="str">
            <v>14</v>
          </cell>
          <cell r="R46" t="str">
            <v>Mawlamyinegyun</v>
          </cell>
          <cell r="S46" t="str">
            <v>314</v>
          </cell>
          <cell r="T46" t="str">
            <v>GSM+UMTS</v>
          </cell>
          <cell r="W46" t="str">
            <v>Ph2-Priority</v>
          </cell>
          <cell r="X46" t="str">
            <v>45</v>
          </cell>
          <cell r="Y46" t="str">
            <v>47</v>
          </cell>
          <cell r="Z46" t="str">
            <v>GBT</v>
          </cell>
          <cell r="AA46" t="str">
            <v>500</v>
          </cell>
          <cell r="AB46" t="str">
            <v>Access</v>
          </cell>
          <cell r="AC46" t="str">
            <v>Class C</v>
          </cell>
          <cell r="BE46" t="str">
            <v>Route 5 Yangon - Pathein</v>
          </cell>
          <cell r="BH46" t="str">
            <v>IENG</v>
          </cell>
          <cell r="BJ46">
            <v>42164</v>
          </cell>
          <cell r="BK46">
            <v>42145</v>
          </cell>
          <cell r="BL46">
            <v>42169</v>
          </cell>
          <cell r="BM46">
            <v>42150</v>
          </cell>
          <cell r="BT46">
            <v>88</v>
          </cell>
          <cell r="BU46">
            <v>42240</v>
          </cell>
          <cell r="BY46" t="str">
            <v>Reject</v>
          </cell>
          <cell r="CB46" t="str">
            <v>13 Aug 15: C1 deactivate because of TSS REJECTED,Off grid site with access by boat. To bad condition for the maintenance ; 9 Jun 15 : C1 TSSR app;8 Jun 15 : C1 TSSR sub;4 May 15: C1 SAR app;2May15: C1 SAR Sub.</v>
          </cell>
          <cell r="CE46">
            <v>0</v>
          </cell>
          <cell r="CF46">
            <v>42241</v>
          </cell>
          <cell r="CH46">
            <v>42243</v>
          </cell>
          <cell r="CN46">
            <v>0</v>
          </cell>
          <cell r="CO46">
            <v>42246</v>
          </cell>
          <cell r="CQ46" t="str">
            <v>M4: solar + DG + battery</v>
          </cell>
          <cell r="CR46">
            <v>0</v>
          </cell>
          <cell r="CS46">
            <v>42247</v>
          </cell>
          <cell r="CU46" t="str">
            <v>AY1021</v>
          </cell>
          <cell r="DH46">
            <v>0</v>
          </cell>
          <cell r="DI46">
            <v>42257</v>
          </cell>
          <cell r="DK46">
            <v>42254</v>
          </cell>
          <cell r="DM46">
            <v>42258</v>
          </cell>
          <cell r="DO46">
            <v>0</v>
          </cell>
          <cell r="DP46">
            <v>42257</v>
          </cell>
          <cell r="DT46">
            <v>0</v>
          </cell>
          <cell r="DU46">
            <v>42272</v>
          </cell>
          <cell r="DW46">
            <v>0</v>
          </cell>
          <cell r="DY46">
            <v>42258</v>
          </cell>
          <cell r="EA46" t="str">
            <v>IENG</v>
          </cell>
          <cell r="EJ46">
            <v>0</v>
          </cell>
          <cell r="EK46">
            <v>42275</v>
          </cell>
          <cell r="EM46">
            <v>42276</v>
          </cell>
          <cell r="EQ46">
            <v>42285</v>
          </cell>
          <cell r="EW46">
            <v>0</v>
          </cell>
          <cell r="EX46">
            <v>42256</v>
          </cell>
          <cell r="EZ46">
            <v>42295</v>
          </cell>
          <cell r="FB46">
            <v>42297</v>
          </cell>
          <cell r="FU46">
            <v>42299</v>
          </cell>
          <cell r="FW46">
            <v>42299</v>
          </cell>
          <cell r="GJ46">
            <v>0</v>
          </cell>
          <cell r="GN46" t="str">
            <v>ERICSSON</v>
          </cell>
          <cell r="GS46" t="str">
            <v>4/4/4</v>
          </cell>
          <cell r="GU46" t="str">
            <v xml:space="preserve">		</v>
          </cell>
          <cell r="HD46">
            <v>1</v>
          </cell>
        </row>
        <row r="47">
          <cell r="A47" t="str">
            <v>AY1025</v>
          </cell>
          <cell r="B47" t="str">
            <v>ACAY_0095</v>
          </cell>
          <cell r="C47" t="str">
            <v>Apollo</v>
          </cell>
          <cell r="D47" t="str">
            <v>Emilio Ruiz</v>
          </cell>
          <cell r="F47" t="str">
            <v>Phyo Wai Maung</v>
          </cell>
          <cell r="G47" t="str">
            <v>Thiha Kyaw</v>
          </cell>
          <cell r="H47" t="str">
            <v>RED</v>
          </cell>
          <cell r="I47" t="str">
            <v>South</v>
          </cell>
          <cell r="J47" t="str">
            <v>95.6798733427151</v>
          </cell>
          <cell r="K47" t="str">
            <v>15.9944576528018</v>
          </cell>
          <cell r="L47" t="str">
            <v>Rural</v>
          </cell>
          <cell r="M47" t="str">
            <v>Ayeyarwady</v>
          </cell>
          <cell r="N47" t="str">
            <v>Pyapon</v>
          </cell>
          <cell r="O47" t="str">
            <v>Pyapon</v>
          </cell>
          <cell r="P47" t="str">
            <v>Hinthada</v>
          </cell>
          <cell r="Q47" t="str">
            <v>13</v>
          </cell>
          <cell r="R47" t="str">
            <v>Pyapon</v>
          </cell>
          <cell r="S47" t="str">
            <v>319</v>
          </cell>
          <cell r="T47" t="str">
            <v>GSM+UMTS</v>
          </cell>
          <cell r="W47" t="str">
            <v>Ph2-Priority</v>
          </cell>
          <cell r="X47" t="str">
            <v>45</v>
          </cell>
          <cell r="Y47" t="str">
            <v>47</v>
          </cell>
          <cell r="Z47" t="str">
            <v>GBT</v>
          </cell>
          <cell r="AA47" t="str">
            <v>500</v>
          </cell>
          <cell r="AB47" t="str">
            <v>Access</v>
          </cell>
          <cell r="AC47" t="str">
            <v>Class C</v>
          </cell>
          <cell r="BE47" t="str">
            <v>Yangon South</v>
          </cell>
          <cell r="BH47" t="str">
            <v>IENG</v>
          </cell>
          <cell r="BJ47">
            <v>42164</v>
          </cell>
          <cell r="BK47">
            <v>42148</v>
          </cell>
          <cell r="BL47">
            <v>42169</v>
          </cell>
          <cell r="BM47">
            <v>42153</v>
          </cell>
          <cell r="BT47">
            <v>40</v>
          </cell>
          <cell r="BU47">
            <v>42240</v>
          </cell>
          <cell r="BV47">
            <v>42188</v>
          </cell>
          <cell r="BW47" t="str">
            <v>95.68145</v>
          </cell>
          <cell r="BX47" t="str">
            <v>15.99707</v>
          </cell>
          <cell r="BY47" t="str">
            <v>C1</v>
          </cell>
          <cell r="BZ47" t="str">
            <v>Kalahtae (2), Kamn Thar Yar Village,Dedaluu Group, Amar Township, Ayeyarwady</v>
          </cell>
          <cell r="CA47" t="str">
            <v>U Tin Sein;09-49757481</v>
          </cell>
          <cell r="CB47" t="str">
            <v>13 Aug 15: C1 deactivate because of Paddy land thus rejected by Legal. JV done;27 May 15 :C1 TSSR app;26 May 15 : C1 TSSR sub;12 May 15 : C1 SAR app;10May15: C1 SAR Sub.</v>
          </cell>
          <cell r="CC47" t="str">
            <v>VILLAGE LAND</v>
          </cell>
          <cell r="CE47">
            <v>3</v>
          </cell>
          <cell r="CF47">
            <v>42241</v>
          </cell>
          <cell r="CG47">
            <v>42191</v>
          </cell>
          <cell r="CH47">
            <v>42243</v>
          </cell>
          <cell r="CJ47">
            <v>42193</v>
          </cell>
          <cell r="CK47" t="str">
            <v>45</v>
          </cell>
          <cell r="CL47" t="str">
            <v>47</v>
          </cell>
          <cell r="CM47" t="str">
            <v>50</v>
          </cell>
          <cell r="CN47">
            <v>4</v>
          </cell>
          <cell r="CO47">
            <v>42246</v>
          </cell>
          <cell r="CP47">
            <v>42195</v>
          </cell>
          <cell r="CQ47" t="str">
            <v>M4: solar + DG + battery</v>
          </cell>
          <cell r="CR47">
            <v>4</v>
          </cell>
          <cell r="CS47">
            <v>42247</v>
          </cell>
          <cell r="CT47">
            <v>42199</v>
          </cell>
          <cell r="CU47" t="str">
            <v>AY1025</v>
          </cell>
          <cell r="DH47">
            <v>9</v>
          </cell>
          <cell r="DI47">
            <v>42257</v>
          </cell>
          <cell r="DJ47">
            <v>42208</v>
          </cell>
          <cell r="DK47">
            <v>42254</v>
          </cell>
          <cell r="DL47">
            <v>42242</v>
          </cell>
          <cell r="DM47">
            <v>42258</v>
          </cell>
          <cell r="DO47">
            <v>0</v>
          </cell>
          <cell r="DP47">
            <v>42257</v>
          </cell>
          <cell r="DQ47">
            <v>42208</v>
          </cell>
          <cell r="DT47">
            <v>25</v>
          </cell>
          <cell r="DU47">
            <v>42272</v>
          </cell>
          <cell r="DW47">
            <v>0</v>
          </cell>
          <cell r="DY47">
            <v>42258</v>
          </cell>
          <cell r="DZ47">
            <v>42247</v>
          </cell>
          <cell r="EA47" t="str">
            <v>IENG</v>
          </cell>
          <cell r="EJ47">
            <v>0</v>
          </cell>
          <cell r="EK47">
            <v>42275</v>
          </cell>
          <cell r="EM47">
            <v>42276</v>
          </cell>
          <cell r="EQ47">
            <v>42285</v>
          </cell>
          <cell r="EW47">
            <v>0</v>
          </cell>
          <cell r="EX47">
            <v>42290</v>
          </cell>
          <cell r="EZ47">
            <v>42295</v>
          </cell>
          <cell r="FB47">
            <v>42297</v>
          </cell>
          <cell r="FU47">
            <v>42299</v>
          </cell>
          <cell r="FW47">
            <v>42299</v>
          </cell>
          <cell r="GJ47">
            <v>0</v>
          </cell>
          <cell r="GN47" t="str">
            <v>ERICSSON</v>
          </cell>
          <cell r="GO47">
            <v>42158</v>
          </cell>
          <cell r="GS47" t="str">
            <v>4/4/4</v>
          </cell>
          <cell r="GU47" t="str">
            <v xml:space="preserve">		</v>
          </cell>
          <cell r="HD47">
            <v>1</v>
          </cell>
        </row>
        <row r="48">
          <cell r="A48" t="str">
            <v>AY1027</v>
          </cell>
          <cell r="B48" t="str">
            <v>ACAY_0096</v>
          </cell>
          <cell r="C48" t="str">
            <v>Apollo</v>
          </cell>
          <cell r="D48" t="str">
            <v>Emilio Ruiz</v>
          </cell>
          <cell r="F48" t="str">
            <v>Phyo Wai Maung</v>
          </cell>
          <cell r="G48" t="str">
            <v>Thiha Kyaw</v>
          </cell>
          <cell r="H48" t="str">
            <v>RED</v>
          </cell>
          <cell r="I48" t="str">
            <v>South</v>
          </cell>
          <cell r="J48" t="str">
            <v>95.6114937857195</v>
          </cell>
          <cell r="K48" t="str">
            <v>15.9061338472011</v>
          </cell>
          <cell r="L48" t="str">
            <v>Rural</v>
          </cell>
          <cell r="M48" t="str">
            <v>Ayeyarwady</v>
          </cell>
          <cell r="N48" t="str">
            <v>Pyapon</v>
          </cell>
          <cell r="O48" t="str">
            <v>Pyapon</v>
          </cell>
          <cell r="P48" t="str">
            <v>Hinthada</v>
          </cell>
          <cell r="Q48" t="str">
            <v>13</v>
          </cell>
          <cell r="R48" t="str">
            <v>Pyapon</v>
          </cell>
          <cell r="S48" t="str">
            <v>319</v>
          </cell>
          <cell r="T48" t="str">
            <v>GSM+UMTS</v>
          </cell>
          <cell r="W48" t="str">
            <v>Ph2-Priority</v>
          </cell>
          <cell r="X48" t="str">
            <v>45</v>
          </cell>
          <cell r="Y48" t="str">
            <v>47</v>
          </cell>
          <cell r="Z48" t="str">
            <v>GBT</v>
          </cell>
          <cell r="AA48" t="str">
            <v>500</v>
          </cell>
          <cell r="AB48" t="str">
            <v>Access</v>
          </cell>
          <cell r="AC48" t="str">
            <v>Class C</v>
          </cell>
          <cell r="BE48" t="str">
            <v>Route 5 Yangon - Pathein</v>
          </cell>
          <cell r="BH48" t="str">
            <v>IENG</v>
          </cell>
          <cell r="BJ48">
            <v>42164</v>
          </cell>
          <cell r="BK48">
            <v>42141</v>
          </cell>
          <cell r="BL48">
            <v>42169</v>
          </cell>
          <cell r="BM48">
            <v>42146</v>
          </cell>
          <cell r="BT48">
            <v>92</v>
          </cell>
          <cell r="BU48">
            <v>42240</v>
          </cell>
          <cell r="BV48">
            <v>42123</v>
          </cell>
          <cell r="BW48" t="str">
            <v>95.0748</v>
          </cell>
          <cell r="BX48" t="str">
            <v>16.97503</v>
          </cell>
          <cell r="BY48" t="str">
            <v>C1</v>
          </cell>
          <cell r="BZ48" t="str">
            <v>No(1/323-B),Daunt Gyi Market Street,Daunt Gyi Kwat Thit,Kyaung Khone Township,Ayeyarwady</v>
          </cell>
          <cell r="CA48" t="str">
            <v>U Thein Aung;Daunt Gyi Village,Daunt Gyi Kwat Thit,Kyaung Khone Township;09-49716620;(U Zayar Lin Lin;09-31362726)</v>
          </cell>
          <cell r="CB48" t="str">
            <v>5 May 15: C1 SAR approved as an option1.(RND approved with 45m / 47m GBT as priority 1. This site is 130m far from the nominal point.); 29Apr15: C1 SAR Sub</v>
          </cell>
          <cell r="CC48" t="str">
            <v>Garden Land</v>
          </cell>
          <cell r="CE48">
            <v>0</v>
          </cell>
          <cell r="CF48">
            <v>42241</v>
          </cell>
          <cell r="CG48">
            <v>42129</v>
          </cell>
          <cell r="CH48">
            <v>42243</v>
          </cell>
          <cell r="CJ48">
            <v>42141</v>
          </cell>
          <cell r="CK48" t="str">
            <v>45</v>
          </cell>
          <cell r="CL48" t="str">
            <v>47</v>
          </cell>
          <cell r="CM48" t="str">
            <v>45</v>
          </cell>
          <cell r="CN48">
            <v>0</v>
          </cell>
          <cell r="CO48">
            <v>42246</v>
          </cell>
          <cell r="CP48">
            <v>42143</v>
          </cell>
          <cell r="CQ48" t="str">
            <v>M4: solar + DG + battery</v>
          </cell>
          <cell r="CR48">
            <v>0</v>
          </cell>
          <cell r="CS48">
            <v>42247</v>
          </cell>
          <cell r="CT48">
            <v>42144</v>
          </cell>
          <cell r="CU48" t="str">
            <v>AY1027</v>
          </cell>
          <cell r="DH48">
            <v>0</v>
          </cell>
          <cell r="DI48">
            <v>42257</v>
          </cell>
          <cell r="DJ48">
            <v>42165</v>
          </cell>
          <cell r="DK48">
            <v>42254</v>
          </cell>
          <cell r="DL48">
            <v>42166</v>
          </cell>
          <cell r="DM48">
            <v>42258</v>
          </cell>
          <cell r="DN48">
            <v>42173</v>
          </cell>
          <cell r="DO48">
            <v>0</v>
          </cell>
          <cell r="DP48">
            <v>42257</v>
          </cell>
          <cell r="DQ48">
            <v>42165</v>
          </cell>
          <cell r="DT48">
            <v>0</v>
          </cell>
          <cell r="DU48">
            <v>42272</v>
          </cell>
          <cell r="DW48">
            <v>0</v>
          </cell>
          <cell r="DY48">
            <v>42258</v>
          </cell>
          <cell r="DZ48">
            <v>42171</v>
          </cell>
          <cell r="EA48" t="str">
            <v>IENG</v>
          </cell>
          <cell r="EI48" t="str">
            <v>M7: 2DG + battery      </v>
          </cell>
          <cell r="EJ48">
            <v>0</v>
          </cell>
          <cell r="EK48">
            <v>42275</v>
          </cell>
          <cell r="EL48">
            <v>42200</v>
          </cell>
          <cell r="EM48">
            <v>42276</v>
          </cell>
          <cell r="EN48">
            <v>42191</v>
          </cell>
          <cell r="EQ48">
            <v>42285</v>
          </cell>
          <cell r="ER48">
            <v>42214</v>
          </cell>
          <cell r="ES48">
            <v>42215</v>
          </cell>
          <cell r="ET48">
            <v>42216</v>
          </cell>
          <cell r="EU48">
            <v>42216</v>
          </cell>
          <cell r="EW48">
            <v>0</v>
          </cell>
          <cell r="EX48">
            <v>42290</v>
          </cell>
          <cell r="EZ48">
            <v>42295</v>
          </cell>
          <cell r="FA48">
            <v>42216</v>
          </cell>
          <cell r="FB48">
            <v>42297</v>
          </cell>
          <cell r="FC48">
            <v>42219</v>
          </cell>
          <cell r="FU48">
            <v>42299</v>
          </cell>
          <cell r="FW48">
            <v>42299</v>
          </cell>
          <cell r="FX48">
            <v>42219</v>
          </cell>
          <cell r="FY48" t="str">
            <v>EM</v>
          </cell>
          <cell r="FZ48">
            <v>42193</v>
          </cell>
          <cell r="GA48">
            <v>42195</v>
          </cell>
          <cell r="GB48">
            <v>42196</v>
          </cell>
          <cell r="GC48">
            <v>42219</v>
          </cell>
          <cell r="GD48">
            <v>42219</v>
          </cell>
          <cell r="GE48">
            <v>42196</v>
          </cell>
          <cell r="GF48">
            <v>42196</v>
          </cell>
          <cell r="GG48">
            <v>42220</v>
          </cell>
          <cell r="GH48">
            <v>42221</v>
          </cell>
          <cell r="GI48">
            <v>42246</v>
          </cell>
          <cell r="GJ48">
            <v>0</v>
          </cell>
          <cell r="GK48">
            <v>42221</v>
          </cell>
          <cell r="GN48" t="str">
            <v>ERICSSON</v>
          </cell>
          <cell r="GP48">
            <v>42191</v>
          </cell>
          <cell r="GS48" t="str">
            <v>4/4/4</v>
          </cell>
          <cell r="GU48" t="str">
            <v xml:space="preserve">		</v>
          </cell>
          <cell r="HD48">
            <v>1</v>
          </cell>
        </row>
        <row r="49">
          <cell r="A49" t="str">
            <v>AY1028</v>
          </cell>
          <cell r="B49" t="str">
            <v>ACAY_0097</v>
          </cell>
          <cell r="C49" t="str">
            <v>Apollo</v>
          </cell>
          <cell r="D49" t="str">
            <v>Emilio Ruiz</v>
          </cell>
          <cell r="F49" t="str">
            <v>Phyo Wai Maung</v>
          </cell>
          <cell r="G49" t="str">
            <v>Thiha Kyaw</v>
          </cell>
          <cell r="H49" t="str">
            <v>RED</v>
          </cell>
          <cell r="I49" t="str">
            <v>South</v>
          </cell>
          <cell r="J49" t="str">
            <v>95.6421399497637</v>
          </cell>
          <cell r="K49" t="str">
            <v>15.9507238562761</v>
          </cell>
          <cell r="L49" t="str">
            <v>Rural</v>
          </cell>
          <cell r="M49" t="str">
            <v>Ayeyarwady</v>
          </cell>
          <cell r="N49" t="str">
            <v>Pyapon</v>
          </cell>
          <cell r="O49" t="str">
            <v>Pyapon</v>
          </cell>
          <cell r="P49" t="str">
            <v>Hinthada</v>
          </cell>
          <cell r="Q49" t="str">
            <v>13</v>
          </cell>
          <cell r="R49" t="str">
            <v>Pyapon</v>
          </cell>
          <cell r="S49" t="str">
            <v>319</v>
          </cell>
          <cell r="T49" t="str">
            <v>GSM+UMTS</v>
          </cell>
          <cell r="W49" t="str">
            <v>Ph2-Priority</v>
          </cell>
          <cell r="X49" t="str">
            <v>45</v>
          </cell>
          <cell r="Y49" t="str">
            <v>47</v>
          </cell>
          <cell r="Z49" t="str">
            <v>GBT</v>
          </cell>
          <cell r="AA49" t="str">
            <v>500</v>
          </cell>
          <cell r="AB49" t="str">
            <v>Access</v>
          </cell>
          <cell r="AC49" t="str">
            <v>Class C</v>
          </cell>
          <cell r="BE49" t="str">
            <v>Route 11 Pyay - Pathein</v>
          </cell>
          <cell r="BH49" t="str">
            <v>IENG</v>
          </cell>
          <cell r="BJ49">
            <v>42164</v>
          </cell>
          <cell r="BK49">
            <v>42144</v>
          </cell>
          <cell r="BL49">
            <v>42169</v>
          </cell>
          <cell r="BM49">
            <v>42149</v>
          </cell>
          <cell r="BT49">
            <v>71</v>
          </cell>
          <cell r="BU49">
            <v>42240</v>
          </cell>
          <cell r="BV49">
            <v>42215</v>
          </cell>
          <cell r="BW49" t="str">
            <v>95.64467</v>
          </cell>
          <cell r="BX49" t="str">
            <v>15.95438</v>
          </cell>
          <cell r="BY49" t="str">
            <v>C1</v>
          </cell>
          <cell r="BZ49" t="str">
            <v>Tha Yat Pin Hla Village,Thin Gan Daunt Compound,Yegyi Township,Ayeyawady Division.</v>
          </cell>
          <cell r="CA49" t="str">
            <v>U Soe Myint,09-254893432,09-32765029</v>
          </cell>
          <cell r="CB49" t="str">
            <v>30 Jul 15 : C1 SAR sub with 35 M Tower</v>
          </cell>
          <cell r="CC49" t="str">
            <v>FARM LAND</v>
          </cell>
          <cell r="CE49">
            <v>4</v>
          </cell>
          <cell r="CF49">
            <v>42241</v>
          </cell>
          <cell r="CG49">
            <v>42219</v>
          </cell>
          <cell r="CH49">
            <v>42243</v>
          </cell>
          <cell r="CJ49">
            <v>42231</v>
          </cell>
          <cell r="CK49" t="str">
            <v>45</v>
          </cell>
          <cell r="CL49" t="str">
            <v>47</v>
          </cell>
          <cell r="CM49" t="str">
            <v>50</v>
          </cell>
          <cell r="CN49">
            <v>14</v>
          </cell>
          <cell r="CO49">
            <v>42246</v>
          </cell>
          <cell r="CP49">
            <v>42233</v>
          </cell>
          <cell r="CQ49" t="str">
            <v>M4: solar + DG + battery</v>
          </cell>
          <cell r="CR49">
            <v>0</v>
          </cell>
          <cell r="CS49">
            <v>42247</v>
          </cell>
          <cell r="CT49">
            <v>42234</v>
          </cell>
          <cell r="CU49" t="str">
            <v>AY1028</v>
          </cell>
          <cell r="DH49">
            <v>0</v>
          </cell>
          <cell r="DI49">
            <v>42257</v>
          </cell>
          <cell r="DK49">
            <v>42254</v>
          </cell>
          <cell r="DM49">
            <v>42258</v>
          </cell>
          <cell r="DO49">
            <v>0</v>
          </cell>
          <cell r="DP49">
            <v>42257</v>
          </cell>
          <cell r="DT49">
            <v>0</v>
          </cell>
          <cell r="DU49">
            <v>42272</v>
          </cell>
          <cell r="DW49">
            <v>0</v>
          </cell>
          <cell r="DY49">
            <v>42258</v>
          </cell>
          <cell r="DZ49">
            <v>42227</v>
          </cell>
          <cell r="EA49" t="str">
            <v>IENG</v>
          </cell>
          <cell r="EJ49">
            <v>0</v>
          </cell>
          <cell r="EK49">
            <v>42275</v>
          </cell>
          <cell r="EM49">
            <v>42276</v>
          </cell>
          <cell r="EQ49">
            <v>42285</v>
          </cell>
          <cell r="EW49">
            <v>0</v>
          </cell>
          <cell r="EX49">
            <v>42290</v>
          </cell>
          <cell r="EZ49">
            <v>42295</v>
          </cell>
          <cell r="FB49">
            <v>42297</v>
          </cell>
          <cell r="FU49">
            <v>42299</v>
          </cell>
          <cell r="FW49">
            <v>42299</v>
          </cell>
          <cell r="GJ49">
            <v>0</v>
          </cell>
          <cell r="GN49" t="str">
            <v>ERICSSON</v>
          </cell>
          <cell r="GS49" t="str">
            <v>4/4/4</v>
          </cell>
          <cell r="GU49" t="str">
            <v xml:space="preserve">		</v>
          </cell>
          <cell r="HD49">
            <v>1</v>
          </cell>
        </row>
        <row r="50">
          <cell r="A50" t="str">
            <v>AY1033</v>
          </cell>
          <cell r="B50" t="str">
            <v>ACAY_0098</v>
          </cell>
          <cell r="C50" t="str">
            <v>Apollo</v>
          </cell>
          <cell r="D50" t="str">
            <v>Emilio Ruiz</v>
          </cell>
          <cell r="F50" t="str">
            <v>Phyo Wai Maung</v>
          </cell>
          <cell r="G50" t="str">
            <v>Thiha Kyaw</v>
          </cell>
          <cell r="H50" t="str">
            <v>AMBER</v>
          </cell>
          <cell r="I50" t="str">
            <v>South</v>
          </cell>
          <cell r="J50" t="str">
            <v>95.58293378</v>
          </cell>
          <cell r="K50" t="str">
            <v>16.14331205</v>
          </cell>
          <cell r="L50" t="str">
            <v>Rural</v>
          </cell>
          <cell r="M50" t="str">
            <v>Ayeyarwady</v>
          </cell>
          <cell r="N50" t="str">
            <v>Pyapon</v>
          </cell>
          <cell r="O50" t="str">
            <v>Pyapon</v>
          </cell>
          <cell r="P50" t="str">
            <v>Hinthada</v>
          </cell>
          <cell r="Q50" t="str">
            <v>13</v>
          </cell>
          <cell r="R50" t="str">
            <v>Pyapon</v>
          </cell>
          <cell r="S50" t="str">
            <v>319</v>
          </cell>
          <cell r="T50" t="str">
            <v>GSM+UMTS</v>
          </cell>
          <cell r="W50" t="str">
            <v>Ph2-Priority</v>
          </cell>
          <cell r="X50" t="str">
            <v>45</v>
          </cell>
          <cell r="Y50" t="str">
            <v>47</v>
          </cell>
          <cell r="Z50" t="str">
            <v>GBT</v>
          </cell>
          <cell r="AA50" t="str">
            <v>500</v>
          </cell>
          <cell r="AB50" t="str">
            <v>Access</v>
          </cell>
          <cell r="AC50" t="str">
            <v>Class C</v>
          </cell>
          <cell r="BE50" t="str">
            <v>Route 5 Yangon - Pathein</v>
          </cell>
          <cell r="BH50" t="str">
            <v>IENG</v>
          </cell>
          <cell r="BJ50">
            <v>42164</v>
          </cell>
          <cell r="BK50">
            <v>42147</v>
          </cell>
          <cell r="BL50">
            <v>42169</v>
          </cell>
          <cell r="BM50">
            <v>42147</v>
          </cell>
          <cell r="BT50">
            <v>33</v>
          </cell>
          <cell r="BU50">
            <v>42240</v>
          </cell>
          <cell r="BV50">
            <v>42180</v>
          </cell>
          <cell r="BW50" t="str">
            <v>95.58564</v>
          </cell>
          <cell r="BX50" t="str">
            <v>16.14177</v>
          </cell>
          <cell r="BY50" t="str">
            <v>C3</v>
          </cell>
          <cell r="BZ50" t="str">
            <v>No(160),Kyat Fha Mwae Zaung Village,Phya Pon Township,Ayeyawaddy Division.</v>
          </cell>
          <cell r="CA50" t="str">
            <v>U Myint Kyaw Oo;09-8590604</v>
          </cell>
          <cell r="CB50" t="str">
            <v>9 July 15 : C3  new TSSR pdf given fron Apollo;3 July 15 : C3 SAR rev approved as an option 1(RND approved at 45m antenna height  with revise pdf. It is 330m far from nominal .The new location is 60m far from the previous one.);25 June 15 : C3 SAR rev sub because coordinate changes;prev C1 SAR app on 23 June 15;22 Jun 15 : C3 SAR sub(C1,C2 FARM LAND)</v>
          </cell>
          <cell r="CC50" t="str">
            <v>VILLAGE LAND</v>
          </cell>
          <cell r="CE50">
            <v>8</v>
          </cell>
          <cell r="CF50">
            <v>42241</v>
          </cell>
          <cell r="CG50">
            <v>42188</v>
          </cell>
          <cell r="CH50">
            <v>42243</v>
          </cell>
          <cell r="CJ50">
            <v>42190</v>
          </cell>
          <cell r="CK50" t="str">
            <v>45</v>
          </cell>
          <cell r="CL50" t="str">
            <v>47</v>
          </cell>
          <cell r="CM50" t="str">
            <v>50</v>
          </cell>
          <cell r="CN50">
            <v>4</v>
          </cell>
          <cell r="CO50">
            <v>42246</v>
          </cell>
          <cell r="CP50">
            <v>42192</v>
          </cell>
          <cell r="CQ50" t="str">
            <v>M4: solar + DG + battery</v>
          </cell>
          <cell r="CR50">
            <v>3</v>
          </cell>
          <cell r="CS50">
            <v>42247</v>
          </cell>
          <cell r="CT50">
            <v>42195</v>
          </cell>
          <cell r="CU50" t="str">
            <v>AY1033</v>
          </cell>
          <cell r="DH50">
            <v>3</v>
          </cell>
          <cell r="DI50">
            <v>42257</v>
          </cell>
          <cell r="DJ50">
            <v>42198</v>
          </cell>
          <cell r="DK50">
            <v>42254</v>
          </cell>
          <cell r="DL50">
            <v>42242</v>
          </cell>
          <cell r="DM50">
            <v>42258</v>
          </cell>
          <cell r="DN50">
            <v>42159</v>
          </cell>
          <cell r="DO50">
            <v>0</v>
          </cell>
          <cell r="DP50">
            <v>42257</v>
          </cell>
          <cell r="DQ50">
            <v>42198</v>
          </cell>
          <cell r="DT50">
            <v>35</v>
          </cell>
          <cell r="DU50">
            <v>42272</v>
          </cell>
          <cell r="DW50">
            <v>0</v>
          </cell>
          <cell r="DY50">
            <v>42258</v>
          </cell>
          <cell r="DZ50">
            <v>42203</v>
          </cell>
          <cell r="EA50" t="str">
            <v>IENG</v>
          </cell>
          <cell r="ED50" t="str">
            <v xml:space="preserve">24Aug15 :Thiha.Kyaw: 18-8-15 Site not start yet.
</v>
          </cell>
          <cell r="EI50" t="str">
            <v>M5: grid power + DG + battery      </v>
          </cell>
          <cell r="EJ50">
            <v>30</v>
          </cell>
          <cell r="EK50">
            <v>42275</v>
          </cell>
          <cell r="EL50">
            <v>42166</v>
          </cell>
          <cell r="EM50">
            <v>42276</v>
          </cell>
          <cell r="EN50">
            <v>42167</v>
          </cell>
          <cell r="EQ50">
            <v>42285</v>
          </cell>
          <cell r="ER50">
            <v>42180</v>
          </cell>
          <cell r="ES50">
            <v>42171</v>
          </cell>
          <cell r="ET50">
            <v>42184</v>
          </cell>
          <cell r="EU50">
            <v>42184</v>
          </cell>
          <cell r="EW50">
            <v>30</v>
          </cell>
          <cell r="EX50">
            <v>42290</v>
          </cell>
          <cell r="EZ50">
            <v>42295</v>
          </cell>
          <cell r="FA50">
            <v>42180</v>
          </cell>
          <cell r="FB50">
            <v>42297</v>
          </cell>
          <cell r="FC50">
            <v>42185</v>
          </cell>
          <cell r="FE50">
            <v>42160</v>
          </cell>
          <cell r="FG50">
            <v>42165</v>
          </cell>
          <cell r="FU50">
            <v>42299</v>
          </cell>
          <cell r="FV50">
            <v>42194</v>
          </cell>
          <cell r="FW50">
            <v>42299</v>
          </cell>
          <cell r="FX50">
            <v>42185</v>
          </cell>
          <cell r="FY50" t="str">
            <v>TN</v>
          </cell>
          <cell r="FZ50">
            <v>42170</v>
          </cell>
          <cell r="GA50">
            <v>42172</v>
          </cell>
          <cell r="GB50">
            <v>42180</v>
          </cell>
          <cell r="GC50">
            <v>42183</v>
          </cell>
          <cell r="GD50">
            <v>42183</v>
          </cell>
          <cell r="GE50">
            <v>42180</v>
          </cell>
          <cell r="GF50">
            <v>42180</v>
          </cell>
          <cell r="GG50">
            <v>42187</v>
          </cell>
          <cell r="GH50">
            <v>42188</v>
          </cell>
          <cell r="GI50">
            <v>42307</v>
          </cell>
          <cell r="GJ50" t="str">
            <v>44-2015</v>
          </cell>
          <cell r="GK50">
            <v>42188</v>
          </cell>
          <cell r="GN50" t="str">
            <v xml:space="preserve">ERICSSON </v>
          </cell>
          <cell r="GO50">
            <v>42191</v>
          </cell>
          <cell r="GP50">
            <v>42191</v>
          </cell>
          <cell r="GS50" t="str">
            <v>4/4/4</v>
          </cell>
          <cell r="GT50" t="str">
            <v>Dual Carrier</v>
          </cell>
          <cell r="GU50" t="str">
            <v xml:space="preserve">		</v>
          </cell>
          <cell r="HD50">
            <v>1</v>
          </cell>
        </row>
        <row r="51">
          <cell r="A51" t="str">
            <v>AY1035</v>
          </cell>
          <cell r="B51" t="str">
            <v>ACAY_0099</v>
          </cell>
          <cell r="C51" t="str">
            <v>Apollo</v>
          </cell>
          <cell r="D51" t="str">
            <v>Emilio Ruiz</v>
          </cell>
          <cell r="F51" t="str">
            <v>Phyo Wai Maung</v>
          </cell>
          <cell r="G51" t="str">
            <v>Thiha Kyaw</v>
          </cell>
          <cell r="H51" t="str">
            <v>RED</v>
          </cell>
          <cell r="I51" t="str">
            <v>South</v>
          </cell>
          <cell r="J51" t="str">
            <v>95.5013545</v>
          </cell>
          <cell r="K51" t="str">
            <v>15.8235084</v>
          </cell>
          <cell r="L51" t="str">
            <v>Rural</v>
          </cell>
          <cell r="M51" t="str">
            <v>Ayeyarwady</v>
          </cell>
          <cell r="N51" t="str">
            <v>Pyapon</v>
          </cell>
          <cell r="O51" t="str">
            <v>Pyapon</v>
          </cell>
          <cell r="P51" t="str">
            <v>Hinthada</v>
          </cell>
          <cell r="Q51" t="str">
            <v>13</v>
          </cell>
          <cell r="R51" t="str">
            <v>Pyapon</v>
          </cell>
          <cell r="S51" t="str">
            <v>319</v>
          </cell>
          <cell r="T51" t="str">
            <v>GSM+UMTS</v>
          </cell>
          <cell r="W51" t="str">
            <v>Ph2-Priority</v>
          </cell>
          <cell r="X51" t="str">
            <v>55</v>
          </cell>
          <cell r="Y51" t="str">
            <v>57</v>
          </cell>
          <cell r="AA51" t="str">
            <v>500</v>
          </cell>
          <cell r="AB51" t="str">
            <v>Access</v>
          </cell>
          <cell r="AC51" t="str">
            <v>Class C</v>
          </cell>
          <cell r="BH51" t="str">
            <v>IENG</v>
          </cell>
          <cell r="BJ51">
            <v>42164</v>
          </cell>
          <cell r="BK51">
            <v>42144</v>
          </cell>
          <cell r="BL51">
            <v>42169</v>
          </cell>
          <cell r="BM51">
            <v>42149</v>
          </cell>
          <cell r="BT51">
            <v>89</v>
          </cell>
          <cell r="BU51">
            <v>42210</v>
          </cell>
          <cell r="CE51">
            <v>0</v>
          </cell>
          <cell r="CF51">
            <v>42211</v>
          </cell>
          <cell r="CH51">
            <v>42213</v>
          </cell>
          <cell r="CN51">
            <v>0</v>
          </cell>
          <cell r="CO51">
            <v>42216</v>
          </cell>
          <cell r="CR51">
            <v>0</v>
          </cell>
          <cell r="CS51">
            <v>42217</v>
          </cell>
          <cell r="CU51" t="str">
            <v>AY1035</v>
          </cell>
          <cell r="DH51">
            <v>0</v>
          </cell>
          <cell r="DI51">
            <v>42227</v>
          </cell>
          <cell r="DK51">
            <v>42224</v>
          </cell>
          <cell r="DM51">
            <v>42228</v>
          </cell>
          <cell r="DO51">
            <v>0</v>
          </cell>
          <cell r="DP51">
            <v>42227</v>
          </cell>
          <cell r="DT51">
            <v>0</v>
          </cell>
          <cell r="DU51">
            <v>42242</v>
          </cell>
          <cell r="DW51">
            <v>0</v>
          </cell>
          <cell r="DY51">
            <v>42228</v>
          </cell>
          <cell r="EA51" t="str">
            <v>IENG</v>
          </cell>
          <cell r="EJ51">
            <v>0</v>
          </cell>
          <cell r="EK51">
            <v>42250</v>
          </cell>
          <cell r="EM51">
            <v>42251</v>
          </cell>
          <cell r="EQ51">
            <v>42263</v>
          </cell>
          <cell r="EW51">
            <v>0</v>
          </cell>
          <cell r="EX51">
            <v>42293</v>
          </cell>
          <cell r="EZ51">
            <v>42273</v>
          </cell>
          <cell r="FB51">
            <v>42275</v>
          </cell>
          <cell r="FU51">
            <v>42277</v>
          </cell>
          <cell r="FW51">
            <v>42277</v>
          </cell>
          <cell r="GJ51">
            <v>0</v>
          </cell>
          <cell r="GN51" t="str">
            <v>ERICSSON</v>
          </cell>
          <cell r="GS51" t="str">
            <v>4/4/4</v>
          </cell>
          <cell r="GU51" t="str">
            <v xml:space="preserve">		</v>
          </cell>
          <cell r="HD51">
            <v>1</v>
          </cell>
        </row>
        <row r="52">
          <cell r="A52" t="str">
            <v>AY1036</v>
          </cell>
          <cell r="B52" t="str">
            <v>ACAY_0100</v>
          </cell>
          <cell r="C52" t="str">
            <v>Apollo</v>
          </cell>
          <cell r="D52" t="str">
            <v>Emilio Ruiz</v>
          </cell>
          <cell r="F52" t="str">
            <v>Phyo Wai Maung</v>
          </cell>
          <cell r="G52" t="str">
            <v>Thiha Kyaw</v>
          </cell>
          <cell r="H52" t="str">
            <v>AMBER</v>
          </cell>
          <cell r="I52" t="str">
            <v>South</v>
          </cell>
          <cell r="J52" t="str">
            <v>95.6309</v>
          </cell>
          <cell r="K52" t="str">
            <v>16.0664</v>
          </cell>
          <cell r="L52" t="str">
            <v>Rural</v>
          </cell>
          <cell r="M52" t="str">
            <v>Ayeyarwady</v>
          </cell>
          <cell r="N52" t="str">
            <v>Pyapon</v>
          </cell>
          <cell r="O52" t="str">
            <v>Pyapon</v>
          </cell>
          <cell r="P52" t="str">
            <v>Hinthada</v>
          </cell>
          <cell r="Q52" t="str">
            <v>13</v>
          </cell>
          <cell r="R52" t="str">
            <v>Pyapon</v>
          </cell>
          <cell r="S52" t="str">
            <v>319</v>
          </cell>
          <cell r="T52" t="str">
            <v>GSM+UMTS</v>
          </cell>
          <cell r="W52" t="str">
            <v>Ph2-Priority</v>
          </cell>
          <cell r="X52" t="str">
            <v>45</v>
          </cell>
          <cell r="Y52" t="str">
            <v>47</v>
          </cell>
          <cell r="Z52" t="str">
            <v>GBT</v>
          </cell>
          <cell r="AA52" t="str">
            <v>500</v>
          </cell>
          <cell r="AB52" t="str">
            <v>Access</v>
          </cell>
          <cell r="AC52" t="str">
            <v>Class C</v>
          </cell>
          <cell r="BH52" t="str">
            <v>IENG</v>
          </cell>
          <cell r="BJ52">
            <v>42164</v>
          </cell>
          <cell r="BK52">
            <v>42145</v>
          </cell>
          <cell r="BL52">
            <v>42169</v>
          </cell>
          <cell r="BM52">
            <v>42145</v>
          </cell>
          <cell r="BT52">
            <v>32</v>
          </cell>
          <cell r="BU52">
            <v>42240</v>
          </cell>
          <cell r="BV52">
            <v>42177</v>
          </cell>
          <cell r="BW52" t="str">
            <v>95.6315</v>
          </cell>
          <cell r="BX52" t="str">
            <v>16.06666</v>
          </cell>
          <cell r="BY52" t="str">
            <v>C1</v>
          </cell>
          <cell r="BZ52" t="str">
            <v>NO.15,BO GYOKE STREET, 3 RD QUARTER , KYONE KA DYUN VILLAGE , PYAR PON,AYEYARWADY.</v>
          </cell>
          <cell r="CA52" t="str">
            <v>U KYIN PHYAUNG;0949757581, 0933293682, 09252654537</v>
          </cell>
          <cell r="CB52" t="str">
            <v>18 Aug 15:C1 TSSR updated checklist given from E// because one pole mount added at TND ends and changing link up site information;the actual antenna height is changes to 35 to 36 M; 2Jun15: C1 SAR Sub.</v>
          </cell>
          <cell r="CC52" t="str">
            <v>VILLAGE LAND</v>
          </cell>
          <cell r="CE52">
            <v>1</v>
          </cell>
          <cell r="CF52">
            <v>42241</v>
          </cell>
          <cell r="CG52">
            <v>42178</v>
          </cell>
          <cell r="CH52">
            <v>42243</v>
          </cell>
          <cell r="CJ52">
            <v>42185</v>
          </cell>
          <cell r="CK52" t="str">
            <v>45</v>
          </cell>
          <cell r="CL52" t="str">
            <v>47</v>
          </cell>
          <cell r="CM52" t="str">
            <v>50</v>
          </cell>
          <cell r="CN52">
            <v>9</v>
          </cell>
          <cell r="CO52">
            <v>42246</v>
          </cell>
          <cell r="CP52">
            <v>42187</v>
          </cell>
          <cell r="CQ52" t="str">
            <v>M1: grid power + battery</v>
          </cell>
          <cell r="CR52">
            <v>4</v>
          </cell>
          <cell r="CS52">
            <v>42247</v>
          </cell>
          <cell r="CT52">
            <v>42191</v>
          </cell>
          <cell r="CU52" t="str">
            <v>AY1036</v>
          </cell>
          <cell r="DH52">
            <v>7</v>
          </cell>
          <cell r="DI52">
            <v>42257</v>
          </cell>
          <cell r="DJ52">
            <v>42198</v>
          </cell>
          <cell r="DK52">
            <v>42254</v>
          </cell>
          <cell r="DL52">
            <v>42200</v>
          </cell>
          <cell r="DM52">
            <v>42258</v>
          </cell>
          <cell r="DN52">
            <v>42174</v>
          </cell>
          <cell r="DO52">
            <v>0</v>
          </cell>
          <cell r="DP52">
            <v>42257</v>
          </cell>
          <cell r="DQ52">
            <v>42198</v>
          </cell>
          <cell r="DT52">
            <v>35</v>
          </cell>
          <cell r="DU52">
            <v>42272</v>
          </cell>
          <cell r="DW52">
            <v>0</v>
          </cell>
          <cell r="DY52">
            <v>42258</v>
          </cell>
          <cell r="DZ52">
            <v>42200</v>
          </cell>
          <cell r="EA52" t="str">
            <v>IENG</v>
          </cell>
          <cell r="ED52" t="str">
            <v xml:space="preserve">24Aug15 :Thiha.Kyaw: 19-8-15 PCC making in progress.
</v>
          </cell>
          <cell r="EI52" t="str">
            <v>M5: grid power + DG + battery      </v>
          </cell>
          <cell r="EJ52">
            <v>33</v>
          </cell>
          <cell r="EK52">
            <v>42275</v>
          </cell>
          <cell r="EL52">
            <v>42188</v>
          </cell>
          <cell r="EM52">
            <v>42276</v>
          </cell>
          <cell r="EN52">
            <v>42191</v>
          </cell>
          <cell r="EQ52">
            <v>42285</v>
          </cell>
          <cell r="ER52">
            <v>42195</v>
          </cell>
          <cell r="ES52">
            <v>42199</v>
          </cell>
          <cell r="ET52">
            <v>42200</v>
          </cell>
          <cell r="EU52">
            <v>42200</v>
          </cell>
          <cell r="EW52">
            <v>33</v>
          </cell>
          <cell r="EX52">
            <v>42290</v>
          </cell>
          <cell r="EZ52">
            <v>42295</v>
          </cell>
          <cell r="FA52">
            <v>42207</v>
          </cell>
          <cell r="FB52">
            <v>42297</v>
          </cell>
          <cell r="FC52">
            <v>42207</v>
          </cell>
          <cell r="FE52">
            <v>42193</v>
          </cell>
          <cell r="FU52">
            <v>42299</v>
          </cell>
          <cell r="FV52">
            <v>42213</v>
          </cell>
          <cell r="FW52">
            <v>42299</v>
          </cell>
          <cell r="FX52">
            <v>42207</v>
          </cell>
          <cell r="FY52" t="str">
            <v>UT</v>
          </cell>
          <cell r="FZ52">
            <v>42192</v>
          </cell>
          <cell r="GA52">
            <v>42195</v>
          </cell>
          <cell r="GB52">
            <v>42197</v>
          </cell>
          <cell r="GC52">
            <v>42202</v>
          </cell>
          <cell r="GD52">
            <v>42202</v>
          </cell>
          <cell r="GE52">
            <v>42197</v>
          </cell>
          <cell r="GF52">
            <v>42208</v>
          </cell>
          <cell r="GG52">
            <v>42208</v>
          </cell>
          <cell r="GH52">
            <v>42208</v>
          </cell>
          <cell r="GI52">
            <v>42307</v>
          </cell>
          <cell r="GJ52" t="str">
            <v>44-2015</v>
          </cell>
          <cell r="GK52">
            <v>42209</v>
          </cell>
          <cell r="GN52" t="str">
            <v xml:space="preserve">ERICSSON </v>
          </cell>
          <cell r="GS52" t="str">
            <v>4/4/4</v>
          </cell>
          <cell r="GU52" t="str">
            <v xml:space="preserve">		</v>
          </cell>
          <cell r="HD52">
            <v>1</v>
          </cell>
        </row>
        <row r="53">
          <cell r="A53" t="str">
            <v>AY1038</v>
          </cell>
          <cell r="B53" t="str">
            <v>ACAY_0101</v>
          </cell>
          <cell r="C53" t="str">
            <v>Apollo</v>
          </cell>
          <cell r="D53" t="str">
            <v>Emilio Ruiz</v>
          </cell>
          <cell r="F53" t="str">
            <v>Phyo Wai Maung</v>
          </cell>
          <cell r="G53" t="str">
            <v>Thiha Kyaw</v>
          </cell>
          <cell r="H53" t="str">
            <v>RED</v>
          </cell>
          <cell r="I53" t="str">
            <v>South</v>
          </cell>
          <cell r="J53" t="str">
            <v>95.289206</v>
          </cell>
          <cell r="K53" t="str">
            <v>15.800862</v>
          </cell>
          <cell r="L53" t="str">
            <v>Rural</v>
          </cell>
          <cell r="M53" t="str">
            <v>Ayeyarwady</v>
          </cell>
          <cell r="N53" t="str">
            <v>Pyapon</v>
          </cell>
          <cell r="O53" t="str">
            <v>Pyapon</v>
          </cell>
          <cell r="P53" t="str">
            <v>Hinthada</v>
          </cell>
          <cell r="Q53" t="str">
            <v>13</v>
          </cell>
          <cell r="R53" t="str">
            <v>Pyapon</v>
          </cell>
          <cell r="S53" t="str">
            <v>319</v>
          </cell>
          <cell r="T53" t="str">
            <v>GSM+UMTS</v>
          </cell>
          <cell r="W53" t="str">
            <v>Ph2-Priority</v>
          </cell>
          <cell r="X53" t="str">
            <v>55</v>
          </cell>
          <cell r="Y53" t="str">
            <v>57</v>
          </cell>
          <cell r="Z53" t="str">
            <v>GBT</v>
          </cell>
          <cell r="AA53" t="str">
            <v>500</v>
          </cell>
          <cell r="AB53" t="str">
            <v>Access</v>
          </cell>
          <cell r="AC53" t="str">
            <v>Class C</v>
          </cell>
          <cell r="BH53" t="str">
            <v>IENG</v>
          </cell>
          <cell r="BJ53">
            <v>42168</v>
          </cell>
          <cell r="BK53">
            <v>42147</v>
          </cell>
          <cell r="BL53">
            <v>42173</v>
          </cell>
          <cell r="BM53">
            <v>42132</v>
          </cell>
          <cell r="BT53">
            <v>68</v>
          </cell>
          <cell r="BU53">
            <v>42210</v>
          </cell>
          <cell r="BV53">
            <v>42215</v>
          </cell>
          <cell r="BW53" t="str">
            <v>95.2909</v>
          </cell>
          <cell r="BX53" t="str">
            <v>15.798334</v>
          </cell>
          <cell r="BY53" t="str">
            <v>C2</v>
          </cell>
          <cell r="BZ53" t="str">
            <v>Ara Han Dama Yake Thar Monastery, Ma Gin Street, 6 Ward, Kyar Inn Seik Kyi , Mawlamyaing Township.</v>
          </cell>
          <cell r="CA53" t="str">
            <v>U Tan Wara, 09 425000718</v>
          </cell>
          <cell r="CB53" t="str">
            <v>30 July 15 : C2 SAR sub( C1 Owner back out);7 July 15 : C1 TSSR app;3 July 15:C1 TSSR sub;27 Jun 15:C1 SAR app;22 Jun 15:C1 SAR sub</v>
          </cell>
          <cell r="CC53" t="str">
            <v>MONASTERY</v>
          </cell>
          <cell r="CE53">
            <v>4</v>
          </cell>
          <cell r="CF53">
            <v>42211</v>
          </cell>
          <cell r="CG53">
            <v>42219</v>
          </cell>
          <cell r="CH53">
            <v>42213</v>
          </cell>
          <cell r="CJ53">
            <v>42231</v>
          </cell>
          <cell r="CK53" t="str">
            <v>50</v>
          </cell>
          <cell r="CL53" t="str">
            <v>52</v>
          </cell>
          <cell r="CM53" t="str">
            <v>60</v>
          </cell>
          <cell r="CN53">
            <v>14</v>
          </cell>
          <cell r="CO53">
            <v>42216</v>
          </cell>
          <cell r="CP53">
            <v>42233</v>
          </cell>
          <cell r="CQ53" t="str">
            <v>M4: solar + DG + battery</v>
          </cell>
          <cell r="CR53">
            <v>0</v>
          </cell>
          <cell r="CS53">
            <v>42217</v>
          </cell>
          <cell r="CT53">
            <v>42234</v>
          </cell>
          <cell r="CU53" t="str">
            <v>AY1038</v>
          </cell>
          <cell r="DH53">
            <v>0</v>
          </cell>
          <cell r="DI53">
            <v>42227</v>
          </cell>
          <cell r="DJ53">
            <v>42209</v>
          </cell>
          <cell r="DK53">
            <v>42224</v>
          </cell>
          <cell r="DL53">
            <v>42242</v>
          </cell>
          <cell r="DM53">
            <v>42228</v>
          </cell>
          <cell r="DO53">
            <v>0</v>
          </cell>
          <cell r="DP53">
            <v>42227</v>
          </cell>
          <cell r="DQ53">
            <v>42209</v>
          </cell>
          <cell r="DT53">
            <v>0</v>
          </cell>
          <cell r="DU53">
            <v>42242</v>
          </cell>
          <cell r="DW53">
            <v>0</v>
          </cell>
          <cell r="DY53">
            <v>42228</v>
          </cell>
          <cell r="DZ53">
            <v>42247</v>
          </cell>
          <cell r="EA53" t="str">
            <v>IENG</v>
          </cell>
          <cell r="EJ53">
            <v>0</v>
          </cell>
          <cell r="EK53">
            <v>42250</v>
          </cell>
          <cell r="EM53">
            <v>42251</v>
          </cell>
          <cell r="EQ53">
            <v>42263</v>
          </cell>
          <cell r="EW53">
            <v>0</v>
          </cell>
          <cell r="EX53">
            <v>42293</v>
          </cell>
          <cell r="EZ53">
            <v>42273</v>
          </cell>
          <cell r="FB53">
            <v>42275</v>
          </cell>
          <cell r="FU53">
            <v>42277</v>
          </cell>
          <cell r="FW53">
            <v>42277</v>
          </cell>
          <cell r="GJ53">
            <v>0</v>
          </cell>
          <cell r="GN53" t="str">
            <v>ERICSSON</v>
          </cell>
          <cell r="GS53" t="str">
            <v>4/4/4</v>
          </cell>
          <cell r="GU53" t="str">
            <v xml:space="preserve">		</v>
          </cell>
          <cell r="HD53">
            <v>1</v>
          </cell>
        </row>
        <row r="54">
          <cell r="A54" t="str">
            <v>AY1039</v>
          </cell>
          <cell r="B54" t="str">
            <v>ACAY_0102</v>
          </cell>
          <cell r="C54" t="str">
            <v>Apollo</v>
          </cell>
          <cell r="D54" t="str">
            <v>Emilio Ruiz</v>
          </cell>
          <cell r="F54" t="str">
            <v>Phyo Wai Maung</v>
          </cell>
          <cell r="G54" t="str">
            <v>Thiha Kyaw</v>
          </cell>
          <cell r="H54" t="str">
            <v>YELLOW</v>
          </cell>
          <cell r="I54" t="str">
            <v>South</v>
          </cell>
          <cell r="J54" t="str">
            <v>95.500833</v>
          </cell>
          <cell r="K54" t="str">
            <v>16.452239</v>
          </cell>
          <cell r="L54" t="str">
            <v>Rural</v>
          </cell>
          <cell r="M54" t="str">
            <v>Ayeyarwady</v>
          </cell>
          <cell r="N54" t="str">
            <v>Mawlamyinegyun</v>
          </cell>
          <cell r="O54" t="str">
            <v>Mawlamyinegyun</v>
          </cell>
          <cell r="P54" t="str">
            <v>Pathein</v>
          </cell>
          <cell r="Q54" t="str">
            <v>14</v>
          </cell>
          <cell r="R54" t="str">
            <v>Mawlamyinegyun</v>
          </cell>
          <cell r="S54" t="str">
            <v>314</v>
          </cell>
          <cell r="T54" t="str">
            <v>GSM+UMTS</v>
          </cell>
          <cell r="W54" t="str">
            <v>Ph2-Priority</v>
          </cell>
          <cell r="X54" t="str">
            <v>55</v>
          </cell>
          <cell r="Y54" t="str">
            <v>57</v>
          </cell>
          <cell r="Z54" t="str">
            <v>GBT</v>
          </cell>
          <cell r="AA54" t="str">
            <v>500</v>
          </cell>
          <cell r="AB54" t="str">
            <v>Access</v>
          </cell>
          <cell r="AC54" t="str">
            <v>Class C</v>
          </cell>
          <cell r="BE54" t="str">
            <v>Route 7 Bago - Pyawbwe</v>
          </cell>
          <cell r="BH54" t="str">
            <v>IENG</v>
          </cell>
          <cell r="BJ54">
            <v>42145</v>
          </cell>
          <cell r="BK54">
            <v>42128</v>
          </cell>
          <cell r="BL54">
            <v>42150</v>
          </cell>
          <cell r="BM54">
            <v>42135</v>
          </cell>
          <cell r="BT54">
            <v>17</v>
          </cell>
          <cell r="BU54">
            <v>42217</v>
          </cell>
          <cell r="BV54">
            <v>42145</v>
          </cell>
          <cell r="BW54" t="str">
            <v>95.49816</v>
          </cell>
          <cell r="BX54" t="str">
            <v>16.45226</v>
          </cell>
          <cell r="BY54" t="str">
            <v>C1</v>
          </cell>
          <cell r="BZ54" t="str">
            <v>Quarter 1201,KYAW ZAN VILLAGE, MAW LA MYAING ISLAND T/S, AYEYARWADY</v>
          </cell>
          <cell r="CA54" t="str">
            <v>U MYAT MOE;NO(171),KYAW ZAN VILLAGE, MAW LA MYAING ISLAND T/S, AYEYARWADY;09422511762, 09422511765</v>
          </cell>
          <cell r="CB54" t="str">
            <v>21May15:C1 SAR Sub.</v>
          </cell>
          <cell r="CC54" t="str">
            <v>Farm Land</v>
          </cell>
          <cell r="CE54">
            <v>1</v>
          </cell>
          <cell r="CF54">
            <v>42218</v>
          </cell>
          <cell r="CG54">
            <v>42146</v>
          </cell>
          <cell r="CH54">
            <v>42220</v>
          </cell>
          <cell r="CJ54">
            <v>42148</v>
          </cell>
          <cell r="CK54" t="str">
            <v>53</v>
          </cell>
          <cell r="CL54" t="str">
            <v>55</v>
          </cell>
          <cell r="CM54" t="str">
            <v>60</v>
          </cell>
          <cell r="CN54">
            <v>4</v>
          </cell>
          <cell r="CO54">
            <v>42223</v>
          </cell>
          <cell r="CP54">
            <v>42150</v>
          </cell>
          <cell r="CQ54" t="str">
            <v>M4: solar + DG + battery</v>
          </cell>
          <cell r="CR54">
            <v>1</v>
          </cell>
          <cell r="CS54">
            <v>42224</v>
          </cell>
          <cell r="CT54">
            <v>42151</v>
          </cell>
          <cell r="CU54" t="str">
            <v>AY1039</v>
          </cell>
          <cell r="DH54">
            <v>15</v>
          </cell>
          <cell r="DI54">
            <v>42234</v>
          </cell>
          <cell r="DJ54">
            <v>42166</v>
          </cell>
          <cell r="DK54">
            <v>42231</v>
          </cell>
          <cell r="DL54">
            <v>42166</v>
          </cell>
          <cell r="DM54">
            <v>42235</v>
          </cell>
          <cell r="DN54">
            <v>42179</v>
          </cell>
          <cell r="DO54">
            <v>0</v>
          </cell>
          <cell r="DP54">
            <v>42234</v>
          </cell>
          <cell r="DQ54">
            <v>42166</v>
          </cell>
          <cell r="DT54">
            <v>67</v>
          </cell>
          <cell r="DU54">
            <v>42249</v>
          </cell>
          <cell r="DW54">
            <v>0</v>
          </cell>
          <cell r="DY54">
            <v>42235</v>
          </cell>
          <cell r="DZ54">
            <v>42180</v>
          </cell>
          <cell r="EA54" t="str">
            <v>IENG</v>
          </cell>
          <cell r="EB54">
            <v>42218</v>
          </cell>
          <cell r="ED54" t="str">
            <v xml:space="preserve">24Aug15 :YeHtet.Zaw: 6-8-2015;Wait tower equip.19-8-2015;wait tower equip.footing is done.equip pad is done.
</v>
          </cell>
          <cell r="EE54" t="str">
            <v xml:space="preserve">10 Aug 15:Flood affected_Hold-No access; 2-Aug-15: Materials pull out from WH today,
Due to no easy access materials has to carried by head load, arrangement in progress
								</v>
          </cell>
          <cell r="EJ54">
            <v>22</v>
          </cell>
          <cell r="EK54">
            <v>42257</v>
          </cell>
          <cell r="EL54">
            <v>42202</v>
          </cell>
          <cell r="EM54">
            <v>42258</v>
          </cell>
          <cell r="EN54">
            <v>42205</v>
          </cell>
          <cell r="EQ54">
            <v>42270</v>
          </cell>
          <cell r="ER54">
            <v>42216</v>
          </cell>
          <cell r="ES54">
            <v>42237</v>
          </cell>
          <cell r="ET54">
            <v>42216</v>
          </cell>
          <cell r="EU54">
            <v>42216</v>
          </cell>
          <cell r="EW54">
            <v>53</v>
          </cell>
          <cell r="EX54">
            <v>42293</v>
          </cell>
          <cell r="EZ54">
            <v>42280</v>
          </cell>
          <cell r="FA54">
            <v>42224</v>
          </cell>
          <cell r="FB54">
            <v>42282</v>
          </cell>
          <cell r="FC54">
            <v>42226</v>
          </cell>
          <cell r="FS54">
            <v>42192</v>
          </cell>
          <cell r="FT54" t="str">
            <v>Off Grid</v>
          </cell>
          <cell r="FU54">
            <v>42284</v>
          </cell>
          <cell r="FW54">
            <v>42284</v>
          </cell>
          <cell r="FX54">
            <v>42229</v>
          </cell>
          <cell r="FY54" t="str">
            <v>UT</v>
          </cell>
          <cell r="FZ54">
            <v>42207</v>
          </cell>
          <cell r="GA54">
            <v>42208</v>
          </cell>
          <cell r="GB54">
            <v>42212</v>
          </cell>
          <cell r="GC54">
            <v>42220</v>
          </cell>
          <cell r="GD54">
            <v>42229</v>
          </cell>
          <cell r="GE54">
            <v>42212</v>
          </cell>
          <cell r="GF54">
            <v>42230</v>
          </cell>
          <cell r="GG54">
            <v>42230</v>
          </cell>
          <cell r="GH54">
            <v>42230</v>
          </cell>
          <cell r="GI54">
            <v>42216</v>
          </cell>
          <cell r="GJ54" t="str">
            <v>36-2015</v>
          </cell>
          <cell r="GK54">
            <v>42231</v>
          </cell>
          <cell r="GL54" t="str">
            <v>Need to Prepare SMR</v>
          </cell>
          <cell r="GN54" t="str">
            <v xml:space="preserve">ERICSSON </v>
          </cell>
          <cell r="GQ54" t="str">
            <v xml:space="preserve">SMR Pending; </v>
          </cell>
          <cell r="GS54" t="str">
            <v>4/4/4</v>
          </cell>
          <cell r="GU54" t="str">
            <v xml:space="preserve">		</v>
          </cell>
          <cell r="HD54">
            <v>1</v>
          </cell>
        </row>
        <row r="55">
          <cell r="A55" t="str">
            <v>AY1042</v>
          </cell>
          <cell r="B55" t="str">
            <v>ACAY_0103</v>
          </cell>
          <cell r="C55" t="str">
            <v>Apollo</v>
          </cell>
          <cell r="D55" t="str">
            <v>Emilio Ruiz</v>
          </cell>
          <cell r="F55" t="str">
            <v>Phyo Wai Maung</v>
          </cell>
          <cell r="G55" t="str">
            <v>Thiha Kyaw</v>
          </cell>
          <cell r="H55" t="str">
            <v>RED</v>
          </cell>
          <cell r="I55" t="str">
            <v>South</v>
          </cell>
          <cell r="J55" t="str">
            <v>95.8931</v>
          </cell>
          <cell r="K55" t="str">
            <v>16.3518</v>
          </cell>
          <cell r="L55" t="str">
            <v>Rural</v>
          </cell>
          <cell r="M55" t="str">
            <v>Ayeyarwady</v>
          </cell>
          <cell r="N55" t="str">
            <v>Dedaye</v>
          </cell>
          <cell r="O55" t="str">
            <v>Dedaye</v>
          </cell>
          <cell r="P55" t="str">
            <v>Hinthada</v>
          </cell>
          <cell r="Q55" t="str">
            <v>13</v>
          </cell>
          <cell r="R55" t="str">
            <v>Dedaye</v>
          </cell>
          <cell r="S55" t="str">
            <v>322</v>
          </cell>
          <cell r="T55" t="str">
            <v>GSM+UMTS</v>
          </cell>
          <cell r="W55" t="str">
            <v>Ph2-Priority</v>
          </cell>
          <cell r="X55" t="str">
            <v>45</v>
          </cell>
          <cell r="Y55" t="str">
            <v>47</v>
          </cell>
          <cell r="Z55" t="str">
            <v>GBT</v>
          </cell>
          <cell r="AA55" t="str">
            <v>500</v>
          </cell>
          <cell r="AB55" t="str">
            <v>Access</v>
          </cell>
          <cell r="AC55" t="str">
            <v>Class C</v>
          </cell>
          <cell r="BE55" t="str">
            <v>Route 7 Bago - Pyawbwe</v>
          </cell>
          <cell r="BH55" t="str">
            <v>IENG</v>
          </cell>
          <cell r="BJ55">
            <v>42168</v>
          </cell>
          <cell r="BK55">
            <v>42140</v>
          </cell>
          <cell r="BL55">
            <v>42173</v>
          </cell>
          <cell r="BM55">
            <v>42145</v>
          </cell>
          <cell r="BT55">
            <v>93</v>
          </cell>
          <cell r="BU55">
            <v>42255</v>
          </cell>
          <cell r="BV55">
            <v>42249</v>
          </cell>
          <cell r="BW55" t="str">
            <v>95.89179</v>
          </cell>
          <cell r="BX55" t="str">
            <v>16.34974</v>
          </cell>
          <cell r="BY55" t="str">
            <v>C1</v>
          </cell>
          <cell r="BZ55" t="str">
            <v>No (3/9), Tha Khut Kone Quarter, Pyuntasa Township,Nyaung Lay Pin, Bago.</v>
          </cell>
          <cell r="CA55" t="str">
            <v>U Khin Zaw;09-250301975</v>
          </cell>
          <cell r="CB55" t="str">
            <v>10Jun15: C1 SAR Sub</v>
          </cell>
          <cell r="CC55" t="str">
            <v>Garden Land</v>
          </cell>
          <cell r="CE55">
            <v>0</v>
          </cell>
          <cell r="CF55">
            <v>42256</v>
          </cell>
          <cell r="CG55">
            <v>42250</v>
          </cell>
          <cell r="CH55">
            <v>42258</v>
          </cell>
          <cell r="CJ55">
            <v>42196</v>
          </cell>
          <cell r="CK55" t="str">
            <v>35</v>
          </cell>
          <cell r="CL55" t="str">
            <v>37</v>
          </cell>
          <cell r="CM55" t="str">
            <v>35</v>
          </cell>
          <cell r="CN55">
            <v>0</v>
          </cell>
          <cell r="CO55">
            <v>42261</v>
          </cell>
          <cell r="CP55">
            <v>42198</v>
          </cell>
          <cell r="CQ55" t="str">
            <v>M4: solar + DG + battery</v>
          </cell>
          <cell r="CR55">
            <v>0</v>
          </cell>
          <cell r="CS55">
            <v>42262</v>
          </cell>
          <cell r="CT55">
            <v>42200</v>
          </cell>
          <cell r="CU55" t="str">
            <v>AY1042</v>
          </cell>
          <cell r="DH55">
            <v>0</v>
          </cell>
          <cell r="DI55">
            <v>42272</v>
          </cell>
          <cell r="DJ55">
            <v>42205</v>
          </cell>
          <cell r="DK55">
            <v>42269</v>
          </cell>
          <cell r="DL55">
            <v>42209</v>
          </cell>
          <cell r="DM55">
            <v>42273</v>
          </cell>
          <cell r="DO55">
            <v>0</v>
          </cell>
          <cell r="DP55">
            <v>42272</v>
          </cell>
          <cell r="DQ55">
            <v>42205</v>
          </cell>
          <cell r="DT55">
            <v>0</v>
          </cell>
          <cell r="DU55">
            <v>42287</v>
          </cell>
          <cell r="DW55">
            <v>0</v>
          </cell>
          <cell r="DY55">
            <v>42273</v>
          </cell>
          <cell r="DZ55">
            <v>42207</v>
          </cell>
          <cell r="EA55" t="str">
            <v>IENG</v>
          </cell>
          <cell r="EB55">
            <v>42216</v>
          </cell>
          <cell r="EE55" t="str">
            <v xml:space="preserve">10 Aug 15:Flood affected_Hold-No access; 31-Jul-15:  Excaveted Pit &amp; Area is fully flooded.								</v>
          </cell>
          <cell r="EJ55">
            <v>0</v>
          </cell>
          <cell r="EK55">
            <v>42290</v>
          </cell>
          <cell r="EM55">
            <v>42291</v>
          </cell>
          <cell r="EQ55">
            <v>42300</v>
          </cell>
          <cell r="EW55">
            <v>0</v>
          </cell>
          <cell r="EX55">
            <v>42256</v>
          </cell>
          <cell r="EZ55">
            <v>42310</v>
          </cell>
          <cell r="FB55">
            <v>42312</v>
          </cell>
          <cell r="FU55">
            <v>42314</v>
          </cell>
          <cell r="FW55">
            <v>42314</v>
          </cell>
          <cell r="GJ55">
            <v>0</v>
          </cell>
          <cell r="GN55" t="str">
            <v>ERICSSON</v>
          </cell>
          <cell r="GS55" t="str">
            <v>4/4/4</v>
          </cell>
          <cell r="GU55" t="str">
            <v xml:space="preserve">		</v>
          </cell>
          <cell r="HD55">
            <v>1</v>
          </cell>
        </row>
        <row r="56">
          <cell r="A56" t="str">
            <v>AY1046</v>
          </cell>
          <cell r="B56" t="str">
            <v>ACAY_0104</v>
          </cell>
          <cell r="C56" t="str">
            <v>Apollo</v>
          </cell>
          <cell r="D56" t="str">
            <v>Emilio Ruiz</v>
          </cell>
          <cell r="F56" t="str">
            <v>Phyo Wai Maung</v>
          </cell>
          <cell r="G56" t="str">
            <v>Thiha Kyaw</v>
          </cell>
          <cell r="H56" t="str">
            <v>RED</v>
          </cell>
          <cell r="I56" t="str">
            <v>South</v>
          </cell>
          <cell r="J56" t="str">
            <v>95.174585</v>
          </cell>
          <cell r="K56" t="str">
            <v>17.725131</v>
          </cell>
          <cell r="L56" t="str">
            <v>Rural</v>
          </cell>
          <cell r="M56" t="str">
            <v>Ayeyarwady</v>
          </cell>
          <cell r="N56" t="str">
            <v>Ingapu</v>
          </cell>
          <cell r="O56" t="str">
            <v>Ingapu</v>
          </cell>
          <cell r="P56" t="str">
            <v>Hinthada</v>
          </cell>
          <cell r="Q56" t="str">
            <v>13</v>
          </cell>
          <cell r="R56" t="str">
            <v>Ingapu</v>
          </cell>
          <cell r="S56" t="str">
            <v>309</v>
          </cell>
          <cell r="T56" t="str">
            <v>GSM+UMTS</v>
          </cell>
          <cell r="W56" t="str">
            <v>Ph2-Priority</v>
          </cell>
          <cell r="X56" t="str">
            <v>45</v>
          </cell>
          <cell r="Y56" t="str">
            <v>47</v>
          </cell>
          <cell r="Z56" t="str">
            <v>GBT</v>
          </cell>
          <cell r="AA56" t="str">
            <v>500</v>
          </cell>
          <cell r="AB56" t="str">
            <v>Access</v>
          </cell>
          <cell r="AC56" t="str">
            <v>Class C</v>
          </cell>
          <cell r="BE56" t="str">
            <v>Route 5 Yangon - Pathein</v>
          </cell>
          <cell r="BH56" t="str">
            <v>IENG</v>
          </cell>
          <cell r="BJ56">
            <v>42145</v>
          </cell>
          <cell r="BK56">
            <v>42120</v>
          </cell>
          <cell r="BL56">
            <v>42150</v>
          </cell>
          <cell r="BM56">
            <v>42133</v>
          </cell>
          <cell r="BT56">
            <v>113</v>
          </cell>
          <cell r="BU56">
            <v>42125</v>
          </cell>
          <cell r="BV56">
            <v>42143</v>
          </cell>
          <cell r="BW56" t="str">
            <v>95.44101</v>
          </cell>
          <cell r="BX56" t="str">
            <v>16.68048</v>
          </cell>
          <cell r="BY56" t="str">
            <v>Reject</v>
          </cell>
          <cell r="BZ56" t="str">
            <v>NO (56), (1) QUARTER, SHWE TAUNG MHAW , AYEYARWADY Division.</v>
          </cell>
          <cell r="CA56" t="str">
            <v>U KHIN ZAW;NO(567), SHWE TAUNG MHAW MARKET (B) SECTION,NO(1) QUARTER, SHWE TAUNG MHAW DISTINCT, MA OU PIN T/S,09794493938, 09403710362</v>
          </cell>
          <cell r="CB56" t="str">
            <v>13 Aug 15: C1 deactivate because of  Paddy land thus rejected by Legal. JV done; 22May 15: C1 TSSR app;21 May 15: C1 TSSR sub;14 May 15 : C1 SAR app;13May15: C1 SAR Sub</v>
          </cell>
          <cell r="CC56" t="str">
            <v>Garden Land</v>
          </cell>
          <cell r="CE56">
            <v>0</v>
          </cell>
          <cell r="CF56">
            <v>42126</v>
          </cell>
          <cell r="CG56">
            <v>42144</v>
          </cell>
          <cell r="CH56">
            <v>42128</v>
          </cell>
          <cell r="CJ56">
            <v>42148</v>
          </cell>
          <cell r="CK56" t="str">
            <v>45</v>
          </cell>
          <cell r="CL56" t="str">
            <v>47</v>
          </cell>
          <cell r="CM56" t="str">
            <v>50</v>
          </cell>
          <cell r="CN56">
            <v>0</v>
          </cell>
          <cell r="CO56">
            <v>42131</v>
          </cell>
          <cell r="CP56">
            <v>42150</v>
          </cell>
          <cell r="CQ56" t="str">
            <v>M4: solar + DG + battery</v>
          </cell>
          <cell r="CR56">
            <v>0</v>
          </cell>
          <cell r="CS56">
            <v>42132</v>
          </cell>
          <cell r="CT56">
            <v>42151</v>
          </cell>
          <cell r="CU56" t="str">
            <v>AY1046</v>
          </cell>
          <cell r="DH56">
            <v>0</v>
          </cell>
          <cell r="DI56">
            <v>42173</v>
          </cell>
          <cell r="DJ56">
            <v>42165</v>
          </cell>
          <cell r="DK56">
            <v>42170</v>
          </cell>
          <cell r="DL56">
            <v>42163</v>
          </cell>
          <cell r="DM56">
            <v>42174</v>
          </cell>
          <cell r="DN56">
            <v>42164</v>
          </cell>
          <cell r="DO56">
            <v>0</v>
          </cell>
          <cell r="DP56">
            <v>42173</v>
          </cell>
          <cell r="DQ56">
            <v>42165</v>
          </cell>
          <cell r="DT56">
            <v>0</v>
          </cell>
          <cell r="DU56">
            <v>42188</v>
          </cell>
          <cell r="DW56">
            <v>0</v>
          </cell>
          <cell r="DY56">
            <v>42174</v>
          </cell>
          <cell r="DZ56">
            <v>42172</v>
          </cell>
          <cell r="EA56" t="str">
            <v>IENG</v>
          </cell>
          <cell r="EI56" t="str">
            <v>M5: grid power + DG + battery      </v>
          </cell>
          <cell r="EJ56">
            <v>0</v>
          </cell>
          <cell r="EK56">
            <v>42191</v>
          </cell>
          <cell r="EL56">
            <v>42191</v>
          </cell>
          <cell r="EM56">
            <v>42192</v>
          </cell>
          <cell r="EN56">
            <v>42200</v>
          </cell>
          <cell r="EQ56">
            <v>42201</v>
          </cell>
          <cell r="ER56">
            <v>42202</v>
          </cell>
          <cell r="ES56">
            <v>42201</v>
          </cell>
          <cell r="ET56">
            <v>42202</v>
          </cell>
          <cell r="EU56">
            <v>42202</v>
          </cell>
          <cell r="EW56">
            <v>0</v>
          </cell>
          <cell r="EX56">
            <v>42215</v>
          </cell>
          <cell r="EZ56">
            <v>42211</v>
          </cell>
          <cell r="FA56">
            <v>42205</v>
          </cell>
          <cell r="FB56">
            <v>42213</v>
          </cell>
          <cell r="FC56">
            <v>42205</v>
          </cell>
          <cell r="FE56">
            <v>42193</v>
          </cell>
          <cell r="FU56">
            <v>42215</v>
          </cell>
          <cell r="FW56">
            <v>42215</v>
          </cell>
          <cell r="FX56">
            <v>42205</v>
          </cell>
          <cell r="FY56" t="str">
            <v>EM</v>
          </cell>
          <cell r="FZ56">
            <v>42192</v>
          </cell>
          <cell r="GA56">
            <v>42194</v>
          </cell>
          <cell r="GB56">
            <v>42196</v>
          </cell>
          <cell r="GC56">
            <v>42205</v>
          </cell>
          <cell r="GD56">
            <v>42205</v>
          </cell>
          <cell r="GE56">
            <v>42196</v>
          </cell>
          <cell r="GF56">
            <v>42196</v>
          </cell>
          <cell r="GG56">
            <v>42206</v>
          </cell>
          <cell r="GH56">
            <v>42206</v>
          </cell>
          <cell r="GI56">
            <v>42216</v>
          </cell>
          <cell r="GJ56">
            <v>0</v>
          </cell>
          <cell r="GK56">
            <v>42206</v>
          </cell>
          <cell r="GN56" t="str">
            <v xml:space="preserve">ERICSSON </v>
          </cell>
          <cell r="GO56">
            <v>42158</v>
          </cell>
          <cell r="GS56" t="str">
            <v>4/4/4</v>
          </cell>
          <cell r="GT56" t="str">
            <v>Dual Carrier</v>
          </cell>
          <cell r="GU56" t="str">
            <v xml:space="preserve">		</v>
          </cell>
          <cell r="HD56">
            <v>1</v>
          </cell>
        </row>
        <row r="57">
          <cell r="A57" t="str">
            <v>AY1047</v>
          </cell>
          <cell r="B57" t="str">
            <v>ACAY_0105</v>
          </cell>
          <cell r="C57" t="str">
            <v>Apollo</v>
          </cell>
          <cell r="D57" t="str">
            <v>Emilio Ruiz</v>
          </cell>
          <cell r="F57" t="str">
            <v>Phyo Wai Maung</v>
          </cell>
          <cell r="G57" t="str">
            <v>Thiha Kyaw</v>
          </cell>
          <cell r="H57" t="str">
            <v>RED</v>
          </cell>
          <cell r="I57" t="str">
            <v>South</v>
          </cell>
          <cell r="J57" t="str">
            <v>95.178854</v>
          </cell>
          <cell r="K57" t="str">
            <v>17.538989</v>
          </cell>
          <cell r="L57" t="str">
            <v>Rural</v>
          </cell>
          <cell r="M57" t="str">
            <v>Ayeyarwady</v>
          </cell>
          <cell r="N57" t="str">
            <v>Lemyethna</v>
          </cell>
          <cell r="O57" t="str">
            <v>Lemyethna</v>
          </cell>
          <cell r="P57" t="str">
            <v>Hinthada</v>
          </cell>
          <cell r="Q57" t="str">
            <v>13</v>
          </cell>
          <cell r="R57" t="str">
            <v>Lemyethna</v>
          </cell>
          <cell r="S57" t="str">
            <v>306</v>
          </cell>
          <cell r="T57" t="str">
            <v>GSM+UMTS</v>
          </cell>
          <cell r="W57" t="str">
            <v>Ph2-Priority</v>
          </cell>
          <cell r="X57" t="str">
            <v>45</v>
          </cell>
          <cell r="Y57" t="str">
            <v>47</v>
          </cell>
          <cell r="Z57" t="str">
            <v>GBT</v>
          </cell>
          <cell r="AA57" t="str">
            <v>500</v>
          </cell>
          <cell r="AB57" t="str">
            <v>Access</v>
          </cell>
          <cell r="AC57" t="str">
            <v>Class C</v>
          </cell>
          <cell r="BE57" t="str">
            <v>Route 5 Yangon - Pathein</v>
          </cell>
          <cell r="BH57" t="str">
            <v>IENG</v>
          </cell>
          <cell r="BJ57">
            <v>42168</v>
          </cell>
          <cell r="BK57">
            <v>42133</v>
          </cell>
          <cell r="BL57">
            <v>42173</v>
          </cell>
          <cell r="BM57">
            <v>42138</v>
          </cell>
          <cell r="BT57">
            <v>100</v>
          </cell>
          <cell r="BU57">
            <v>42255</v>
          </cell>
          <cell r="BV57">
            <v>42243</v>
          </cell>
          <cell r="BW57" t="str">
            <v>95.18062</v>
          </cell>
          <cell r="BX57" t="str">
            <v>17.53896</v>
          </cell>
          <cell r="BY57" t="str">
            <v>C4</v>
          </cell>
          <cell r="BZ57" t="str">
            <v>Field No(967-A),U paing(73),Yay Twin Yoe Village,Kyu Taw Group,Kyone Pyaw township ,Ayeyarwaddy.</v>
          </cell>
          <cell r="CA57" t="str">
            <v>U Kyi Myint;Field No(967-A),U paing(73),Yay Twin Yoe Village,Kyu Taw Group,09-32603324,09-261182198.</v>
          </cell>
          <cell r="CB57" t="str">
            <v>27 Aug 15 :C4 SAR sub(C1: Flooded, C2,C3: Paddy Land )</v>
          </cell>
          <cell r="CC57" t="str">
            <v>Garden Land</v>
          </cell>
          <cell r="CE57">
            <v>0</v>
          </cell>
          <cell r="CF57">
            <v>42256</v>
          </cell>
          <cell r="CG57">
            <v>42244</v>
          </cell>
          <cell r="CH57">
            <v>42258</v>
          </cell>
          <cell r="CJ57">
            <v>42142</v>
          </cell>
          <cell r="CK57">
            <v>50</v>
          </cell>
          <cell r="CL57">
            <v>52</v>
          </cell>
          <cell r="CM57">
            <v>50</v>
          </cell>
          <cell r="CN57">
            <v>0</v>
          </cell>
          <cell r="CO57">
            <v>42261</v>
          </cell>
          <cell r="CP57">
            <v>42145</v>
          </cell>
          <cell r="CQ57" t="str">
            <v>M1: grid power + battery</v>
          </cell>
          <cell r="CR57">
            <v>0</v>
          </cell>
          <cell r="CS57">
            <v>42262</v>
          </cell>
          <cell r="CT57">
            <v>42146</v>
          </cell>
          <cell r="CU57" t="str">
            <v>AY1047</v>
          </cell>
          <cell r="DH57">
            <v>0</v>
          </cell>
          <cell r="DI57">
            <v>42272</v>
          </cell>
          <cell r="DK57">
            <v>42269</v>
          </cell>
          <cell r="DM57">
            <v>42273</v>
          </cell>
          <cell r="DO57">
            <v>0</v>
          </cell>
          <cell r="DP57">
            <v>42272</v>
          </cell>
          <cell r="DT57">
            <v>0</v>
          </cell>
          <cell r="DU57">
            <v>42287</v>
          </cell>
          <cell r="DW57">
            <v>0</v>
          </cell>
          <cell r="DY57">
            <v>42273</v>
          </cell>
          <cell r="EA57" t="str">
            <v>IENG</v>
          </cell>
          <cell r="EJ57">
            <v>0</v>
          </cell>
          <cell r="EK57">
            <v>42290</v>
          </cell>
          <cell r="EM57">
            <v>42291</v>
          </cell>
          <cell r="EQ57">
            <v>42300</v>
          </cell>
          <cell r="EW57">
            <v>0</v>
          </cell>
          <cell r="EX57">
            <v>42256</v>
          </cell>
          <cell r="EZ57">
            <v>42310</v>
          </cell>
          <cell r="FB57">
            <v>42312</v>
          </cell>
          <cell r="FU57">
            <v>42314</v>
          </cell>
          <cell r="FW57">
            <v>42314</v>
          </cell>
          <cell r="GJ57">
            <v>0</v>
          </cell>
          <cell r="GN57" t="str">
            <v>ERICSSON</v>
          </cell>
          <cell r="GS57" t="str">
            <v>4/4/4</v>
          </cell>
          <cell r="GU57" t="str">
            <v xml:space="preserve">		</v>
          </cell>
          <cell r="HD57">
            <v>1</v>
          </cell>
        </row>
        <row r="58">
          <cell r="A58" t="str">
            <v>AY1048</v>
          </cell>
          <cell r="B58" t="str">
            <v>ACAY_0106</v>
          </cell>
          <cell r="C58" t="str">
            <v>Apollo</v>
          </cell>
          <cell r="D58" t="str">
            <v>Emilio Ruiz</v>
          </cell>
          <cell r="F58" t="str">
            <v>Phyo Wai Maung</v>
          </cell>
          <cell r="G58" t="str">
            <v>Thiha Kyaw</v>
          </cell>
          <cell r="H58" t="str">
            <v>RED</v>
          </cell>
          <cell r="I58" t="str">
            <v>South</v>
          </cell>
          <cell r="J58" t="str">
            <v>95.2849</v>
          </cell>
          <cell r="K58" t="str">
            <v>17.4457</v>
          </cell>
          <cell r="L58" t="str">
            <v>Rural</v>
          </cell>
          <cell r="M58" t="str">
            <v>Ayeyarwady</v>
          </cell>
          <cell r="N58" t="str">
            <v>Kyonpyaw</v>
          </cell>
          <cell r="O58" t="str">
            <v>Kyonpyaw</v>
          </cell>
          <cell r="P58" t="str">
            <v>Hinthada</v>
          </cell>
          <cell r="Q58" t="str">
            <v>13</v>
          </cell>
          <cell r="R58" t="str">
            <v>Kyonpyaw</v>
          </cell>
          <cell r="S58" t="str">
            <v>301</v>
          </cell>
          <cell r="T58" t="str">
            <v>GSM+UMTS</v>
          </cell>
          <cell r="W58" t="str">
            <v>Ph2-Priority</v>
          </cell>
          <cell r="X58" t="str">
            <v>45</v>
          </cell>
          <cell r="Y58" t="str">
            <v>47</v>
          </cell>
          <cell r="Z58" t="str">
            <v>GBT</v>
          </cell>
          <cell r="AA58" t="str">
            <v>500</v>
          </cell>
          <cell r="AB58" t="str">
            <v>Access</v>
          </cell>
          <cell r="AC58" t="str">
            <v>Class C</v>
          </cell>
          <cell r="BH58" t="str">
            <v>IENG</v>
          </cell>
          <cell r="BJ58">
            <v>42145</v>
          </cell>
          <cell r="BK58">
            <v>42128</v>
          </cell>
          <cell r="BL58">
            <v>42150</v>
          </cell>
          <cell r="BM58">
            <v>42128</v>
          </cell>
          <cell r="BT58">
            <v>105</v>
          </cell>
          <cell r="BU58">
            <v>42173</v>
          </cell>
          <cell r="BV58">
            <v>42138</v>
          </cell>
          <cell r="BW58" t="str">
            <v>95.28435</v>
          </cell>
          <cell r="BX58" t="str">
            <v>17.44938</v>
          </cell>
          <cell r="BY58" t="str">
            <v>Reject</v>
          </cell>
          <cell r="BZ58" t="str">
            <v>Field No(967-A),U paing(73),Yay Twin Yoe Village,Kyu Taw Group,Kyone Pyaw township ,Ayeyarwaddy.</v>
          </cell>
          <cell r="CA58" t="str">
            <v>U Kyi Myint;Field No(967-A),U paing(73),Yay Twin Yoe Village,Kyu Taw Group,09-32603324,09-261182198.</v>
          </cell>
          <cell r="CB58" t="str">
            <v>13 Aug 15: C1 deactivate because of Paddy land thus rejected by Legal. JV done;22 May 15 : C1 TSSR app;21 May 15: C1 TSSR sub;18 May15 : C1 SAR  approved as an option 1(TND approved(TND approved with 50m MW antenna height  and need to do LOS survey).); 14May15: C1 SAR Sub.</v>
          </cell>
          <cell r="CC58" t="str">
            <v>Farm Land</v>
          </cell>
          <cell r="CE58">
            <v>0</v>
          </cell>
          <cell r="CF58">
            <v>42174</v>
          </cell>
          <cell r="CG58">
            <v>42142</v>
          </cell>
          <cell r="CH58">
            <v>42176</v>
          </cell>
          <cell r="CJ58">
            <v>42142</v>
          </cell>
          <cell r="CK58" t="str">
            <v>50</v>
          </cell>
          <cell r="CL58" t="str">
            <v>52</v>
          </cell>
          <cell r="CM58" t="str">
            <v>50</v>
          </cell>
          <cell r="CN58">
            <v>0</v>
          </cell>
          <cell r="CO58">
            <v>42179</v>
          </cell>
          <cell r="CP58">
            <v>42145</v>
          </cell>
          <cell r="CQ58" t="str">
            <v>M4: solar + DG + battery</v>
          </cell>
          <cell r="CR58">
            <v>0</v>
          </cell>
          <cell r="CS58">
            <v>42180</v>
          </cell>
          <cell r="CT58">
            <v>42146</v>
          </cell>
          <cell r="CU58" t="str">
            <v>AY1048</v>
          </cell>
          <cell r="DH58">
            <v>0</v>
          </cell>
          <cell r="DI58">
            <v>42190</v>
          </cell>
          <cell r="DK58">
            <v>42187</v>
          </cell>
          <cell r="DM58">
            <v>42191</v>
          </cell>
          <cell r="DO58">
            <v>0</v>
          </cell>
          <cell r="DP58">
            <v>42190</v>
          </cell>
          <cell r="DT58">
            <v>0</v>
          </cell>
          <cell r="DU58">
            <v>42205</v>
          </cell>
          <cell r="DW58">
            <v>0</v>
          </cell>
          <cell r="DY58">
            <v>42191</v>
          </cell>
          <cell r="EA58" t="str">
            <v>IENG</v>
          </cell>
          <cell r="EJ58">
            <v>0</v>
          </cell>
          <cell r="EK58">
            <v>42208</v>
          </cell>
          <cell r="EM58">
            <v>42209</v>
          </cell>
          <cell r="EQ58">
            <v>42218</v>
          </cell>
          <cell r="EW58">
            <v>0</v>
          </cell>
          <cell r="EX58">
            <v>42232</v>
          </cell>
          <cell r="EZ58">
            <v>42228</v>
          </cell>
          <cell r="FB58">
            <v>42230</v>
          </cell>
          <cell r="FU58">
            <v>42232</v>
          </cell>
          <cell r="FW58">
            <v>42232</v>
          </cell>
          <cell r="GJ58">
            <v>0</v>
          </cell>
          <cell r="GN58" t="str">
            <v>ERICSSON</v>
          </cell>
          <cell r="GS58" t="str">
            <v>4/4/4</v>
          </cell>
          <cell r="GU58" t="str">
            <v xml:space="preserve">		</v>
          </cell>
          <cell r="HD58">
            <v>1</v>
          </cell>
        </row>
        <row r="59">
          <cell r="A59" t="str">
            <v>AY1049</v>
          </cell>
          <cell r="B59" t="str">
            <v>ACAY_0107</v>
          </cell>
          <cell r="C59" t="str">
            <v>Apollo</v>
          </cell>
          <cell r="D59" t="str">
            <v>Emilio Ruiz</v>
          </cell>
          <cell r="F59" t="str">
            <v>Phyo Wai Maung</v>
          </cell>
          <cell r="G59" t="str">
            <v>Thiha Kyaw</v>
          </cell>
          <cell r="H59" t="str">
            <v>RED</v>
          </cell>
          <cell r="I59" t="str">
            <v>South</v>
          </cell>
          <cell r="J59" t="str">
            <v>95.3337</v>
          </cell>
          <cell r="K59" t="str">
            <v>17.3481</v>
          </cell>
          <cell r="L59" t="str">
            <v>Rural</v>
          </cell>
          <cell r="M59" t="str">
            <v>Ayeyarwady</v>
          </cell>
          <cell r="N59" t="str">
            <v>Kyonpyaw</v>
          </cell>
          <cell r="O59" t="str">
            <v>Kyonpyaw</v>
          </cell>
          <cell r="P59" t="str">
            <v>Hinthada</v>
          </cell>
          <cell r="Q59" t="str">
            <v>13</v>
          </cell>
          <cell r="R59" t="str">
            <v>Kyonpyaw</v>
          </cell>
          <cell r="S59" t="str">
            <v>301</v>
          </cell>
          <cell r="T59" t="str">
            <v>GSM+UMTS</v>
          </cell>
          <cell r="W59" t="str">
            <v>Ph2-Priority</v>
          </cell>
          <cell r="X59" t="str">
            <v>45</v>
          </cell>
          <cell r="Y59" t="str">
            <v>47</v>
          </cell>
          <cell r="Z59" t="str">
            <v>GBT</v>
          </cell>
          <cell r="AA59" t="str">
            <v>500</v>
          </cell>
          <cell r="AB59" t="str">
            <v>Access</v>
          </cell>
          <cell r="AC59" t="str">
            <v>Class C</v>
          </cell>
          <cell r="BH59" t="str">
            <v>IENG</v>
          </cell>
          <cell r="BJ59">
            <v>42145</v>
          </cell>
          <cell r="BK59">
            <v>42125</v>
          </cell>
          <cell r="BL59">
            <v>42150</v>
          </cell>
          <cell r="BM59">
            <v>42176</v>
          </cell>
          <cell r="BT59">
            <v>108</v>
          </cell>
          <cell r="BU59">
            <v>42215</v>
          </cell>
          <cell r="BV59">
            <v>42185</v>
          </cell>
          <cell r="BW59" t="str">
            <v>96.49914</v>
          </cell>
          <cell r="BX59" t="str">
            <v>18.88229</v>
          </cell>
          <cell r="BY59" t="str">
            <v>Reject</v>
          </cell>
          <cell r="BZ59" t="str">
            <v>No (59), Chaung Wa Village Group,Chaung Wa Village, Htantabin Township, Bago</v>
          </cell>
          <cell r="CA59" t="str">
            <v>Daw Ei Ei Nyein, 09-973694835</v>
          </cell>
          <cell r="CB59" t="str">
            <v>13 Aug 15: C1 deactivate because of  Paddy land thus rejected by Legal. JV done;19 May 15 : C1 SAR app;18May15: C1 SAR Sub</v>
          </cell>
          <cell r="CC59" t="str">
            <v>Residential</v>
          </cell>
          <cell r="CE59">
            <v>0</v>
          </cell>
          <cell r="CF59">
            <v>42216</v>
          </cell>
          <cell r="CG59">
            <v>42186</v>
          </cell>
          <cell r="CH59">
            <v>42218</v>
          </cell>
          <cell r="CJ59">
            <v>42192</v>
          </cell>
          <cell r="CK59" t="str">
            <v>45</v>
          </cell>
          <cell r="CL59" t="str">
            <v>47</v>
          </cell>
          <cell r="CM59" t="str">
            <v>45</v>
          </cell>
          <cell r="CN59">
            <v>0</v>
          </cell>
          <cell r="CO59">
            <v>42221</v>
          </cell>
          <cell r="CP59">
            <v>42194</v>
          </cell>
          <cell r="CQ59" t="str">
            <v>M1: grid power + battery</v>
          </cell>
          <cell r="CR59">
            <v>0</v>
          </cell>
          <cell r="CS59">
            <v>42222</v>
          </cell>
          <cell r="CT59">
            <v>42199</v>
          </cell>
          <cell r="CU59" t="str">
            <v>AY1049</v>
          </cell>
          <cell r="DH59">
            <v>0</v>
          </cell>
          <cell r="DI59">
            <v>42232</v>
          </cell>
          <cell r="DK59">
            <v>42229</v>
          </cell>
          <cell r="DM59">
            <v>42233</v>
          </cell>
          <cell r="DO59">
            <v>0</v>
          </cell>
          <cell r="DP59">
            <v>42232</v>
          </cell>
          <cell r="DT59">
            <v>0</v>
          </cell>
          <cell r="DU59">
            <v>42247</v>
          </cell>
          <cell r="DW59">
            <v>0</v>
          </cell>
          <cell r="DY59">
            <v>42233</v>
          </cell>
          <cell r="DZ59">
            <v>42230</v>
          </cell>
          <cell r="EA59" t="str">
            <v>IENG</v>
          </cell>
          <cell r="EJ59">
            <v>0</v>
          </cell>
          <cell r="EK59">
            <v>42255</v>
          </cell>
          <cell r="EM59">
            <v>42256</v>
          </cell>
          <cell r="EQ59">
            <v>42268</v>
          </cell>
          <cell r="EW59">
            <v>0</v>
          </cell>
          <cell r="EX59">
            <v>42268</v>
          </cell>
          <cell r="EZ59">
            <v>42278</v>
          </cell>
          <cell r="FB59">
            <v>42280</v>
          </cell>
          <cell r="FU59">
            <v>42282</v>
          </cell>
          <cell r="FW59">
            <v>42282</v>
          </cell>
          <cell r="GJ59">
            <v>0</v>
          </cell>
          <cell r="GN59" t="str">
            <v>ERICSSON</v>
          </cell>
          <cell r="GO59">
            <v>42201</v>
          </cell>
          <cell r="GS59" t="str">
            <v>4/4/4</v>
          </cell>
          <cell r="GU59" t="str">
            <v xml:space="preserve">		</v>
          </cell>
          <cell r="HD59">
            <v>1</v>
          </cell>
        </row>
        <row r="60">
          <cell r="A60" t="str">
            <v>AY1051</v>
          </cell>
          <cell r="B60" t="str">
            <v>ACAY_0108</v>
          </cell>
          <cell r="C60" t="str">
            <v>Apollo</v>
          </cell>
          <cell r="D60" t="str">
            <v>Emilio Ruiz</v>
          </cell>
          <cell r="F60" t="str">
            <v>Phyo Wai Maung</v>
          </cell>
          <cell r="G60" t="str">
            <v>Thiha Kyaw</v>
          </cell>
          <cell r="H60" t="str">
            <v>RED</v>
          </cell>
          <cell r="I60" t="str">
            <v>South</v>
          </cell>
          <cell r="J60" t="str">
            <v>95.35159408</v>
          </cell>
          <cell r="K60" t="str">
            <v>15.75012636</v>
          </cell>
          <cell r="L60" t="str">
            <v>Rural</v>
          </cell>
          <cell r="M60" t="str">
            <v>Ayeyarwady</v>
          </cell>
          <cell r="N60" t="str">
            <v>Pyapon</v>
          </cell>
          <cell r="O60" t="str">
            <v>Pyapon</v>
          </cell>
          <cell r="P60" t="str">
            <v>Hinthada</v>
          </cell>
          <cell r="Q60" t="str">
            <v>13</v>
          </cell>
          <cell r="R60" t="str">
            <v>Pyapon</v>
          </cell>
          <cell r="S60" t="str">
            <v>319</v>
          </cell>
          <cell r="T60" t="str">
            <v>GSM+UMTS</v>
          </cell>
          <cell r="W60" t="str">
            <v>Ph2-Priority</v>
          </cell>
          <cell r="X60" t="str">
            <v>45</v>
          </cell>
          <cell r="Y60" t="str">
            <v>47</v>
          </cell>
          <cell r="Z60" t="str">
            <v>GBT</v>
          </cell>
          <cell r="AA60" t="str">
            <v>500</v>
          </cell>
          <cell r="AB60" t="str">
            <v>Access</v>
          </cell>
          <cell r="AC60" t="str">
            <v>Class C</v>
          </cell>
          <cell r="BH60" t="str">
            <v>IENG</v>
          </cell>
          <cell r="BJ60">
            <v>42168</v>
          </cell>
          <cell r="BK60">
            <v>42147</v>
          </cell>
          <cell r="BL60">
            <v>42173</v>
          </cell>
          <cell r="BM60">
            <v>42152</v>
          </cell>
          <cell r="BT60">
            <v>86</v>
          </cell>
          <cell r="BU60">
            <v>42219</v>
          </cell>
          <cell r="BV60">
            <v>42193</v>
          </cell>
          <cell r="BW60" t="str">
            <v>96.63847</v>
          </cell>
          <cell r="BX60" t="str">
            <v>17.34191</v>
          </cell>
          <cell r="BY60" t="str">
            <v>C3</v>
          </cell>
          <cell r="BZ60" t="str">
            <v>No.196,Thar Yar Yay ,B Block,Min Ywar Village,ThaNatPin Tsp,Bago Division.</v>
          </cell>
          <cell r="CA60" t="str">
            <v>Daw Khin Htay Myint(or) Daw Say Hmawe,09-254358059</v>
          </cell>
          <cell r="CB60" t="str">
            <v>8 July 15 : C3 SAR sub(C1, ACCES ISSUES, C2 FARM LAND)</v>
          </cell>
          <cell r="CC60" t="str">
            <v>RESIDENTIAL</v>
          </cell>
          <cell r="CE60">
            <v>0</v>
          </cell>
          <cell r="CF60">
            <v>42220</v>
          </cell>
          <cell r="CG60">
            <v>42194</v>
          </cell>
          <cell r="CH60">
            <v>42222</v>
          </cell>
          <cell r="CJ60">
            <v>42200</v>
          </cell>
          <cell r="CK60" t="str">
            <v>45</v>
          </cell>
          <cell r="CL60" t="str">
            <v>47</v>
          </cell>
          <cell r="CM60" t="str">
            <v>50</v>
          </cell>
          <cell r="CN60">
            <v>0</v>
          </cell>
          <cell r="CO60">
            <v>42225</v>
          </cell>
          <cell r="CP60">
            <v>42202</v>
          </cell>
          <cell r="CQ60" t="str">
            <v>M1: grid power + battery</v>
          </cell>
          <cell r="CR60">
            <v>0</v>
          </cell>
          <cell r="CS60">
            <v>42226</v>
          </cell>
          <cell r="CT60">
            <v>42205</v>
          </cell>
          <cell r="CU60" t="str">
            <v>AY1051</v>
          </cell>
          <cell r="DH60">
            <v>0</v>
          </cell>
          <cell r="DI60">
            <v>42236</v>
          </cell>
          <cell r="DK60">
            <v>42233</v>
          </cell>
          <cell r="DM60">
            <v>42237</v>
          </cell>
          <cell r="DO60">
            <v>0</v>
          </cell>
          <cell r="DP60">
            <v>42236</v>
          </cell>
          <cell r="DT60">
            <v>0</v>
          </cell>
          <cell r="DU60">
            <v>42251</v>
          </cell>
          <cell r="DW60">
            <v>0</v>
          </cell>
          <cell r="DY60">
            <v>42237</v>
          </cell>
          <cell r="DZ60">
            <v>42213</v>
          </cell>
          <cell r="EA60" t="str">
            <v>IENG</v>
          </cell>
          <cell r="EB60">
            <v>42215</v>
          </cell>
          <cell r="EE60" t="str">
            <v xml:space="preserve">10 Aug 15:Flood affected_Hold-No access; 30-Jul-15:  Flood affected_Hold								</v>
          </cell>
          <cell r="EJ60">
            <v>0</v>
          </cell>
          <cell r="EK60">
            <v>42254</v>
          </cell>
          <cell r="EM60">
            <v>42255</v>
          </cell>
          <cell r="EQ60">
            <v>42264</v>
          </cell>
          <cell r="EW60">
            <v>0</v>
          </cell>
          <cell r="EX60">
            <v>42278</v>
          </cell>
          <cell r="EZ60">
            <v>42274</v>
          </cell>
          <cell r="FB60">
            <v>42276</v>
          </cell>
          <cell r="FU60">
            <v>42278</v>
          </cell>
          <cell r="FW60">
            <v>42278</v>
          </cell>
          <cell r="GJ60">
            <v>0</v>
          </cell>
          <cell r="GN60" t="str">
            <v>ERICSSON</v>
          </cell>
          <cell r="GS60" t="str">
            <v>4/4/4</v>
          </cell>
          <cell r="GU60" t="str">
            <v xml:space="preserve">		</v>
          </cell>
          <cell r="HD60">
            <v>1</v>
          </cell>
        </row>
        <row r="61">
          <cell r="A61" t="str">
            <v>AY1052</v>
          </cell>
          <cell r="B61" t="str">
            <v>ACAY_0109</v>
          </cell>
          <cell r="C61" t="str">
            <v>Apollo</v>
          </cell>
          <cell r="D61" t="str">
            <v>Emilio Ruiz</v>
          </cell>
          <cell r="F61" t="str">
            <v>Phyo Wai Maung</v>
          </cell>
          <cell r="G61" t="str">
            <v>Thiha Kyaw</v>
          </cell>
          <cell r="H61" t="str">
            <v>AMBER</v>
          </cell>
          <cell r="I61" t="str">
            <v>South</v>
          </cell>
          <cell r="J61" t="str">
            <v>95.9432</v>
          </cell>
          <cell r="K61" t="str">
            <v>16.3101</v>
          </cell>
          <cell r="L61" t="str">
            <v>Rural</v>
          </cell>
          <cell r="M61" t="str">
            <v>Ayeyarwady</v>
          </cell>
          <cell r="N61" t="str">
            <v>Dedaye</v>
          </cell>
          <cell r="O61" t="str">
            <v>Dedaye</v>
          </cell>
          <cell r="P61" t="str">
            <v>Hinthada</v>
          </cell>
          <cell r="Q61" t="str">
            <v>13</v>
          </cell>
          <cell r="R61" t="str">
            <v>Dedaye</v>
          </cell>
          <cell r="S61" t="str">
            <v>322</v>
          </cell>
          <cell r="T61" t="str">
            <v>GSM+UMTS</v>
          </cell>
          <cell r="W61" t="str">
            <v>Ph2-Priority</v>
          </cell>
          <cell r="X61" t="str">
            <v>45</v>
          </cell>
          <cell r="Y61" t="str">
            <v>47</v>
          </cell>
          <cell r="Z61" t="str">
            <v>GBT</v>
          </cell>
          <cell r="AA61" t="str">
            <v>500</v>
          </cell>
          <cell r="AB61" t="str">
            <v>Access</v>
          </cell>
          <cell r="AC61" t="str">
            <v>Class C</v>
          </cell>
          <cell r="BH61" t="str">
            <v>IENG</v>
          </cell>
          <cell r="BJ61">
            <v>42168</v>
          </cell>
          <cell r="BK61">
            <v>42142</v>
          </cell>
          <cell r="BL61">
            <v>42173</v>
          </cell>
          <cell r="BM61">
            <v>42147</v>
          </cell>
          <cell r="BT61">
            <v>50</v>
          </cell>
          <cell r="BU61">
            <v>42255</v>
          </cell>
          <cell r="BV61">
            <v>42192</v>
          </cell>
          <cell r="BW61" t="str">
            <v>95.9444</v>
          </cell>
          <cell r="BX61" t="str">
            <v>16.30946</v>
          </cell>
          <cell r="BY61" t="str">
            <v>C3</v>
          </cell>
          <cell r="BZ61" t="str">
            <v>Chaung Gyi Village,Dedaye Tsh.</v>
          </cell>
          <cell r="CA61" t="str">
            <v>Ma Tin Tin Htay,09-31370507,09-49745369</v>
          </cell>
          <cell r="CB61" t="str">
            <v>11 Aug 15 : C1 updated TSSR checklist given from E// because of updating  the routing links ;10 May 15: C1 SAR Sub.</v>
          </cell>
          <cell r="CC61" t="str">
            <v>RESIDENTIAL</v>
          </cell>
          <cell r="CE61">
            <v>1</v>
          </cell>
          <cell r="CF61">
            <v>42256</v>
          </cell>
          <cell r="CG61">
            <v>42193</v>
          </cell>
          <cell r="CH61">
            <v>42258</v>
          </cell>
          <cell r="CJ61">
            <v>42197</v>
          </cell>
          <cell r="CK61" t="str">
            <v>45</v>
          </cell>
          <cell r="CL61" t="str">
            <v>47</v>
          </cell>
          <cell r="CM61" t="str">
            <v>50</v>
          </cell>
          <cell r="CN61">
            <v>6</v>
          </cell>
          <cell r="CO61">
            <v>42261</v>
          </cell>
          <cell r="CP61">
            <v>42199</v>
          </cell>
          <cell r="CQ61" t="str">
            <v>M4: solar + DG + battery</v>
          </cell>
          <cell r="CR61">
            <v>1</v>
          </cell>
          <cell r="CS61">
            <v>42262</v>
          </cell>
          <cell r="CT61">
            <v>42200</v>
          </cell>
          <cell r="CU61" t="str">
            <v>AY1052</v>
          </cell>
          <cell r="DH61">
            <v>2</v>
          </cell>
          <cell r="DI61">
            <v>42272</v>
          </cell>
          <cell r="DJ61">
            <v>42202</v>
          </cell>
          <cell r="DK61">
            <v>42269</v>
          </cell>
          <cell r="DL61">
            <v>42242</v>
          </cell>
          <cell r="DM61">
            <v>42273</v>
          </cell>
          <cell r="DN61">
            <v>42208</v>
          </cell>
          <cell r="DO61">
            <v>0</v>
          </cell>
          <cell r="DP61">
            <v>42272</v>
          </cell>
          <cell r="DQ61">
            <v>42202</v>
          </cell>
          <cell r="DT61">
            <v>31</v>
          </cell>
          <cell r="DU61">
            <v>42287</v>
          </cell>
          <cell r="DW61">
            <v>0</v>
          </cell>
          <cell r="DY61">
            <v>42273</v>
          </cell>
          <cell r="DZ61">
            <v>42203</v>
          </cell>
          <cell r="EA61" t="str">
            <v>IENG</v>
          </cell>
          <cell r="ED61" t="str">
            <v>13Jul15 :ChoYee.Thaung: 3//7/15 : Pedestal casted done (2/7/15),steel cutting done for equ pad_x000D_
1/7/15 : Rebar work done, Footing casted done, Anchor bolt and template install and setting on going
24Jun15 :ChoYee.Thaung: 18/6/15 : Anchor bolt and template on site, Excavation done and prepare to do lean concrete_x000D_
16/6/15: Excavation on going</v>
          </cell>
          <cell r="EF61" t="str">
            <v>Asian geneious Co.,Ltd</v>
          </cell>
          <cell r="EI61" t="str">
            <v>M7: 2DG + battery      </v>
          </cell>
          <cell r="EJ61">
            <v>30</v>
          </cell>
          <cell r="EK61">
            <v>42290</v>
          </cell>
          <cell r="EL61">
            <v>42191</v>
          </cell>
          <cell r="EM61">
            <v>42291</v>
          </cell>
          <cell r="EN61">
            <v>42191</v>
          </cell>
          <cell r="EQ61">
            <v>42300</v>
          </cell>
          <cell r="ER61">
            <v>42197</v>
          </cell>
          <cell r="ES61">
            <v>42193</v>
          </cell>
          <cell r="ET61">
            <v>42197</v>
          </cell>
          <cell r="EU61">
            <v>42197</v>
          </cell>
          <cell r="EW61">
            <v>30</v>
          </cell>
          <cell r="EX61">
            <v>42256</v>
          </cell>
          <cell r="EZ61">
            <v>42310</v>
          </cell>
          <cell r="FA61">
            <v>42201</v>
          </cell>
          <cell r="FB61">
            <v>42312</v>
          </cell>
          <cell r="FC61">
            <v>42205</v>
          </cell>
          <cell r="FE61">
            <v>42179</v>
          </cell>
          <cell r="FU61">
            <v>42314</v>
          </cell>
          <cell r="FW61">
            <v>42314</v>
          </cell>
          <cell r="FX61">
            <v>42205</v>
          </cell>
          <cell r="FY61" t="str">
            <v>AZM</v>
          </cell>
          <cell r="FZ61">
            <v>42192</v>
          </cell>
          <cell r="GA61">
            <v>42194</v>
          </cell>
          <cell r="GB61">
            <v>42194</v>
          </cell>
          <cell r="GC61">
            <v>42198</v>
          </cell>
          <cell r="GD61">
            <v>42198</v>
          </cell>
          <cell r="GE61">
            <v>42194</v>
          </cell>
          <cell r="GF61">
            <v>42200</v>
          </cell>
          <cell r="GG61">
            <v>42205</v>
          </cell>
          <cell r="GH61">
            <v>42205</v>
          </cell>
          <cell r="GI61">
            <v>42307</v>
          </cell>
          <cell r="GJ61" t="str">
            <v>44-2015</v>
          </cell>
          <cell r="GK61">
            <v>42205</v>
          </cell>
          <cell r="GN61" t="str">
            <v xml:space="preserve">ERICSSON </v>
          </cell>
          <cell r="GO61">
            <v>42150</v>
          </cell>
          <cell r="GS61" t="str">
            <v>4/4/4</v>
          </cell>
          <cell r="GU61" t="str">
            <v xml:space="preserve">		</v>
          </cell>
          <cell r="HD61">
            <v>1</v>
          </cell>
        </row>
        <row r="62">
          <cell r="A62" t="str">
            <v>AY1053</v>
          </cell>
          <cell r="B62" t="str">
            <v>ACAY_0110</v>
          </cell>
          <cell r="C62" t="str">
            <v>Apollo</v>
          </cell>
          <cell r="D62" t="str">
            <v>Emilio Ruiz</v>
          </cell>
          <cell r="F62" t="str">
            <v>Phyo Wai Maung</v>
          </cell>
          <cell r="G62" t="str">
            <v>Thiha Kyaw</v>
          </cell>
          <cell r="H62" t="str">
            <v>RED</v>
          </cell>
          <cell r="I62" t="str">
            <v>South</v>
          </cell>
          <cell r="J62" t="str">
            <v>94.918811</v>
          </cell>
          <cell r="K62" t="str">
            <v>17.025467</v>
          </cell>
          <cell r="L62" t="str">
            <v>Rural</v>
          </cell>
          <cell r="M62" t="str">
            <v>Ayeyarwady</v>
          </cell>
          <cell r="N62" t="str">
            <v>Thabaung</v>
          </cell>
          <cell r="O62" t="str">
            <v>Thabaung</v>
          </cell>
          <cell r="P62" t="str">
            <v>Pathein</v>
          </cell>
          <cell r="Q62" t="str">
            <v>14</v>
          </cell>
          <cell r="R62" t="str">
            <v>Thabaung</v>
          </cell>
          <cell r="S62" t="str">
            <v>299</v>
          </cell>
          <cell r="T62" t="str">
            <v>GSM+UMTS</v>
          </cell>
          <cell r="W62" t="str">
            <v>Ph2-Priority</v>
          </cell>
          <cell r="X62" t="str">
            <v>45</v>
          </cell>
          <cell r="Y62" t="str">
            <v>47</v>
          </cell>
          <cell r="Z62" t="str">
            <v>GBT</v>
          </cell>
          <cell r="AA62" t="str">
            <v>500</v>
          </cell>
          <cell r="AB62" t="str">
            <v>Access</v>
          </cell>
          <cell r="AC62" t="str">
            <v>Class C</v>
          </cell>
          <cell r="BH62" t="str">
            <v>IENG</v>
          </cell>
          <cell r="BJ62">
            <v>42168</v>
          </cell>
          <cell r="BK62">
            <v>42135</v>
          </cell>
          <cell r="BL62">
            <v>42173</v>
          </cell>
          <cell r="BM62">
            <v>42140</v>
          </cell>
          <cell r="BT62">
            <v>98</v>
          </cell>
          <cell r="BU62">
            <v>42255</v>
          </cell>
          <cell r="BV62">
            <v>42188</v>
          </cell>
          <cell r="BW62" t="str">
            <v>96.28678</v>
          </cell>
          <cell r="BX62" t="str">
            <v>19.3207</v>
          </cell>
          <cell r="BY62" t="str">
            <v>C3</v>
          </cell>
          <cell r="BZ62" t="str">
            <v>No(237), Sin Su Ward, Thar Ga Ya Town, Yay Tar Shae Tsp</v>
          </cell>
          <cell r="CA62" t="str">
            <v>U Saw Gentry</v>
          </cell>
          <cell r="CB62" t="str">
            <v>29 July 15: C3 SAR updated technical info released because  Tower height reduce to 35 M as per Apollo request;3 July 15 : C3 SAR sub(135 M from Nominal)</v>
          </cell>
          <cell r="CC62" t="str">
            <v>Residential</v>
          </cell>
          <cell r="CE62">
            <v>0</v>
          </cell>
          <cell r="CF62">
            <v>42256</v>
          </cell>
          <cell r="CG62">
            <v>42191</v>
          </cell>
          <cell r="CH62">
            <v>42258</v>
          </cell>
          <cell r="CJ62">
            <v>42199</v>
          </cell>
          <cell r="CK62" t="str">
            <v>45</v>
          </cell>
          <cell r="CL62" t="str">
            <v>47</v>
          </cell>
          <cell r="CM62" t="str">
            <v>60</v>
          </cell>
          <cell r="CN62">
            <v>0</v>
          </cell>
          <cell r="CO62">
            <v>42261</v>
          </cell>
          <cell r="CP62">
            <v>42201</v>
          </cell>
          <cell r="CQ62" t="str">
            <v>M1: grid power + battery</v>
          </cell>
          <cell r="CR62">
            <v>0</v>
          </cell>
          <cell r="CS62">
            <v>42262</v>
          </cell>
          <cell r="CT62">
            <v>42202</v>
          </cell>
          <cell r="CU62" t="str">
            <v>AY1053</v>
          </cell>
          <cell r="DH62">
            <v>0</v>
          </cell>
          <cell r="DI62">
            <v>42272</v>
          </cell>
          <cell r="DK62">
            <v>42269</v>
          </cell>
          <cell r="DM62">
            <v>42273</v>
          </cell>
          <cell r="DO62">
            <v>0</v>
          </cell>
          <cell r="DP62">
            <v>42272</v>
          </cell>
          <cell r="DT62">
            <v>0</v>
          </cell>
          <cell r="DU62">
            <v>42287</v>
          </cell>
          <cell r="DW62">
            <v>0</v>
          </cell>
          <cell r="DY62">
            <v>42273</v>
          </cell>
          <cell r="EA62" t="str">
            <v>IENG</v>
          </cell>
          <cell r="EJ62">
            <v>0</v>
          </cell>
          <cell r="EK62">
            <v>42290</v>
          </cell>
          <cell r="EM62">
            <v>42291</v>
          </cell>
          <cell r="EQ62">
            <v>42300</v>
          </cell>
          <cell r="EW62">
            <v>0</v>
          </cell>
          <cell r="EX62">
            <v>42259</v>
          </cell>
          <cell r="EZ62">
            <v>42310</v>
          </cell>
          <cell r="FB62">
            <v>42312</v>
          </cell>
          <cell r="FU62">
            <v>42314</v>
          </cell>
          <cell r="FW62">
            <v>42314</v>
          </cell>
          <cell r="GJ62">
            <v>0</v>
          </cell>
          <cell r="GN62" t="str">
            <v>ERICSSON</v>
          </cell>
          <cell r="GS62" t="str">
            <v>4/4/4</v>
          </cell>
          <cell r="GU62" t="str">
            <v xml:space="preserve">		</v>
          </cell>
          <cell r="HD62">
            <v>1</v>
          </cell>
        </row>
        <row r="63">
          <cell r="A63" t="str">
            <v>AY1057</v>
          </cell>
          <cell r="B63" t="str">
            <v>ACAY_0111</v>
          </cell>
          <cell r="C63" t="str">
            <v>Apollo</v>
          </cell>
          <cell r="D63" t="str">
            <v>Emilio Ruiz</v>
          </cell>
          <cell r="F63" t="str">
            <v>Phyo Wai Maung</v>
          </cell>
          <cell r="G63" t="str">
            <v>Thiha Kyaw</v>
          </cell>
          <cell r="H63" t="str">
            <v>RED</v>
          </cell>
          <cell r="I63" t="str">
            <v>South</v>
          </cell>
          <cell r="J63" t="str">
            <v>95.07466288</v>
          </cell>
          <cell r="K63" t="str">
            <v>16.60963778</v>
          </cell>
          <cell r="L63" t="str">
            <v>Rural</v>
          </cell>
          <cell r="M63" t="str">
            <v>Ayeyarwady</v>
          </cell>
          <cell r="N63" t="str">
            <v>Einme</v>
          </cell>
          <cell r="O63" t="str">
            <v>Einme</v>
          </cell>
          <cell r="P63" t="str">
            <v>Pathein</v>
          </cell>
          <cell r="Q63" t="str">
            <v>14</v>
          </cell>
          <cell r="R63" t="str">
            <v>Einme</v>
          </cell>
          <cell r="S63" t="str">
            <v>311</v>
          </cell>
          <cell r="T63" t="str">
            <v>GSM+UMTS</v>
          </cell>
          <cell r="W63" t="str">
            <v>Ph2-Priority</v>
          </cell>
          <cell r="X63" t="str">
            <v>45</v>
          </cell>
          <cell r="Y63" t="str">
            <v>47</v>
          </cell>
          <cell r="Z63" t="str">
            <v>GBT</v>
          </cell>
          <cell r="AA63" t="str">
            <v>500</v>
          </cell>
          <cell r="AB63" t="str">
            <v>Access</v>
          </cell>
          <cell r="AC63" t="str">
            <v>Class C</v>
          </cell>
          <cell r="BH63" t="str">
            <v>IENG</v>
          </cell>
          <cell r="BJ63">
            <v>42168</v>
          </cell>
          <cell r="BK63">
            <v>42132</v>
          </cell>
          <cell r="BL63">
            <v>42173</v>
          </cell>
          <cell r="BM63">
            <v>42137</v>
          </cell>
          <cell r="BT63">
            <v>101</v>
          </cell>
          <cell r="BU63">
            <v>42255</v>
          </cell>
          <cell r="BV63">
            <v>42137</v>
          </cell>
          <cell r="BW63">
            <v>95.058719999999994</v>
          </cell>
          <cell r="BX63">
            <v>16.70682</v>
          </cell>
          <cell r="BY63" t="str">
            <v>C1</v>
          </cell>
          <cell r="BZ63" t="str">
            <v>KYAT KHAT KWAE YWAR LAL STREET,KYAT KHAT VILLAGE ,AEIN MAE TOWNSHIP,AYEYARWADY.</v>
          </cell>
          <cell r="CA63" t="str">
            <v>U Moe Lwin;Kyat Khat Kwae Ywar lal Street,Kyat Khat Kwae Village,Aein Mae Township,Ayeyarwaddy;09-8572785,09-253210130;(U Song Lwin;09-8572785,09-253210130)</v>
          </cell>
          <cell r="CB63" t="str">
            <v>13May15: C1 SAR Sub</v>
          </cell>
          <cell r="CE63">
            <v>0</v>
          </cell>
          <cell r="CF63">
            <v>42256</v>
          </cell>
          <cell r="CG63">
            <v>42138</v>
          </cell>
          <cell r="CH63">
            <v>42258</v>
          </cell>
          <cell r="CJ63">
            <v>42142</v>
          </cell>
          <cell r="CK63">
            <v>45</v>
          </cell>
          <cell r="CL63">
            <v>47</v>
          </cell>
          <cell r="CM63">
            <v>45</v>
          </cell>
          <cell r="CN63">
            <v>0</v>
          </cell>
          <cell r="CO63">
            <v>42261</v>
          </cell>
          <cell r="CP63">
            <v>42145</v>
          </cell>
          <cell r="CQ63" t="str">
            <v>M4: solar + DG + battery</v>
          </cell>
          <cell r="CR63">
            <v>0</v>
          </cell>
          <cell r="CS63">
            <v>42262</v>
          </cell>
          <cell r="CT63">
            <v>42146</v>
          </cell>
          <cell r="CU63" t="str">
            <v>AY1057</v>
          </cell>
          <cell r="DH63">
            <v>0</v>
          </cell>
          <cell r="DI63">
            <v>42272</v>
          </cell>
          <cell r="DK63">
            <v>42269</v>
          </cell>
          <cell r="DM63">
            <v>42273</v>
          </cell>
          <cell r="DO63">
            <v>0</v>
          </cell>
          <cell r="DP63">
            <v>42272</v>
          </cell>
          <cell r="DT63">
            <v>0</v>
          </cell>
          <cell r="DU63">
            <v>42287</v>
          </cell>
          <cell r="DW63">
            <v>0</v>
          </cell>
          <cell r="DY63">
            <v>42273</v>
          </cell>
          <cell r="EA63" t="str">
            <v>IENG</v>
          </cell>
          <cell r="EJ63">
            <v>0</v>
          </cell>
          <cell r="EK63">
            <v>42290</v>
          </cell>
          <cell r="EM63">
            <v>42291</v>
          </cell>
          <cell r="EQ63">
            <v>42300</v>
          </cell>
          <cell r="EW63">
            <v>0</v>
          </cell>
          <cell r="EX63">
            <v>42259</v>
          </cell>
          <cell r="EZ63">
            <v>42310</v>
          </cell>
          <cell r="FB63">
            <v>42312</v>
          </cell>
          <cell r="FU63">
            <v>42314</v>
          </cell>
          <cell r="FW63">
            <v>42314</v>
          </cell>
          <cell r="GJ63">
            <v>0</v>
          </cell>
          <cell r="GN63" t="str">
            <v>ERICSSON</v>
          </cell>
          <cell r="GS63" t="str">
            <v>4/4/4</v>
          </cell>
          <cell r="GU63" t="str">
            <v xml:space="preserve">		</v>
          </cell>
          <cell r="HD63">
            <v>1</v>
          </cell>
        </row>
        <row r="64">
          <cell r="A64" t="str">
            <v>AY1058</v>
          </cell>
          <cell r="B64" t="str">
            <v>ACAY_0112</v>
          </cell>
          <cell r="C64" t="str">
            <v>Apollo</v>
          </cell>
          <cell r="D64" t="str">
            <v>Emilio Ruiz</v>
          </cell>
          <cell r="F64" t="str">
            <v>Phyo Wai Maung</v>
          </cell>
          <cell r="G64" t="str">
            <v>Thiha Kyaw</v>
          </cell>
          <cell r="H64" t="str">
            <v>WHITE</v>
          </cell>
          <cell r="I64" t="str">
            <v>South</v>
          </cell>
          <cell r="J64" t="str">
            <v>95.0587</v>
          </cell>
          <cell r="K64" t="str">
            <v>16.7063</v>
          </cell>
          <cell r="L64" t="str">
            <v>Rural</v>
          </cell>
          <cell r="M64" t="str">
            <v>Ayeyarwady</v>
          </cell>
          <cell r="N64" t="str">
            <v>Einme</v>
          </cell>
          <cell r="O64" t="str">
            <v>Einme</v>
          </cell>
          <cell r="P64" t="str">
            <v>Pathein</v>
          </cell>
          <cell r="Q64" t="str">
            <v>14</v>
          </cell>
          <cell r="R64" t="str">
            <v>Einme</v>
          </cell>
          <cell r="S64" t="str">
            <v>311</v>
          </cell>
          <cell r="T64" t="str">
            <v>GSM+UMTS</v>
          </cell>
          <cell r="W64" t="str">
            <v>Ph2-Priority</v>
          </cell>
          <cell r="X64" t="str">
            <v>45</v>
          </cell>
          <cell r="Y64" t="str">
            <v>47</v>
          </cell>
          <cell r="Z64" t="str">
            <v>GBT</v>
          </cell>
          <cell r="AA64" t="str">
            <v>500</v>
          </cell>
          <cell r="AB64" t="str">
            <v>Access</v>
          </cell>
          <cell r="AC64" t="str">
            <v>Class C</v>
          </cell>
          <cell r="BH64" t="str">
            <v>IENG</v>
          </cell>
          <cell r="BJ64">
            <v>42136</v>
          </cell>
          <cell r="BK64">
            <v>42120</v>
          </cell>
          <cell r="BL64">
            <v>42141</v>
          </cell>
          <cell r="BM64">
            <v>42127</v>
          </cell>
          <cell r="BT64">
            <v>17</v>
          </cell>
          <cell r="BU64">
            <v>42173</v>
          </cell>
          <cell r="BV64">
            <v>42137</v>
          </cell>
          <cell r="BW64" t="str">
            <v>95.05872</v>
          </cell>
          <cell r="BX64" t="str">
            <v>16.70682</v>
          </cell>
          <cell r="BY64" t="str">
            <v>C1</v>
          </cell>
          <cell r="BZ64" t="str">
            <v>KYAT KHAT KWAE YWAR LAL STREET,KYAT KHAT VILLAGE ,AEIN MAE TOWNSHIP,AYEYARWADY.</v>
          </cell>
          <cell r="CA64" t="str">
            <v>U Moe Lwin;Kyat Khat Kwae Ywar lal Street,Kyat Khat Kwae Village,Aein Mae Township,Ayeyarwaddy;09-8572785,09-253210130;(U Song Lwin;09-8572785,09-253210130)</v>
          </cell>
          <cell r="CB64" t="str">
            <v>13May15: C1 SAR Sub</v>
          </cell>
          <cell r="CC64" t="str">
            <v>GARden land</v>
          </cell>
          <cell r="CE64">
            <v>1</v>
          </cell>
          <cell r="CF64">
            <v>42174</v>
          </cell>
          <cell r="CG64">
            <v>42138</v>
          </cell>
          <cell r="CH64">
            <v>42176</v>
          </cell>
          <cell r="CJ64">
            <v>42142</v>
          </cell>
          <cell r="CK64" t="str">
            <v>45</v>
          </cell>
          <cell r="CL64" t="str">
            <v>47</v>
          </cell>
          <cell r="CM64" t="str">
            <v>45</v>
          </cell>
          <cell r="CN64">
            <v>7</v>
          </cell>
          <cell r="CO64">
            <v>42179</v>
          </cell>
          <cell r="CP64">
            <v>42145</v>
          </cell>
          <cell r="CQ64" t="str">
            <v>M4: solar + DG + battery</v>
          </cell>
          <cell r="CR64">
            <v>1</v>
          </cell>
          <cell r="CS64">
            <v>42180</v>
          </cell>
          <cell r="CT64">
            <v>42146</v>
          </cell>
          <cell r="CU64" t="str">
            <v>AY1058</v>
          </cell>
          <cell r="DH64">
            <v>19</v>
          </cell>
          <cell r="DI64">
            <v>42190</v>
          </cell>
          <cell r="DJ64">
            <v>42165</v>
          </cell>
          <cell r="DK64">
            <v>42187</v>
          </cell>
          <cell r="DL64">
            <v>42166</v>
          </cell>
          <cell r="DM64">
            <v>42191</v>
          </cell>
          <cell r="DN64">
            <v>42173</v>
          </cell>
          <cell r="DO64">
            <v>0</v>
          </cell>
          <cell r="DP64">
            <v>42190</v>
          </cell>
          <cell r="DQ64">
            <v>42165</v>
          </cell>
          <cell r="DT64">
            <v>68</v>
          </cell>
          <cell r="DU64">
            <v>42205</v>
          </cell>
          <cell r="DW64">
            <v>0</v>
          </cell>
          <cell r="DY64">
            <v>42191</v>
          </cell>
          <cell r="DZ64">
            <v>42174</v>
          </cell>
          <cell r="EA64" t="str">
            <v>IENG</v>
          </cell>
          <cell r="ED64" t="str">
            <v xml:space="preserve">29Jun15 :YeHtet.Zaw: 24-June-15;Excavation in ongoing.Soil is very soft.
</v>
          </cell>
          <cell r="EI64" t="str">
            <v>M7: 2DG + battery      </v>
          </cell>
          <cell r="EJ64">
            <v>26</v>
          </cell>
          <cell r="EK64">
            <v>42208</v>
          </cell>
          <cell r="EL64">
            <v>42200</v>
          </cell>
          <cell r="EM64">
            <v>42209</v>
          </cell>
          <cell r="EN64">
            <v>42202</v>
          </cell>
          <cell r="EQ64">
            <v>42218</v>
          </cell>
          <cell r="ER64">
            <v>42212</v>
          </cell>
          <cell r="ES64">
            <v>42211</v>
          </cell>
          <cell r="ET64">
            <v>42212</v>
          </cell>
          <cell r="EU64">
            <v>42212</v>
          </cell>
          <cell r="EW64">
            <v>59</v>
          </cell>
          <cell r="EX64">
            <v>42232</v>
          </cell>
          <cell r="EY64">
            <v>42242</v>
          </cell>
          <cell r="EZ64">
            <v>42228</v>
          </cell>
          <cell r="FA64">
            <v>42214</v>
          </cell>
          <cell r="FB64">
            <v>42230</v>
          </cell>
          <cell r="FC64">
            <v>42222</v>
          </cell>
          <cell r="FS64">
            <v>42192</v>
          </cell>
          <cell r="FT64" t="str">
            <v>Off Grid</v>
          </cell>
          <cell r="FU64">
            <v>42232</v>
          </cell>
          <cell r="FW64">
            <v>42232</v>
          </cell>
          <cell r="FX64">
            <v>42222</v>
          </cell>
          <cell r="FY64" t="str">
            <v>EM</v>
          </cell>
          <cell r="FZ64">
            <v>42201</v>
          </cell>
          <cell r="GA64">
            <v>42206</v>
          </cell>
          <cell r="GB64">
            <v>42208</v>
          </cell>
          <cell r="GC64">
            <v>42214</v>
          </cell>
          <cell r="GD64">
            <v>42215</v>
          </cell>
          <cell r="GE64">
            <v>42208</v>
          </cell>
          <cell r="GF64">
            <v>42208</v>
          </cell>
          <cell r="GG64">
            <v>42223</v>
          </cell>
          <cell r="GH64">
            <v>42223</v>
          </cell>
          <cell r="GI64">
            <v>42246</v>
          </cell>
          <cell r="GJ64" t="str">
            <v>36-2015</v>
          </cell>
          <cell r="GK64">
            <v>42223</v>
          </cell>
          <cell r="GN64" t="str">
            <v>ERICSSON</v>
          </cell>
          <cell r="GS64" t="str">
            <v>4/4/4</v>
          </cell>
          <cell r="GU64" t="str">
            <v xml:space="preserve">		</v>
          </cell>
          <cell r="HD64">
            <v>1</v>
          </cell>
        </row>
        <row r="65">
          <cell r="A65" t="str">
            <v>AY1064</v>
          </cell>
          <cell r="B65" t="str">
            <v>ACAY_0113</v>
          </cell>
          <cell r="C65" t="str">
            <v>Apollo</v>
          </cell>
          <cell r="D65" t="str">
            <v>Emilio Ruiz</v>
          </cell>
          <cell r="F65" t="str">
            <v>Phyo Wai Maung</v>
          </cell>
          <cell r="G65" t="str">
            <v>Thiha Kyaw</v>
          </cell>
          <cell r="H65" t="str">
            <v>RED</v>
          </cell>
          <cell r="I65" t="str">
            <v>South</v>
          </cell>
          <cell r="J65" t="str">
            <v>95.3914</v>
          </cell>
          <cell r="K65" t="str">
            <v>16.8423</v>
          </cell>
          <cell r="L65" t="str">
            <v>Rural</v>
          </cell>
          <cell r="M65" t="str">
            <v>Ayeyarwady</v>
          </cell>
          <cell r="N65" t="str">
            <v>Pantanaw</v>
          </cell>
          <cell r="O65" t="str">
            <v>Pantanaw</v>
          </cell>
          <cell r="P65" t="str">
            <v>Hinthada</v>
          </cell>
          <cell r="Q65" t="str">
            <v>13</v>
          </cell>
          <cell r="R65" t="str">
            <v>Pantanaw</v>
          </cell>
          <cell r="S65" t="str">
            <v>316</v>
          </cell>
          <cell r="T65" t="str">
            <v>GSM+UMTS</v>
          </cell>
          <cell r="W65" t="str">
            <v>Ph2-Priority</v>
          </cell>
          <cell r="X65" t="str">
            <v>45</v>
          </cell>
          <cell r="Y65" t="str">
            <v>47</v>
          </cell>
          <cell r="Z65" t="str">
            <v>GBT</v>
          </cell>
          <cell r="AA65" t="str">
            <v>500</v>
          </cell>
          <cell r="AB65" t="str">
            <v>Access</v>
          </cell>
          <cell r="AC65" t="str">
            <v>Class C</v>
          </cell>
          <cell r="BH65" t="str">
            <v>IENG</v>
          </cell>
          <cell r="BJ65">
            <v>42146</v>
          </cell>
          <cell r="BK65">
            <v>42128</v>
          </cell>
          <cell r="BL65">
            <v>42151</v>
          </cell>
          <cell r="BM65">
            <v>42113</v>
          </cell>
          <cell r="BT65">
            <v>105</v>
          </cell>
          <cell r="BU65">
            <v>42219</v>
          </cell>
          <cell r="BV65">
            <v>42123</v>
          </cell>
          <cell r="BW65" t="str">
            <v>95.19506</v>
          </cell>
          <cell r="BX65" t="str">
            <v>18.39138</v>
          </cell>
          <cell r="BY65" t="str">
            <v>Reject</v>
          </cell>
          <cell r="BZ65" t="str">
            <v>No. (30) Si Sone Kone Village, Kyan Khin township, Hintatha distinct, Ayarwaddy division Kyan Khin township ,Hintatha distinct ,Ayarwaddy division</v>
          </cell>
          <cell r="CA65" t="str">
            <v>Daw Myint San;No. (30) Si Sone Kone Village, Kyan Khin township, Hintatha distinct.;09451246287 , 09422523919</v>
          </cell>
          <cell r="CB65" t="str">
            <v>13 Aug 15: C1 deactivate because of Rejected by CW, VO cost high and swampy area; 15 May 15 : C1 SAR app;14May15: C1 SAR Sub.</v>
          </cell>
          <cell r="CC65" t="str">
            <v>Garden Land</v>
          </cell>
          <cell r="CE65">
            <v>0</v>
          </cell>
          <cell r="CF65">
            <v>42220</v>
          </cell>
          <cell r="CG65">
            <v>42129</v>
          </cell>
          <cell r="CH65">
            <v>42222</v>
          </cell>
          <cell r="CJ65">
            <v>42130</v>
          </cell>
          <cell r="CK65" t="str">
            <v>35</v>
          </cell>
          <cell r="CL65" t="str">
            <v>37</v>
          </cell>
          <cell r="CM65" t="str">
            <v>35</v>
          </cell>
          <cell r="CN65">
            <v>0</v>
          </cell>
          <cell r="CO65">
            <v>42225</v>
          </cell>
          <cell r="CP65">
            <v>42132</v>
          </cell>
          <cell r="CQ65" t="str">
            <v>M4: solar + DG + battery</v>
          </cell>
          <cell r="CR65">
            <v>0</v>
          </cell>
          <cell r="CS65">
            <v>42226</v>
          </cell>
          <cell r="CT65">
            <v>42136</v>
          </cell>
          <cell r="CU65" t="str">
            <v>AY1064</v>
          </cell>
          <cell r="DH65">
            <v>0</v>
          </cell>
          <cell r="DI65">
            <v>42236</v>
          </cell>
          <cell r="DJ65">
            <v>42150</v>
          </cell>
          <cell r="DK65">
            <v>42233</v>
          </cell>
          <cell r="DL65">
            <v>42153</v>
          </cell>
          <cell r="DM65">
            <v>42237</v>
          </cell>
          <cell r="DN65">
            <v>42153</v>
          </cell>
          <cell r="DO65">
            <v>0</v>
          </cell>
          <cell r="DP65">
            <v>42236</v>
          </cell>
          <cell r="DQ65">
            <v>42150</v>
          </cell>
          <cell r="DT65">
            <v>0</v>
          </cell>
          <cell r="DU65">
            <v>42251</v>
          </cell>
          <cell r="DW65">
            <v>0</v>
          </cell>
          <cell r="DY65">
            <v>42237</v>
          </cell>
          <cell r="DZ65">
            <v>42156</v>
          </cell>
          <cell r="EA65" t="str">
            <v>IENG</v>
          </cell>
          <cell r="ED65" t="str">
            <v>13Jul15 :Thiha.Kyaw: 10-7-15 Site on air.
06Jul15 :Thiha.Kyaw: 6-7-15 RFI Telecom. Fencing making in progress.
26Jun15 :Thiha.Kyaw: 26-6-15 Tower erection in progress.
22Jun15 :Thiha.Kyaw: 22-6-15 Tower erection in progress. Equipment pad making in progress.
12Jun15 :Thiha.Kyaw: 12-6-15 Pedestal making in progress.</v>
          </cell>
          <cell r="EE65" t="str">
            <v>19Jun15 Tower erection in progress. Equipment pad making in progress; 15Jun15: Pedestal Done. Back filling in progress.</v>
          </cell>
          <cell r="EI65" t="str">
            <v>M5: grid power + DG + battery      </v>
          </cell>
          <cell r="EJ65">
            <v>0</v>
          </cell>
          <cell r="EK65">
            <v>42254</v>
          </cell>
          <cell r="EL65">
            <v>42172</v>
          </cell>
          <cell r="EM65">
            <v>42255</v>
          </cell>
          <cell r="EN65">
            <v>42172</v>
          </cell>
          <cell r="EQ65">
            <v>42264</v>
          </cell>
          <cell r="ER65">
            <v>42185</v>
          </cell>
          <cell r="ES65">
            <v>42175</v>
          </cell>
          <cell r="ET65">
            <v>42185</v>
          </cell>
          <cell r="EU65">
            <v>42185</v>
          </cell>
          <cell r="EW65">
            <v>0</v>
          </cell>
          <cell r="EX65">
            <v>42278</v>
          </cell>
          <cell r="EY65">
            <v>42201</v>
          </cell>
          <cell r="EZ65">
            <v>42274</v>
          </cell>
          <cell r="FA65">
            <v>42185</v>
          </cell>
          <cell r="FB65">
            <v>42276</v>
          </cell>
          <cell r="FC65">
            <v>42185</v>
          </cell>
          <cell r="FE65">
            <v>42160</v>
          </cell>
          <cell r="FG65">
            <v>42165</v>
          </cell>
          <cell r="FU65">
            <v>42278</v>
          </cell>
          <cell r="FV65">
            <v>42202</v>
          </cell>
          <cell r="FW65">
            <v>42278</v>
          </cell>
          <cell r="FX65">
            <v>42185</v>
          </cell>
          <cell r="FY65" t="str">
            <v>TN</v>
          </cell>
          <cell r="FZ65">
            <v>42174</v>
          </cell>
          <cell r="GA65">
            <v>42176</v>
          </cell>
          <cell r="GB65">
            <v>42185</v>
          </cell>
          <cell r="GC65">
            <v>42186</v>
          </cell>
          <cell r="GD65">
            <v>42186</v>
          </cell>
          <cell r="GE65">
            <v>42185</v>
          </cell>
          <cell r="GF65">
            <v>42185</v>
          </cell>
          <cell r="GG65">
            <v>42187</v>
          </cell>
          <cell r="GH65">
            <v>42188</v>
          </cell>
          <cell r="GI65">
            <v>42216</v>
          </cell>
          <cell r="GJ65">
            <v>0</v>
          </cell>
          <cell r="GK65">
            <v>42188</v>
          </cell>
          <cell r="GN65" t="str">
            <v xml:space="preserve">ERICSSON </v>
          </cell>
          <cell r="GS65" t="str">
            <v>4/4/4</v>
          </cell>
          <cell r="GT65" t="str">
            <v>Dual Carrier</v>
          </cell>
          <cell r="GU65" t="str">
            <v xml:space="preserve">		</v>
          </cell>
          <cell r="HD65">
            <v>1</v>
          </cell>
        </row>
        <row r="66">
          <cell r="A66" t="str">
            <v>AY1065</v>
          </cell>
          <cell r="B66" t="str">
            <v>ACAY_0114</v>
          </cell>
          <cell r="C66" t="str">
            <v>Apollo</v>
          </cell>
          <cell r="D66" t="str">
            <v>Emilio Ruiz</v>
          </cell>
          <cell r="F66" t="str">
            <v>Phyo Wai Maung</v>
          </cell>
          <cell r="G66" t="str">
            <v>Thiha Kyaw</v>
          </cell>
          <cell r="H66" t="str">
            <v>RED</v>
          </cell>
          <cell r="I66" t="str">
            <v>South</v>
          </cell>
          <cell r="J66" t="str">
            <v>95.4698</v>
          </cell>
          <cell r="K66" t="str">
            <v>16.9152</v>
          </cell>
          <cell r="L66" t="str">
            <v>Rural</v>
          </cell>
          <cell r="M66" t="str">
            <v>Ayeyarwady</v>
          </cell>
          <cell r="N66" t="str">
            <v>Pantanaw</v>
          </cell>
          <cell r="O66" t="str">
            <v>Pantanaw</v>
          </cell>
          <cell r="P66" t="str">
            <v>Hinthada</v>
          </cell>
          <cell r="Q66" t="str">
            <v>13</v>
          </cell>
          <cell r="R66" t="str">
            <v>Pantanaw</v>
          </cell>
          <cell r="S66" t="str">
            <v>316</v>
          </cell>
          <cell r="T66" t="str">
            <v>GSM+UMTS</v>
          </cell>
          <cell r="W66" t="str">
            <v>Ph2-Priority</v>
          </cell>
          <cell r="X66" t="str">
            <v>45</v>
          </cell>
          <cell r="Y66" t="str">
            <v>47</v>
          </cell>
          <cell r="Z66" t="str">
            <v>GBT</v>
          </cell>
          <cell r="AA66" t="str">
            <v>500</v>
          </cell>
          <cell r="AB66" t="str">
            <v>Access</v>
          </cell>
          <cell r="AC66" t="str">
            <v>Class C</v>
          </cell>
          <cell r="BE66" t="str">
            <v>Route 5 Yangon - Pathein</v>
          </cell>
          <cell r="BH66" t="str">
            <v>IENG</v>
          </cell>
          <cell r="BJ66">
            <v>42168</v>
          </cell>
          <cell r="BK66">
            <v>42133</v>
          </cell>
          <cell r="BL66">
            <v>42173</v>
          </cell>
          <cell r="BM66">
            <v>42138</v>
          </cell>
          <cell r="BT66">
            <v>100</v>
          </cell>
          <cell r="BU66">
            <v>42219</v>
          </cell>
          <cell r="BV66">
            <v>42248</v>
          </cell>
          <cell r="BW66" t="str">
            <v>95.46942</v>
          </cell>
          <cell r="BX66" t="str">
            <v>16.91602</v>
          </cell>
          <cell r="BY66" t="str">
            <v>C2</v>
          </cell>
          <cell r="BZ66" t="str">
            <v>Dama Yeik Tha Road,Ngapudaw Tsh (north side).</v>
          </cell>
          <cell r="CA66" t="str">
            <v>DAW YIN YIN MYINT;Dama Yeik Tha Road,Ngapudaw Tsh (North Side);09-252381537</v>
          </cell>
          <cell r="CB66" t="str">
            <v>1 Sept 15: C2 SAR sub(C1: 4M FLOOD HISTORY)</v>
          </cell>
          <cell r="CC66" t="str">
            <v>Garden Land</v>
          </cell>
          <cell r="CE66">
            <v>0</v>
          </cell>
          <cell r="CF66">
            <v>42220</v>
          </cell>
          <cell r="CG66">
            <v>42249</v>
          </cell>
          <cell r="CH66">
            <v>42222</v>
          </cell>
          <cell r="CJ66">
            <v>42130</v>
          </cell>
          <cell r="CK66" t="str">
            <v>35</v>
          </cell>
          <cell r="CL66" t="str">
            <v>37</v>
          </cell>
          <cell r="CM66" t="str">
            <v>35</v>
          </cell>
          <cell r="CN66">
            <v>0</v>
          </cell>
          <cell r="CO66">
            <v>42225</v>
          </cell>
          <cell r="CP66">
            <v>42130</v>
          </cell>
          <cell r="CQ66" t="str">
            <v>M4: solar + DG + battery</v>
          </cell>
          <cell r="CR66">
            <v>0</v>
          </cell>
          <cell r="CS66">
            <v>42226</v>
          </cell>
          <cell r="CT66">
            <v>42136</v>
          </cell>
          <cell r="CU66" t="str">
            <v>AY1065</v>
          </cell>
          <cell r="DH66">
            <v>0</v>
          </cell>
          <cell r="DI66">
            <v>42236</v>
          </cell>
          <cell r="DJ66">
            <v>42150</v>
          </cell>
          <cell r="DK66">
            <v>42233</v>
          </cell>
          <cell r="DL66">
            <v>42153</v>
          </cell>
          <cell r="DM66">
            <v>42237</v>
          </cell>
          <cell r="DN66">
            <v>42153</v>
          </cell>
          <cell r="DO66">
            <v>0</v>
          </cell>
          <cell r="DP66">
            <v>42236</v>
          </cell>
          <cell r="DQ66">
            <v>42150</v>
          </cell>
          <cell r="DT66">
            <v>0</v>
          </cell>
          <cell r="DU66">
            <v>42251</v>
          </cell>
          <cell r="DW66">
            <v>0</v>
          </cell>
          <cell r="DY66">
            <v>42237</v>
          </cell>
          <cell r="DZ66">
            <v>42157</v>
          </cell>
          <cell r="EA66" t="str">
            <v>IENG</v>
          </cell>
          <cell r="ED66" t="str">
            <v xml:space="preserve">25Jun15 :YeHtet.Zaw: 11-Jun-2015;Tower footing is done.17-June-2015;Tower erection is ongoing.24-June-2015;Tower is done.Power is on site.Telecom installation is on going.
</v>
          </cell>
          <cell r="EI66" t="str">
            <v>M5: grid power + DG + battery      </v>
          </cell>
          <cell r="EJ66">
            <v>0</v>
          </cell>
          <cell r="EK66">
            <v>42254</v>
          </cell>
          <cell r="EL66">
            <v>42164</v>
          </cell>
          <cell r="EM66">
            <v>42255</v>
          </cell>
          <cell r="EN66">
            <v>42168</v>
          </cell>
          <cell r="EQ66">
            <v>42264</v>
          </cell>
          <cell r="ER66">
            <v>42172</v>
          </cell>
          <cell r="ES66">
            <v>42167</v>
          </cell>
          <cell r="ET66">
            <v>42173</v>
          </cell>
          <cell r="EU66">
            <v>42173</v>
          </cell>
          <cell r="EV66">
            <v>42193</v>
          </cell>
          <cell r="EW66">
            <v>0</v>
          </cell>
          <cell r="EX66">
            <v>42278</v>
          </cell>
          <cell r="EY66">
            <v>42184</v>
          </cell>
          <cell r="EZ66">
            <v>42274</v>
          </cell>
          <cell r="FA66">
            <v>42177</v>
          </cell>
          <cell r="FB66">
            <v>42276</v>
          </cell>
          <cell r="FC66">
            <v>42178</v>
          </cell>
          <cell r="FE66">
            <v>42160</v>
          </cell>
          <cell r="FG66">
            <v>42165</v>
          </cell>
          <cell r="FU66">
            <v>42278</v>
          </cell>
          <cell r="FV66">
            <v>42184</v>
          </cell>
          <cell r="FW66">
            <v>42278</v>
          </cell>
          <cell r="FX66">
            <v>42178</v>
          </cell>
          <cell r="FY66" t="str">
            <v>TN</v>
          </cell>
          <cell r="FZ66">
            <v>42170</v>
          </cell>
          <cell r="GA66">
            <v>42172</v>
          </cell>
          <cell r="GB66">
            <v>42174</v>
          </cell>
          <cell r="GC66">
            <v>42176</v>
          </cell>
          <cell r="GD66">
            <v>42176</v>
          </cell>
          <cell r="GE66">
            <v>42176</v>
          </cell>
          <cell r="GF66">
            <v>42178</v>
          </cell>
          <cell r="GG66">
            <v>42178</v>
          </cell>
          <cell r="GH66">
            <v>42179</v>
          </cell>
          <cell r="GI66">
            <v>42185</v>
          </cell>
          <cell r="GJ66">
            <v>0</v>
          </cell>
          <cell r="GK66">
            <v>42180</v>
          </cell>
          <cell r="GN66" t="str">
            <v xml:space="preserve">ERICSSON </v>
          </cell>
          <cell r="GS66" t="str">
            <v>4/4/4</v>
          </cell>
          <cell r="GT66" t="str">
            <v>Dual Carrier</v>
          </cell>
          <cell r="GU66" t="str">
            <v xml:space="preserve">		</v>
          </cell>
          <cell r="HD66">
            <v>1</v>
          </cell>
        </row>
        <row r="67">
          <cell r="A67" t="str">
            <v>AY1072</v>
          </cell>
          <cell r="B67" t="str">
            <v>ACAY_0115</v>
          </cell>
          <cell r="C67" t="str">
            <v>Apollo</v>
          </cell>
          <cell r="D67" t="str">
            <v>Emilio Ruiz</v>
          </cell>
          <cell r="F67" t="str">
            <v>Phyo Wai Maung</v>
          </cell>
          <cell r="G67" t="str">
            <v>Thiha Kyaw</v>
          </cell>
          <cell r="H67" t="str">
            <v>RED</v>
          </cell>
          <cell r="I67" t="str">
            <v>South</v>
          </cell>
          <cell r="J67" t="str">
            <v>95.540855</v>
          </cell>
          <cell r="K67" t="str">
            <v>16.872836</v>
          </cell>
          <cell r="L67" t="str">
            <v>Rural</v>
          </cell>
          <cell r="M67" t="str">
            <v>Ayeyarwady</v>
          </cell>
          <cell r="N67" t="str">
            <v>Pantanaw</v>
          </cell>
          <cell r="O67" t="str">
            <v>Pantanaw</v>
          </cell>
          <cell r="P67" t="str">
            <v>Hinthada</v>
          </cell>
          <cell r="Q67" t="str">
            <v>13</v>
          </cell>
          <cell r="R67" t="str">
            <v>Pantanaw</v>
          </cell>
          <cell r="S67" t="str">
            <v>316</v>
          </cell>
          <cell r="T67" t="str">
            <v>GSM+UMTS</v>
          </cell>
          <cell r="W67" t="str">
            <v>Ph2-Priority</v>
          </cell>
          <cell r="X67" t="str">
            <v>45</v>
          </cell>
          <cell r="Y67" t="str">
            <v>47</v>
          </cell>
          <cell r="Z67" t="str">
            <v>GBT</v>
          </cell>
          <cell r="AA67" t="str">
            <v>500</v>
          </cell>
          <cell r="AB67" t="str">
            <v>Access</v>
          </cell>
          <cell r="AC67" t="str">
            <v>Class C</v>
          </cell>
          <cell r="BH67" t="str">
            <v>IENG</v>
          </cell>
          <cell r="BJ67">
            <v>42168</v>
          </cell>
          <cell r="BK67">
            <v>42138</v>
          </cell>
          <cell r="BL67">
            <v>42173</v>
          </cell>
          <cell r="BM67">
            <v>42143</v>
          </cell>
          <cell r="BT67">
            <v>77</v>
          </cell>
          <cell r="BU67">
            <v>42219</v>
          </cell>
          <cell r="BV67">
            <v>42215</v>
          </cell>
          <cell r="BW67" t="str">
            <v>95.5464</v>
          </cell>
          <cell r="BX67" t="str">
            <v>16.87307</v>
          </cell>
          <cell r="BY67" t="str">
            <v>C1</v>
          </cell>
          <cell r="BZ67" t="str">
            <v>No.13 Qtr,Pathein.</v>
          </cell>
          <cell r="CA67" t="str">
            <v>RAJ KUMAR;No.13 Qtr,Pathein;09-254167523</v>
          </cell>
          <cell r="CB67" t="str">
            <v>30 Jul 15 : C1 SAR sub with 35 M Tower</v>
          </cell>
          <cell r="CC67" t="str">
            <v>KHAING/FARM LAND</v>
          </cell>
          <cell r="CE67">
            <v>4</v>
          </cell>
          <cell r="CF67">
            <v>42220</v>
          </cell>
          <cell r="CG67">
            <v>42219</v>
          </cell>
          <cell r="CH67">
            <v>42222</v>
          </cell>
          <cell r="CJ67">
            <v>42138</v>
          </cell>
          <cell r="CK67">
            <v>35</v>
          </cell>
          <cell r="CL67">
            <v>37</v>
          </cell>
          <cell r="CM67">
            <v>35</v>
          </cell>
          <cell r="CN67">
            <v>14</v>
          </cell>
          <cell r="CO67">
            <v>42225</v>
          </cell>
          <cell r="CP67">
            <v>42143</v>
          </cell>
          <cell r="CQ67" t="str">
            <v>M4: solar + DG + battery</v>
          </cell>
          <cell r="CR67">
            <v>0</v>
          </cell>
          <cell r="CS67">
            <v>42226</v>
          </cell>
          <cell r="CT67">
            <v>42144</v>
          </cell>
          <cell r="CU67" t="str">
            <v>AY1072</v>
          </cell>
          <cell r="DH67">
            <v>0</v>
          </cell>
          <cell r="DI67">
            <v>42236</v>
          </cell>
          <cell r="DK67">
            <v>42233</v>
          </cell>
          <cell r="DM67">
            <v>42237</v>
          </cell>
          <cell r="DO67">
            <v>0</v>
          </cell>
          <cell r="DP67">
            <v>42236</v>
          </cell>
          <cell r="DT67">
            <v>0</v>
          </cell>
          <cell r="DU67">
            <v>42251</v>
          </cell>
          <cell r="DW67">
            <v>0</v>
          </cell>
          <cell r="DY67">
            <v>42237</v>
          </cell>
          <cell r="EA67" t="str">
            <v>IENG</v>
          </cell>
          <cell r="EJ67">
            <v>0</v>
          </cell>
          <cell r="EK67">
            <v>42254</v>
          </cell>
          <cell r="EM67">
            <v>42255</v>
          </cell>
          <cell r="EQ67">
            <v>42264</v>
          </cell>
          <cell r="EW67">
            <v>0</v>
          </cell>
          <cell r="EX67">
            <v>42278</v>
          </cell>
          <cell r="EZ67">
            <v>42274</v>
          </cell>
          <cell r="FB67">
            <v>42276</v>
          </cell>
          <cell r="FU67">
            <v>42278</v>
          </cell>
          <cell r="FW67">
            <v>42278</v>
          </cell>
          <cell r="GJ67">
            <v>0</v>
          </cell>
          <cell r="GN67" t="str">
            <v>ERICSSON</v>
          </cell>
          <cell r="GS67" t="str">
            <v>4/4/4</v>
          </cell>
          <cell r="GU67" t="str">
            <v xml:space="preserve">		</v>
          </cell>
          <cell r="HD67">
            <v>1</v>
          </cell>
        </row>
        <row r="68">
          <cell r="A68" t="str">
            <v>AY1074</v>
          </cell>
          <cell r="B68" t="str">
            <v>ACAY_0116</v>
          </cell>
          <cell r="C68" t="str">
            <v>Apollo</v>
          </cell>
          <cell r="D68" t="str">
            <v>Emilio Ruiz</v>
          </cell>
          <cell r="F68" t="str">
            <v>Phyo Wai Maung</v>
          </cell>
          <cell r="G68" t="str">
            <v>Thiha Kyaw</v>
          </cell>
          <cell r="H68" t="str">
            <v>AMBER</v>
          </cell>
          <cell r="I68" t="str">
            <v>South</v>
          </cell>
          <cell r="J68" t="str">
            <v>94.76078</v>
          </cell>
          <cell r="K68" t="str">
            <v>16.79476</v>
          </cell>
          <cell r="L68" t="str">
            <v>SubUrban</v>
          </cell>
          <cell r="M68" t="str">
            <v>Ayeyarwady</v>
          </cell>
          <cell r="N68" t="str">
            <v>Pathein</v>
          </cell>
          <cell r="O68" t="str">
            <v>Pathein</v>
          </cell>
          <cell r="P68" t="str">
            <v>Pathein</v>
          </cell>
          <cell r="Q68" t="str">
            <v>14</v>
          </cell>
          <cell r="R68" t="str">
            <v>Pathein</v>
          </cell>
          <cell r="S68" t="str">
            <v>297</v>
          </cell>
          <cell r="T68" t="str">
            <v>GSM+UMTS</v>
          </cell>
          <cell r="W68" t="str">
            <v>Ph2-Priority</v>
          </cell>
          <cell r="X68" t="str">
            <v>35</v>
          </cell>
          <cell r="Y68" t="str">
            <v>35</v>
          </cell>
          <cell r="Z68" t="str">
            <v>GBT</v>
          </cell>
          <cell r="AA68" t="str">
            <v>250</v>
          </cell>
          <cell r="AB68" t="str">
            <v>Access</v>
          </cell>
          <cell r="AC68" t="str">
            <v>Class B</v>
          </cell>
          <cell r="BE68" t="str">
            <v>Yangon South</v>
          </cell>
          <cell r="BH68" t="str">
            <v>IENG</v>
          </cell>
          <cell r="BJ68">
            <v>42129</v>
          </cell>
          <cell r="BK68">
            <v>42121</v>
          </cell>
          <cell r="BL68">
            <v>42134</v>
          </cell>
          <cell r="BM68">
            <v>42124</v>
          </cell>
          <cell r="BT68">
            <v>83</v>
          </cell>
          <cell r="BU68">
            <v>42127</v>
          </cell>
          <cell r="BV68">
            <v>42204</v>
          </cell>
          <cell r="BW68" t="str">
            <v>94.76234</v>
          </cell>
          <cell r="BX68" t="str">
            <v>16.79382</v>
          </cell>
          <cell r="BY68" t="str">
            <v>C3</v>
          </cell>
          <cell r="BZ68" t="str">
            <v>N0(F-8),MyintZuLanThwel(3)Street,ShweWitHmoneN0(13),Pathein,Ayeyarwaddy</v>
          </cell>
          <cell r="CA68" t="str">
            <v>Daw Gu Lar Pathi,09-254167523</v>
          </cell>
          <cell r="CB68" t="str">
            <v>19 July 15 : C3 SAR sub(C1, PROXIMITY ISSUE);20 May 15 : C1 TSSR app;19 May 15 : C1 TSSR sub; 12 May 15 : C1 SAR app;10May15: C1 SAR Sub.</v>
          </cell>
          <cell r="CC68" t="str">
            <v>Garden Land</v>
          </cell>
          <cell r="CE68">
            <v>1</v>
          </cell>
          <cell r="CF68">
            <v>42128</v>
          </cell>
          <cell r="CG68">
            <v>42205</v>
          </cell>
          <cell r="CH68">
            <v>42130</v>
          </cell>
          <cell r="CJ68">
            <v>42207</v>
          </cell>
          <cell r="CK68" t="str">
            <v>35</v>
          </cell>
          <cell r="CL68" t="str">
            <v>37</v>
          </cell>
          <cell r="CM68" t="str">
            <v>35</v>
          </cell>
          <cell r="CN68">
            <v>4</v>
          </cell>
          <cell r="CO68">
            <v>42133</v>
          </cell>
          <cell r="CP68">
            <v>42209</v>
          </cell>
          <cell r="CQ68" t="str">
            <v>M1: grid power + battery</v>
          </cell>
          <cell r="CR68">
            <v>3</v>
          </cell>
          <cell r="CS68">
            <v>42134</v>
          </cell>
          <cell r="CT68">
            <v>42212</v>
          </cell>
          <cell r="CU68" t="str">
            <v>AY1074</v>
          </cell>
          <cell r="DH68">
            <v>5</v>
          </cell>
          <cell r="DI68">
            <v>42173</v>
          </cell>
          <cell r="DJ68">
            <v>42217</v>
          </cell>
          <cell r="DK68">
            <v>42170</v>
          </cell>
          <cell r="DL68">
            <v>42242</v>
          </cell>
          <cell r="DM68">
            <v>42174</v>
          </cell>
          <cell r="DO68">
            <v>0</v>
          </cell>
          <cell r="DP68">
            <v>42173</v>
          </cell>
          <cell r="DQ68">
            <v>42217</v>
          </cell>
          <cell r="DT68">
            <v>16</v>
          </cell>
          <cell r="DU68">
            <v>42188</v>
          </cell>
          <cell r="DW68">
            <v>0</v>
          </cell>
          <cell r="DY68">
            <v>42174</v>
          </cell>
          <cell r="DZ68">
            <v>42215</v>
          </cell>
          <cell r="EA68" t="str">
            <v>IENG</v>
          </cell>
          <cell r="ED68" t="str">
            <v>31Aug15 :YeHtet.Zaw: 31Aug15;Tower is done.Power is ready.Fencing will start today.
24Aug15 :YeHtet.Zaw: 19-8-2015;Tower footing is done.Delay CW due to Neighbour issues.</v>
          </cell>
          <cell r="EE68" t="str">
            <v xml:space="preserve">10 Aug 15:Rain affected_Progress affected; 4-Aug-15:lean concrete done								</v>
          </cell>
          <cell r="EJ68">
            <v>18</v>
          </cell>
          <cell r="EK68">
            <v>42189</v>
          </cell>
          <cell r="EL68">
            <v>42237</v>
          </cell>
          <cell r="EM68">
            <v>42190</v>
          </cell>
          <cell r="EN68">
            <v>42237</v>
          </cell>
          <cell r="EQ68">
            <v>42197</v>
          </cell>
          <cell r="ER68">
            <v>42242</v>
          </cell>
          <cell r="ES68">
            <v>42240</v>
          </cell>
          <cell r="ET68">
            <v>42242</v>
          </cell>
          <cell r="EU68">
            <v>42242</v>
          </cell>
          <cell r="EW68">
            <v>18</v>
          </cell>
          <cell r="EX68">
            <v>42211</v>
          </cell>
          <cell r="EZ68">
            <v>42207</v>
          </cell>
          <cell r="FA68">
            <v>42243</v>
          </cell>
          <cell r="FB68">
            <v>42209</v>
          </cell>
          <cell r="FC68">
            <v>42243</v>
          </cell>
          <cell r="FU68">
            <v>42211</v>
          </cell>
          <cell r="FW68">
            <v>42211</v>
          </cell>
          <cell r="FX68">
            <v>42243</v>
          </cell>
          <cell r="FY68" t="str">
            <v>EM</v>
          </cell>
          <cell r="FZ68">
            <v>42240</v>
          </cell>
          <cell r="GA68">
            <v>42241</v>
          </cell>
          <cell r="GB68">
            <v>42246</v>
          </cell>
          <cell r="GC68">
            <v>42246</v>
          </cell>
          <cell r="GD68">
            <v>42246</v>
          </cell>
          <cell r="GE68">
            <v>42246</v>
          </cell>
          <cell r="GF68">
            <v>42246</v>
          </cell>
          <cell r="GG68">
            <v>42246</v>
          </cell>
          <cell r="GH68">
            <v>42246</v>
          </cell>
          <cell r="GI68">
            <v>42307</v>
          </cell>
          <cell r="GJ68" t="str">
            <v>44-2015</v>
          </cell>
          <cell r="GK68">
            <v>42246</v>
          </cell>
          <cell r="GN68" t="str">
            <v xml:space="preserve">ERICSSON </v>
          </cell>
          <cell r="GO68">
            <v>42171</v>
          </cell>
          <cell r="GS68" t="str">
            <v>4/4/4</v>
          </cell>
          <cell r="GU68" t="str">
            <v xml:space="preserve">		</v>
          </cell>
          <cell r="HD68">
            <v>1</v>
          </cell>
        </row>
        <row r="69">
          <cell r="A69" t="str">
            <v>AY1075</v>
          </cell>
          <cell r="B69" t="str">
            <v>ACAY_0117</v>
          </cell>
          <cell r="C69" t="str">
            <v>Apollo</v>
          </cell>
          <cell r="D69" t="str">
            <v>Emilio Ruiz</v>
          </cell>
          <cell r="F69" t="str">
            <v>Phyo Wai Maung</v>
          </cell>
          <cell r="G69" t="str">
            <v>Thiha Kyaw</v>
          </cell>
          <cell r="H69" t="str">
            <v>RED</v>
          </cell>
          <cell r="I69" t="str">
            <v>South</v>
          </cell>
          <cell r="J69" t="str">
            <v>94.742853</v>
          </cell>
          <cell r="K69" t="str">
            <v>16.785848</v>
          </cell>
          <cell r="L69" t="str">
            <v>SubUrban</v>
          </cell>
          <cell r="M69" t="str">
            <v>Ayeyarwady</v>
          </cell>
          <cell r="N69" t="str">
            <v>Pathein</v>
          </cell>
          <cell r="O69" t="str">
            <v>Pathein</v>
          </cell>
          <cell r="P69" t="str">
            <v>Pathein</v>
          </cell>
          <cell r="Q69" t="str">
            <v>14</v>
          </cell>
          <cell r="R69" t="str">
            <v>Pathein</v>
          </cell>
          <cell r="S69" t="str">
            <v>297</v>
          </cell>
          <cell r="T69" t="str">
            <v>GSM+UMTS</v>
          </cell>
          <cell r="W69" t="str">
            <v>Ph2-Priority</v>
          </cell>
          <cell r="X69" t="str">
            <v>35</v>
          </cell>
          <cell r="Y69" t="str">
            <v>35</v>
          </cell>
          <cell r="Z69" t="str">
            <v>GBT</v>
          </cell>
          <cell r="AA69" t="str">
            <v>250</v>
          </cell>
          <cell r="AB69" t="str">
            <v>Access</v>
          </cell>
          <cell r="AC69" t="str">
            <v>Class B</v>
          </cell>
          <cell r="BE69" t="str">
            <v>Yangon Ring 4</v>
          </cell>
          <cell r="BH69" t="str">
            <v>IENG</v>
          </cell>
          <cell r="BJ69">
            <v>42167</v>
          </cell>
          <cell r="BK69">
            <v>42121</v>
          </cell>
          <cell r="BL69">
            <v>42172</v>
          </cell>
          <cell r="BM69">
            <v>42139</v>
          </cell>
          <cell r="BT69">
            <v>112</v>
          </cell>
          <cell r="BU69">
            <v>42183</v>
          </cell>
          <cell r="BY69" t="str">
            <v>Reject</v>
          </cell>
          <cell r="CB69" t="str">
            <v>26 May 15 : C2 SAR pdf  rejected(RND rejected because this site is 320m near to AY0490_C04 on air site. So please find new candidate near the nominal point.); 23May15: C2 SAR Sub. C1 SAR Approved. 10May15: C1 SAR Sub.</v>
          </cell>
          <cell r="CE69">
            <v>0</v>
          </cell>
          <cell r="CF69">
            <v>42184</v>
          </cell>
          <cell r="CH69">
            <v>42186</v>
          </cell>
          <cell r="CN69">
            <v>0</v>
          </cell>
          <cell r="CO69">
            <v>42189</v>
          </cell>
          <cell r="CQ69" t="str">
            <v>M4: solar + DG + battery</v>
          </cell>
          <cell r="CR69">
            <v>0</v>
          </cell>
          <cell r="CS69">
            <v>42190</v>
          </cell>
          <cell r="CU69" t="str">
            <v>AY1075</v>
          </cell>
          <cell r="DH69">
            <v>0</v>
          </cell>
          <cell r="DI69">
            <v>42200</v>
          </cell>
          <cell r="DK69">
            <v>42197</v>
          </cell>
          <cell r="DM69">
            <v>42201</v>
          </cell>
          <cell r="DO69">
            <v>0</v>
          </cell>
          <cell r="DP69">
            <v>42200</v>
          </cell>
          <cell r="DT69">
            <v>0</v>
          </cell>
          <cell r="DU69">
            <v>42215</v>
          </cell>
          <cell r="DW69">
            <v>0</v>
          </cell>
          <cell r="DY69">
            <v>42201</v>
          </cell>
          <cell r="EA69" t="str">
            <v>IENG</v>
          </cell>
          <cell r="EJ69">
            <v>0</v>
          </cell>
          <cell r="EK69">
            <v>42216</v>
          </cell>
          <cell r="EM69">
            <v>42217</v>
          </cell>
          <cell r="EQ69">
            <v>42224</v>
          </cell>
          <cell r="EW69">
            <v>0</v>
          </cell>
          <cell r="EX69">
            <v>42211</v>
          </cell>
          <cell r="EZ69">
            <v>42234</v>
          </cell>
          <cell r="FB69">
            <v>42236</v>
          </cell>
          <cell r="FU69">
            <v>42238</v>
          </cell>
          <cell r="FW69">
            <v>42238</v>
          </cell>
          <cell r="GJ69">
            <v>0</v>
          </cell>
          <cell r="GN69" t="str">
            <v>ERICSSON</v>
          </cell>
          <cell r="GS69" t="str">
            <v>4/4/4</v>
          </cell>
          <cell r="GU69" t="str">
            <v xml:space="preserve">		</v>
          </cell>
          <cell r="HD69">
            <v>1</v>
          </cell>
        </row>
        <row r="70">
          <cell r="A70" t="str">
            <v>AY1076</v>
          </cell>
          <cell r="B70" t="str">
            <v>ACAY_0118</v>
          </cell>
          <cell r="C70" t="str">
            <v>Apollo</v>
          </cell>
          <cell r="D70" t="str">
            <v>Emilio Ruiz</v>
          </cell>
          <cell r="F70" t="str">
            <v>Phyo Wai Maung</v>
          </cell>
          <cell r="G70" t="str">
            <v>Thiha Kyaw</v>
          </cell>
          <cell r="H70" t="str">
            <v>RED</v>
          </cell>
          <cell r="I70" t="str">
            <v>South</v>
          </cell>
          <cell r="J70" t="str">
            <v>94.732997</v>
          </cell>
          <cell r="K70" t="str">
            <v>16.770547</v>
          </cell>
          <cell r="L70" t="str">
            <v>Urban</v>
          </cell>
          <cell r="M70" t="str">
            <v>Ayeyarwady</v>
          </cell>
          <cell r="N70" t="str">
            <v>Pathein</v>
          </cell>
          <cell r="O70" t="str">
            <v>Pathein</v>
          </cell>
          <cell r="P70" t="str">
            <v>Pathein</v>
          </cell>
          <cell r="Q70" t="str">
            <v>14</v>
          </cell>
          <cell r="R70" t="str">
            <v>Pathein</v>
          </cell>
          <cell r="S70" t="str">
            <v>297</v>
          </cell>
          <cell r="T70" t="str">
            <v>GSM+UMTS</v>
          </cell>
          <cell r="W70" t="str">
            <v>Ph2-Priority</v>
          </cell>
          <cell r="X70" t="str">
            <v>35</v>
          </cell>
          <cell r="Y70" t="str">
            <v>35</v>
          </cell>
          <cell r="AA70" t="str">
            <v>100</v>
          </cell>
          <cell r="AB70" t="str">
            <v>Access</v>
          </cell>
          <cell r="AC70" t="str">
            <v>Class B</v>
          </cell>
          <cell r="BH70" t="str">
            <v>IENG</v>
          </cell>
          <cell r="BJ70">
            <v>42167</v>
          </cell>
          <cell r="BK70">
            <v>42121</v>
          </cell>
          <cell r="BL70">
            <v>42172</v>
          </cell>
          <cell r="BM70">
            <v>42123</v>
          </cell>
          <cell r="BT70">
            <v>112</v>
          </cell>
          <cell r="BU70">
            <v>42184</v>
          </cell>
          <cell r="CE70">
            <v>0</v>
          </cell>
          <cell r="CF70">
            <v>42185</v>
          </cell>
          <cell r="CH70">
            <v>42187</v>
          </cell>
          <cell r="CN70">
            <v>0</v>
          </cell>
          <cell r="CO70">
            <v>42190</v>
          </cell>
          <cell r="CR70">
            <v>0</v>
          </cell>
          <cell r="CS70">
            <v>42191</v>
          </cell>
          <cell r="CU70" t="str">
            <v>AY1076</v>
          </cell>
          <cell r="DH70">
            <v>0</v>
          </cell>
          <cell r="DI70">
            <v>42201</v>
          </cell>
          <cell r="DK70">
            <v>42198</v>
          </cell>
          <cell r="DM70">
            <v>42202</v>
          </cell>
          <cell r="DO70">
            <v>0</v>
          </cell>
          <cell r="DP70">
            <v>42201</v>
          </cell>
          <cell r="DT70">
            <v>0</v>
          </cell>
          <cell r="DU70">
            <v>42216</v>
          </cell>
          <cell r="DW70">
            <v>0</v>
          </cell>
          <cell r="DY70">
            <v>42202</v>
          </cell>
          <cell r="EA70" t="str">
            <v>IENG</v>
          </cell>
          <cell r="EJ70">
            <v>0</v>
          </cell>
          <cell r="EK70">
            <v>42217</v>
          </cell>
          <cell r="EM70">
            <v>42218</v>
          </cell>
          <cell r="EQ70">
            <v>42225</v>
          </cell>
          <cell r="EW70">
            <v>0</v>
          </cell>
          <cell r="EX70">
            <v>42211</v>
          </cell>
          <cell r="EZ70">
            <v>42235</v>
          </cell>
          <cell r="FB70">
            <v>42237</v>
          </cell>
          <cell r="FU70">
            <v>42239</v>
          </cell>
          <cell r="FW70">
            <v>42239</v>
          </cell>
          <cell r="GJ70">
            <v>0</v>
          </cell>
          <cell r="GN70" t="str">
            <v>ERICSSON</v>
          </cell>
          <cell r="GS70" t="str">
            <v>4/4/4</v>
          </cell>
          <cell r="GU70" t="str">
            <v xml:space="preserve">		</v>
          </cell>
          <cell r="HD70">
            <v>1</v>
          </cell>
        </row>
        <row r="71">
          <cell r="A71" t="str">
            <v>AY1077</v>
          </cell>
          <cell r="B71" t="str">
            <v>ACAY_0119</v>
          </cell>
          <cell r="C71" t="str">
            <v>Apollo</v>
          </cell>
          <cell r="D71" t="str">
            <v>Emilio Ruiz</v>
          </cell>
          <cell r="F71" t="str">
            <v>Phyo Wai Maung</v>
          </cell>
          <cell r="G71" t="str">
            <v>Thiha Kyaw</v>
          </cell>
          <cell r="H71" t="str">
            <v>RED</v>
          </cell>
          <cell r="I71" t="str">
            <v>South</v>
          </cell>
          <cell r="J71" t="str">
            <v>94.371527</v>
          </cell>
          <cell r="K71" t="str">
            <v>16.735684</v>
          </cell>
          <cell r="L71" t="str">
            <v>Rural</v>
          </cell>
          <cell r="M71" t="str">
            <v>Ayeyarwady</v>
          </cell>
          <cell r="N71" t="str">
            <v>Pathein</v>
          </cell>
          <cell r="O71" t="str">
            <v>Pathein</v>
          </cell>
          <cell r="P71" t="str">
            <v>Pathein</v>
          </cell>
          <cell r="Q71" t="str">
            <v>14</v>
          </cell>
          <cell r="R71" t="str">
            <v>Pathein</v>
          </cell>
          <cell r="S71" t="str">
            <v>297</v>
          </cell>
          <cell r="T71" t="str">
            <v>GSM+UMTS</v>
          </cell>
          <cell r="W71" t="str">
            <v>Ph2-Priority</v>
          </cell>
          <cell r="X71" t="str">
            <v>53</v>
          </cell>
          <cell r="Y71" t="str">
            <v>55</v>
          </cell>
          <cell r="Z71" t="str">
            <v>GBT</v>
          </cell>
          <cell r="AA71" t="str">
            <v>500</v>
          </cell>
          <cell r="AB71" t="str">
            <v>Access</v>
          </cell>
          <cell r="AC71" t="str">
            <v>Class C</v>
          </cell>
          <cell r="BH71" t="str">
            <v>IENG</v>
          </cell>
          <cell r="BJ71">
            <v>42168</v>
          </cell>
          <cell r="BK71">
            <v>42127</v>
          </cell>
          <cell r="BL71">
            <v>42173</v>
          </cell>
          <cell r="BM71">
            <v>42132</v>
          </cell>
          <cell r="BT71">
            <v>106</v>
          </cell>
          <cell r="BU71">
            <v>42210</v>
          </cell>
          <cell r="BV71">
            <v>42170</v>
          </cell>
          <cell r="BW71" t="str">
            <v>96.71827</v>
          </cell>
          <cell r="BX71" t="str">
            <v>17.51025</v>
          </cell>
          <cell r="BY71" t="str">
            <v>C1</v>
          </cell>
          <cell r="BZ71" t="str">
            <v>No(222), 5 Eain Su Street, Ahbyar Boe Tale Village,Waw Township, Bago.</v>
          </cell>
          <cell r="CA71" t="str">
            <v>U Par Ni;09-78827702, 09-972153105</v>
          </cell>
          <cell r="CB71" t="str">
            <v>15Jun15: C1 SAR Sub</v>
          </cell>
          <cell r="CE71">
            <v>0</v>
          </cell>
          <cell r="CF71">
            <v>42211</v>
          </cell>
          <cell r="CG71">
            <v>42172</v>
          </cell>
          <cell r="CH71">
            <v>42213</v>
          </cell>
          <cell r="CJ71">
            <v>42176</v>
          </cell>
          <cell r="CK71" t="str">
            <v>45</v>
          </cell>
          <cell r="CL71" t="str">
            <v>47</v>
          </cell>
          <cell r="CM71" t="str">
            <v>45</v>
          </cell>
          <cell r="CN71">
            <v>0</v>
          </cell>
          <cell r="CO71">
            <v>42216</v>
          </cell>
          <cell r="CP71">
            <v>42178</v>
          </cell>
          <cell r="CQ71" t="str">
            <v>M4: solar + DG + battery</v>
          </cell>
          <cell r="CR71">
            <v>0</v>
          </cell>
          <cell r="CS71">
            <v>42217</v>
          </cell>
          <cell r="CT71">
            <v>42179</v>
          </cell>
          <cell r="CU71" t="str">
            <v>AY1077</v>
          </cell>
          <cell r="DH71">
            <v>0</v>
          </cell>
          <cell r="DI71">
            <v>42227</v>
          </cell>
          <cell r="DJ71">
            <v>42201</v>
          </cell>
          <cell r="DK71">
            <v>42224</v>
          </cell>
          <cell r="DL71">
            <v>42208</v>
          </cell>
          <cell r="DM71">
            <v>42228</v>
          </cell>
          <cell r="DN71">
            <v>42208</v>
          </cell>
          <cell r="DO71">
            <v>0</v>
          </cell>
          <cell r="DP71">
            <v>42227</v>
          </cell>
          <cell r="DQ71">
            <v>42201</v>
          </cell>
          <cell r="DT71">
            <v>0</v>
          </cell>
          <cell r="DU71">
            <v>42242</v>
          </cell>
          <cell r="DW71">
            <v>0</v>
          </cell>
          <cell r="DY71">
            <v>42228</v>
          </cell>
          <cell r="DZ71">
            <v>42203</v>
          </cell>
          <cell r="EA71" t="str">
            <v>IENG</v>
          </cell>
          <cell r="EB71">
            <v>42215</v>
          </cell>
          <cell r="EE71" t="str">
            <v xml:space="preserve">10 Aug 15:Flood affected_Hold-No access; 30-Jul-15:Site access &amp; site full of water								</v>
          </cell>
          <cell r="EJ71">
            <v>0</v>
          </cell>
          <cell r="EK71">
            <v>42250</v>
          </cell>
          <cell r="EM71">
            <v>42251</v>
          </cell>
          <cell r="EQ71">
            <v>42263</v>
          </cell>
          <cell r="EW71">
            <v>0</v>
          </cell>
          <cell r="EX71">
            <v>42293</v>
          </cell>
          <cell r="EZ71">
            <v>42273</v>
          </cell>
          <cell r="FB71">
            <v>42275</v>
          </cell>
          <cell r="FU71">
            <v>42277</v>
          </cell>
          <cell r="FW71">
            <v>42277</v>
          </cell>
          <cell r="GJ71">
            <v>0</v>
          </cell>
          <cell r="GN71" t="str">
            <v>ERICSSON</v>
          </cell>
          <cell r="GS71" t="str">
            <v>4/4/4</v>
          </cell>
          <cell r="GU71" t="str">
            <v xml:space="preserve">		</v>
          </cell>
          <cell r="HD71">
            <v>1</v>
          </cell>
        </row>
        <row r="72">
          <cell r="A72" t="str">
            <v>AY1078</v>
          </cell>
          <cell r="B72" t="str">
            <v>ACAY_0120</v>
          </cell>
          <cell r="C72" t="str">
            <v>Apollo</v>
          </cell>
          <cell r="D72" t="str">
            <v>Emilio Ruiz</v>
          </cell>
          <cell r="F72" t="str">
            <v>Phyo Wai Maung</v>
          </cell>
          <cell r="G72" t="str">
            <v>Thiha Kyaw</v>
          </cell>
          <cell r="H72" t="str">
            <v>YELLOW</v>
          </cell>
          <cell r="I72" t="str">
            <v>South</v>
          </cell>
          <cell r="J72" t="str">
            <v>95.086368</v>
          </cell>
          <cell r="K72" t="str">
            <v>17.100067</v>
          </cell>
          <cell r="L72" t="str">
            <v>Rural</v>
          </cell>
          <cell r="M72" t="str">
            <v>Ayeyarwady</v>
          </cell>
          <cell r="N72" t="str">
            <v>Kyaunggon</v>
          </cell>
          <cell r="O72" t="str">
            <v>Kyaunggon</v>
          </cell>
          <cell r="P72" t="str">
            <v>Pathein</v>
          </cell>
          <cell r="Q72" t="str">
            <v>14</v>
          </cell>
          <cell r="R72" t="str">
            <v>Kyaunggon</v>
          </cell>
          <cell r="S72" t="str">
            <v>303</v>
          </cell>
          <cell r="T72" t="str">
            <v>GSM+UMTS</v>
          </cell>
          <cell r="W72" t="str">
            <v>Ph2-Priority</v>
          </cell>
          <cell r="X72" t="str">
            <v>53</v>
          </cell>
          <cell r="Y72" t="str">
            <v>55</v>
          </cell>
          <cell r="Z72" t="str">
            <v>GBT</v>
          </cell>
          <cell r="AA72" t="str">
            <v>500</v>
          </cell>
          <cell r="AB72" t="str">
            <v>Access</v>
          </cell>
          <cell r="AC72" t="str">
            <v>Class C</v>
          </cell>
          <cell r="BH72" t="str">
            <v>IENG</v>
          </cell>
          <cell r="BJ72">
            <v>42130</v>
          </cell>
          <cell r="BK72">
            <v>42125</v>
          </cell>
          <cell r="BL72">
            <v>42135</v>
          </cell>
          <cell r="BM72">
            <v>42125</v>
          </cell>
          <cell r="BT72">
            <v>10</v>
          </cell>
          <cell r="BU72">
            <v>42118</v>
          </cell>
          <cell r="BV72">
            <v>42135</v>
          </cell>
          <cell r="BW72" t="str">
            <v>95.08871</v>
          </cell>
          <cell r="BX72" t="str">
            <v>17.09953</v>
          </cell>
          <cell r="BY72" t="str">
            <v>C1</v>
          </cell>
          <cell r="BZ72" t="str">
            <v>No(4/106),Kan Ka Lay Village,Kyaung Kone Tsp;Ayeyawady Division.</v>
          </cell>
          <cell r="CA72" t="str">
            <v>Ma Khaing Khaing Maw;No(4/106),Kan Ka Lay Village,Kyaung Kone Tsp;Ayeyawady Division;09-49720066,36329090,791225827</v>
          </cell>
          <cell r="CB72" t="str">
            <v>13 May 15: C1 SAR approved as an oprion1(RND approved with 53m/60m GBT as priority 1 and this site is 265m far from the nominal point.); 11May15: C1 SAR Sub</v>
          </cell>
          <cell r="CC72" t="str">
            <v>Garden Land</v>
          </cell>
          <cell r="CE72">
            <v>2</v>
          </cell>
          <cell r="CF72">
            <v>42119</v>
          </cell>
          <cell r="CG72">
            <v>42137</v>
          </cell>
          <cell r="CH72">
            <v>42121</v>
          </cell>
          <cell r="CJ72">
            <v>42138</v>
          </cell>
          <cell r="CK72" t="str">
            <v>53</v>
          </cell>
          <cell r="CL72" t="str">
            <v>55</v>
          </cell>
          <cell r="CM72" t="str">
            <v>60</v>
          </cell>
          <cell r="CN72">
            <v>8</v>
          </cell>
          <cell r="CO72">
            <v>42124</v>
          </cell>
          <cell r="CP72">
            <v>42145</v>
          </cell>
          <cell r="CQ72" t="str">
            <v>M4: solar + DG + battery</v>
          </cell>
          <cell r="CR72">
            <v>1</v>
          </cell>
          <cell r="CS72">
            <v>42125</v>
          </cell>
          <cell r="CT72">
            <v>42146</v>
          </cell>
          <cell r="CU72" t="str">
            <v>AY1078</v>
          </cell>
          <cell r="DH72">
            <v>20</v>
          </cell>
          <cell r="DI72">
            <v>42163</v>
          </cell>
          <cell r="DJ72">
            <v>42166</v>
          </cell>
          <cell r="DK72">
            <v>42160</v>
          </cell>
          <cell r="DL72">
            <v>42166</v>
          </cell>
          <cell r="DM72">
            <v>42164</v>
          </cell>
          <cell r="DN72">
            <v>42187</v>
          </cell>
          <cell r="DO72">
            <v>0</v>
          </cell>
          <cell r="DP72">
            <v>42163</v>
          </cell>
          <cell r="DQ72">
            <v>42166</v>
          </cell>
          <cell r="DT72">
            <v>67</v>
          </cell>
          <cell r="DU72">
            <v>42178</v>
          </cell>
          <cell r="DW72">
            <v>0</v>
          </cell>
          <cell r="DY72">
            <v>42164</v>
          </cell>
          <cell r="DZ72">
            <v>42181</v>
          </cell>
          <cell r="EA72" t="str">
            <v>IENG</v>
          </cell>
          <cell r="EE72" t="str">
            <v xml:space="preserve">10 Aug 15:Rain affected_Progress affected; 4-Aug-15: tower foundation done w/ backfill, on going material delivery for ODU pad								</v>
          </cell>
          <cell r="EJ72">
            <v>30</v>
          </cell>
          <cell r="EK72">
            <v>42186</v>
          </cell>
          <cell r="EL72">
            <v>42211</v>
          </cell>
          <cell r="EM72">
            <v>42187</v>
          </cell>
          <cell r="EQ72">
            <v>42199</v>
          </cell>
          <cell r="ES72">
            <v>42237</v>
          </cell>
          <cell r="EW72">
            <v>52</v>
          </cell>
          <cell r="EX72">
            <v>42213</v>
          </cell>
          <cell r="EZ72">
            <v>42209</v>
          </cell>
          <cell r="FB72">
            <v>42211</v>
          </cell>
          <cell r="FS72">
            <v>42192</v>
          </cell>
          <cell r="FT72" t="str">
            <v>Off Grid</v>
          </cell>
          <cell r="FU72">
            <v>42213</v>
          </cell>
          <cell r="FW72">
            <v>42213</v>
          </cell>
          <cell r="GI72">
            <v>42216</v>
          </cell>
          <cell r="GJ72" t="str">
            <v>36-2015</v>
          </cell>
          <cell r="GL72" t="str">
            <v>Need to Prepare SMR</v>
          </cell>
          <cell r="GN72" t="str">
            <v xml:space="preserve">ERICSSON </v>
          </cell>
          <cell r="GO72">
            <v>42173</v>
          </cell>
          <cell r="GQ72" t="str">
            <v xml:space="preserve">SMR Pending; </v>
          </cell>
          <cell r="GS72" t="str">
            <v>4/4/4</v>
          </cell>
          <cell r="GU72" t="str">
            <v xml:space="preserve">		</v>
          </cell>
          <cell r="HD72">
            <v>1</v>
          </cell>
        </row>
        <row r="73">
          <cell r="A73" t="str">
            <v>AY1079</v>
          </cell>
          <cell r="B73" t="str">
            <v>ACAY_0121</v>
          </cell>
          <cell r="C73" t="str">
            <v>Apollo</v>
          </cell>
          <cell r="D73" t="str">
            <v>Emilio Ruiz</v>
          </cell>
          <cell r="F73" t="str">
            <v>Phyo Wai Maung</v>
          </cell>
          <cell r="G73" t="str">
            <v>Thiha Kyaw</v>
          </cell>
          <cell r="H73" t="str">
            <v>YELLOW</v>
          </cell>
          <cell r="I73" t="str">
            <v>South</v>
          </cell>
          <cell r="J73" t="str">
            <v>95.553527</v>
          </cell>
          <cell r="K73" t="str">
            <v>17.048492</v>
          </cell>
          <cell r="L73" t="str">
            <v>Rural</v>
          </cell>
          <cell r="M73" t="str">
            <v>Ayeyarwady</v>
          </cell>
          <cell r="N73" t="str">
            <v>Nyaungdon</v>
          </cell>
          <cell r="O73" t="str">
            <v>Nyaungdon</v>
          </cell>
          <cell r="P73" t="str">
            <v>Hinthada</v>
          </cell>
          <cell r="Q73" t="str">
            <v>13</v>
          </cell>
          <cell r="R73" t="str">
            <v>Nyaungdon</v>
          </cell>
          <cell r="S73" t="str">
            <v>317</v>
          </cell>
          <cell r="T73" t="str">
            <v>GSM+UMTS</v>
          </cell>
          <cell r="W73" t="str">
            <v>Ph2-Priority</v>
          </cell>
          <cell r="X73" t="str">
            <v>53</v>
          </cell>
          <cell r="Y73" t="str">
            <v>55</v>
          </cell>
          <cell r="Z73" t="str">
            <v>GBT</v>
          </cell>
          <cell r="AA73" t="str">
            <v>500</v>
          </cell>
          <cell r="AB73" t="str">
            <v>Access</v>
          </cell>
          <cell r="AC73" t="str">
            <v>Class C</v>
          </cell>
          <cell r="BE73" t="str">
            <v>Route 1 Yangon - Mandalay</v>
          </cell>
          <cell r="BH73" t="str">
            <v>IENG</v>
          </cell>
          <cell r="BJ73">
            <v>42146</v>
          </cell>
          <cell r="BK73">
            <v>42125</v>
          </cell>
          <cell r="BL73">
            <v>42151</v>
          </cell>
          <cell r="BM73">
            <v>42132</v>
          </cell>
          <cell r="BT73">
            <v>17</v>
          </cell>
          <cell r="BU73">
            <v>42217</v>
          </cell>
          <cell r="BV73">
            <v>42142</v>
          </cell>
          <cell r="BW73" t="str">
            <v>95.55587</v>
          </cell>
          <cell r="BX73" t="str">
            <v>17.05136</v>
          </cell>
          <cell r="BY73" t="str">
            <v>C1</v>
          </cell>
          <cell r="BZ73" t="str">
            <v>Sindon Group,Kyein Pin Sal Village,Nyaungdon Township,Ayeyarwady</v>
          </cell>
          <cell r="CA73" t="str">
            <v>U Tin Hla;Sindon Group,Kyein Pin Sal Village,Nyaungdon Township,Ayeyarwady;09-31697953,09-292715717;(U Zaw Wann;09-31697953,09-292715717)</v>
          </cell>
          <cell r="CB73" t="str">
            <v>18May15: C1 SAR Sub</v>
          </cell>
          <cell r="CE73">
            <v>1</v>
          </cell>
          <cell r="CF73">
            <v>42218</v>
          </cell>
          <cell r="CG73">
            <v>42143</v>
          </cell>
          <cell r="CH73">
            <v>42220</v>
          </cell>
          <cell r="CJ73">
            <v>42149</v>
          </cell>
          <cell r="CK73" t="str">
            <v>53</v>
          </cell>
          <cell r="CL73" t="str">
            <v>55</v>
          </cell>
          <cell r="CM73" t="str">
            <v>60</v>
          </cell>
          <cell r="CN73">
            <v>8</v>
          </cell>
          <cell r="CO73">
            <v>42223</v>
          </cell>
          <cell r="CP73">
            <v>42151</v>
          </cell>
          <cell r="CQ73" t="str">
            <v>M4: solar + DG + battery</v>
          </cell>
          <cell r="CR73">
            <v>1</v>
          </cell>
          <cell r="CS73">
            <v>42224</v>
          </cell>
          <cell r="CT73">
            <v>42152</v>
          </cell>
          <cell r="CU73" t="str">
            <v>AY1079</v>
          </cell>
          <cell r="DH73">
            <v>81</v>
          </cell>
          <cell r="DI73">
            <v>42234</v>
          </cell>
          <cell r="DK73">
            <v>42231</v>
          </cell>
          <cell r="DL73">
            <v>42181</v>
          </cell>
          <cell r="DM73">
            <v>42235</v>
          </cell>
          <cell r="DN73">
            <v>42185</v>
          </cell>
          <cell r="DO73">
            <v>0</v>
          </cell>
          <cell r="DP73">
            <v>42234</v>
          </cell>
          <cell r="DT73">
            <v>0</v>
          </cell>
          <cell r="DU73">
            <v>42249</v>
          </cell>
          <cell r="DW73">
            <v>0</v>
          </cell>
          <cell r="DY73">
            <v>42235</v>
          </cell>
          <cell r="DZ73">
            <v>42186</v>
          </cell>
          <cell r="EA73" t="str">
            <v>IENG</v>
          </cell>
          <cell r="ED73" t="str">
            <v>27Jul15 :Thiha.Kyaw: 27-7-15 Back filling  90% Done.
20Jul15 :Thiha.Kyaw: 17-7-15 Back filling in progress.
13Jul15 :Thiha.Kyaw: 13-7-15 Anchor bolt installation in progress.</v>
          </cell>
          <cell r="EE73" t="str">
            <v xml:space="preserve">10 Aug 15:Rain affected_Progress affected; 4-Aug-15:  ACCESS PROBLEM IF CONTINUOUS RAIN (DIRT ROAD),on going tower erection,Power-Due to flooded area materials cannot reach site by truck, arranging manpower for delivery today.
Installation on going expected completion by today.								</v>
          </cell>
          <cell r="EI73" t="str">
            <v>M7: 2DG + battery      </v>
          </cell>
          <cell r="EJ73">
            <v>14</v>
          </cell>
          <cell r="EK73">
            <v>42257</v>
          </cell>
          <cell r="EL73">
            <v>42200</v>
          </cell>
          <cell r="EM73">
            <v>42258</v>
          </cell>
          <cell r="EN73">
            <v>42200</v>
          </cell>
          <cell r="EQ73">
            <v>42270</v>
          </cell>
          <cell r="ER73">
            <v>42229</v>
          </cell>
          <cell r="ES73">
            <v>42237</v>
          </cell>
          <cell r="ET73">
            <v>42230</v>
          </cell>
          <cell r="EU73">
            <v>42230</v>
          </cell>
          <cell r="EW73">
            <v>47</v>
          </cell>
          <cell r="EX73">
            <v>42293</v>
          </cell>
          <cell r="EZ73">
            <v>42280</v>
          </cell>
          <cell r="FA73">
            <v>42249</v>
          </cell>
          <cell r="FB73">
            <v>42282</v>
          </cell>
          <cell r="FC73">
            <v>42249</v>
          </cell>
          <cell r="FU73">
            <v>42284</v>
          </cell>
          <cell r="FW73">
            <v>42284</v>
          </cell>
          <cell r="FX73">
            <v>42230</v>
          </cell>
          <cell r="FY73" t="str">
            <v>EM</v>
          </cell>
          <cell r="FZ73">
            <v>42201</v>
          </cell>
          <cell r="GA73">
            <v>42206</v>
          </cell>
          <cell r="GB73">
            <v>42208</v>
          </cell>
          <cell r="GE73">
            <v>42208</v>
          </cell>
          <cell r="GF73">
            <v>42208</v>
          </cell>
          <cell r="GI73">
            <v>42246</v>
          </cell>
          <cell r="GJ73" t="str">
            <v>36-2015</v>
          </cell>
          <cell r="GL73" t="str">
            <v>Upstream Dependency :: BA0801_R (Reapeter Reqd.)</v>
          </cell>
          <cell r="GN73" t="str">
            <v>ERICSSON</v>
          </cell>
          <cell r="GO73">
            <v>42159</v>
          </cell>
          <cell r="GP73">
            <v>42199</v>
          </cell>
          <cell r="GQ73" t="str">
            <v xml:space="preserve">Upstream Dependency; </v>
          </cell>
          <cell r="GS73" t="str">
            <v>4/4/4</v>
          </cell>
          <cell r="GU73" t="str">
            <v xml:space="preserve">		</v>
          </cell>
          <cell r="HD73">
            <v>1</v>
          </cell>
        </row>
        <row r="74">
          <cell r="A74" t="str">
            <v>AY1082</v>
          </cell>
          <cell r="B74" t="str">
            <v>ACAY_0122</v>
          </cell>
          <cell r="C74" t="str">
            <v>Apollo</v>
          </cell>
          <cell r="D74" t="str">
            <v>Emilio Ruiz</v>
          </cell>
          <cell r="F74" t="str">
            <v>Phyo Wai Maung</v>
          </cell>
          <cell r="G74" t="str">
            <v>Thiha Kyaw</v>
          </cell>
          <cell r="H74" t="str">
            <v>RED</v>
          </cell>
          <cell r="I74" t="str">
            <v>South</v>
          </cell>
          <cell r="J74" t="str">
            <v>95.1909</v>
          </cell>
          <cell r="K74" t="str">
            <v>17.1097</v>
          </cell>
          <cell r="L74" t="str">
            <v>Rural</v>
          </cell>
          <cell r="M74" t="str">
            <v>Ayeyarwady</v>
          </cell>
          <cell r="N74" t="str">
            <v>Kyaunggon</v>
          </cell>
          <cell r="O74" t="str">
            <v>Kyaunggon</v>
          </cell>
          <cell r="P74" t="str">
            <v>Pathein</v>
          </cell>
          <cell r="Q74" t="str">
            <v>14</v>
          </cell>
          <cell r="R74" t="str">
            <v>Kyaunggon</v>
          </cell>
          <cell r="S74" t="str">
            <v>303</v>
          </cell>
          <cell r="T74" t="str">
            <v>GSM+UMTS</v>
          </cell>
          <cell r="W74" t="str">
            <v>Ph2-Priority</v>
          </cell>
          <cell r="X74" t="str">
            <v>45</v>
          </cell>
          <cell r="Y74" t="str">
            <v>47</v>
          </cell>
          <cell r="Z74" t="str">
            <v>GBT</v>
          </cell>
          <cell r="AA74" t="str">
            <v>500</v>
          </cell>
          <cell r="AB74" t="str">
            <v>Access</v>
          </cell>
          <cell r="AC74" t="str">
            <v>Class C</v>
          </cell>
          <cell r="BE74" t="str">
            <v>Route 17 Monywa - Tamu</v>
          </cell>
          <cell r="BH74" t="str">
            <v>IENG</v>
          </cell>
          <cell r="BJ74">
            <v>42131</v>
          </cell>
          <cell r="BK74">
            <v>42119</v>
          </cell>
          <cell r="BL74">
            <v>42136</v>
          </cell>
          <cell r="BM74">
            <v>42164</v>
          </cell>
          <cell r="BT74">
            <v>114</v>
          </cell>
          <cell r="BU74">
            <v>42125</v>
          </cell>
          <cell r="BV74">
            <v>42174</v>
          </cell>
          <cell r="BW74" t="str">
            <v>93.842986</v>
          </cell>
          <cell r="BX74" t="str">
            <v>22.45123</v>
          </cell>
          <cell r="BY74" t="str">
            <v>Reject</v>
          </cell>
          <cell r="BZ74" t="str">
            <v>No(1) Quarter, No(6) Area, Kyone Pyaw-Kyaung Kone Road, Kyaung Kone Town, Ayeyarwady Division.</v>
          </cell>
          <cell r="CA74" t="str">
            <v>U Thein Win;No(1) Quarter,No(6) Area,Kyone Pyaw-Kyaung Kone Road,Kyaung Kone Township,Ayeyawady Division;09-49740019,793506281</v>
          </cell>
          <cell r="CB74" t="str">
            <v>13 Aug 15: C4 deactivate because of NoC issue in the area; 6 Jul 15 : C4 TSSR sub;3 Jul: C4 TSSR sub;29 Jun 15 :C4 SAR app;26 June 15 : C4 SAR  sub(C1 has NOC ISSUE);22 May 15 : C1 TSSR app;C1 app on 14 May 15;12May15: C1 SAR Sub.</v>
          </cell>
          <cell r="CC74" t="str">
            <v>RESIDENTIAL</v>
          </cell>
          <cell r="CE74">
            <v>0</v>
          </cell>
          <cell r="CF74">
            <v>42126</v>
          </cell>
          <cell r="CG74">
            <v>42179</v>
          </cell>
          <cell r="CH74">
            <v>42128</v>
          </cell>
          <cell r="CJ74">
            <v>42186</v>
          </cell>
          <cell r="CK74" t="str">
            <v>45</v>
          </cell>
          <cell r="CL74" t="str">
            <v>47</v>
          </cell>
          <cell r="CM74" t="str">
            <v>50</v>
          </cell>
          <cell r="CN74">
            <v>0</v>
          </cell>
          <cell r="CO74">
            <v>42131</v>
          </cell>
          <cell r="CP74">
            <v>42188</v>
          </cell>
          <cell r="CQ74" t="str">
            <v>M1: grid power + battery</v>
          </cell>
          <cell r="CR74">
            <v>0</v>
          </cell>
          <cell r="CS74">
            <v>42132</v>
          </cell>
          <cell r="CT74">
            <v>42191</v>
          </cell>
          <cell r="CU74" t="str">
            <v>AY1082</v>
          </cell>
          <cell r="DH74">
            <v>0</v>
          </cell>
          <cell r="DI74">
            <v>42173</v>
          </cell>
          <cell r="DK74">
            <v>42170</v>
          </cell>
          <cell r="DM74">
            <v>42174</v>
          </cell>
          <cell r="DO74">
            <v>0</v>
          </cell>
          <cell r="DP74">
            <v>42173</v>
          </cell>
          <cell r="DT74">
            <v>0</v>
          </cell>
          <cell r="DU74">
            <v>42188</v>
          </cell>
          <cell r="DW74">
            <v>0</v>
          </cell>
          <cell r="DY74">
            <v>42174</v>
          </cell>
          <cell r="EA74" t="str">
            <v>IENG</v>
          </cell>
          <cell r="EJ74">
            <v>0</v>
          </cell>
          <cell r="EK74">
            <v>42191</v>
          </cell>
          <cell r="EM74">
            <v>42192</v>
          </cell>
          <cell r="EQ74">
            <v>42201</v>
          </cell>
          <cell r="EW74">
            <v>0</v>
          </cell>
          <cell r="EX74">
            <v>42215</v>
          </cell>
          <cell r="EZ74">
            <v>42211</v>
          </cell>
          <cell r="FB74">
            <v>42213</v>
          </cell>
          <cell r="FU74">
            <v>42215</v>
          </cell>
          <cell r="FW74">
            <v>42215</v>
          </cell>
          <cell r="GJ74">
            <v>0</v>
          </cell>
          <cell r="GN74" t="str">
            <v>ERICSSON</v>
          </cell>
          <cell r="GS74" t="str">
            <v>4/4/4</v>
          </cell>
          <cell r="GU74" t="str">
            <v xml:space="preserve">		</v>
          </cell>
          <cell r="HD74">
            <v>1</v>
          </cell>
        </row>
        <row r="75">
          <cell r="A75" t="str">
            <v>AY1088</v>
          </cell>
          <cell r="B75" t="str">
            <v>ACAY_0123</v>
          </cell>
          <cell r="C75" t="str">
            <v>Apollo</v>
          </cell>
          <cell r="D75" t="str">
            <v>Emilio Ruiz</v>
          </cell>
          <cell r="F75" t="str">
            <v>Phyo Wai Maung</v>
          </cell>
          <cell r="G75" t="str">
            <v>Thiha Kyaw</v>
          </cell>
          <cell r="H75" t="str">
            <v>YELLOW</v>
          </cell>
          <cell r="I75" t="str">
            <v>South</v>
          </cell>
          <cell r="J75" t="str">
            <v>95.3351</v>
          </cell>
          <cell r="K75" t="str">
            <v>16.7979</v>
          </cell>
          <cell r="L75" t="str">
            <v>Rural</v>
          </cell>
          <cell r="M75" t="str">
            <v>Ayeyarwady</v>
          </cell>
          <cell r="N75" t="str">
            <v>Pantanaw</v>
          </cell>
          <cell r="O75" t="str">
            <v>Pantanaw</v>
          </cell>
          <cell r="P75" t="str">
            <v>Hinthada</v>
          </cell>
          <cell r="Q75" t="str">
            <v>13</v>
          </cell>
          <cell r="R75" t="str">
            <v>Pantanaw</v>
          </cell>
          <cell r="S75" t="str">
            <v>316</v>
          </cell>
          <cell r="T75" t="str">
            <v>GSM+UMTS</v>
          </cell>
          <cell r="W75" t="str">
            <v>Ph2-Priority</v>
          </cell>
          <cell r="X75" t="str">
            <v>45</v>
          </cell>
          <cell r="Y75" t="str">
            <v>47</v>
          </cell>
          <cell r="Z75" t="str">
            <v>GBT</v>
          </cell>
          <cell r="AA75" t="str">
            <v>500</v>
          </cell>
          <cell r="AB75" t="str">
            <v>Access</v>
          </cell>
          <cell r="AC75" t="str">
            <v>Class C</v>
          </cell>
          <cell r="BE75" t="str">
            <v>Yangon South</v>
          </cell>
          <cell r="BH75" t="str">
            <v>IENG</v>
          </cell>
          <cell r="BJ75">
            <v>42136</v>
          </cell>
          <cell r="BK75">
            <v>42120</v>
          </cell>
          <cell r="BL75">
            <v>42141</v>
          </cell>
          <cell r="BM75">
            <v>42127</v>
          </cell>
          <cell r="BT75">
            <v>17</v>
          </cell>
          <cell r="BU75">
            <v>42125</v>
          </cell>
          <cell r="BV75">
            <v>42137</v>
          </cell>
          <cell r="BW75" t="str">
            <v>95.33419</v>
          </cell>
          <cell r="BX75" t="str">
            <v>16.79844</v>
          </cell>
          <cell r="BY75" t="str">
            <v>C1</v>
          </cell>
          <cell r="BZ75" t="str">
            <v>No(29), Htein Dut Village, Pha Yar Chaung Compound, Pann Ta Naw Township, Ayeyawady Division.</v>
          </cell>
          <cell r="CA75" t="str">
            <v>U Sa Aung Myint;No(29),Htein Dut Village,Pha Yar Chaung Compound,Pann Ta Naw Township,Ayeyawady Division;09-792801975,972350561</v>
          </cell>
          <cell r="CB75" t="str">
            <v>13May15: C1 SAR Sub</v>
          </cell>
          <cell r="CC75" t="str">
            <v>Farm Land</v>
          </cell>
          <cell r="CE75">
            <v>1</v>
          </cell>
          <cell r="CF75">
            <v>42126</v>
          </cell>
          <cell r="CG75">
            <v>42138</v>
          </cell>
          <cell r="CH75">
            <v>42128</v>
          </cell>
          <cell r="CJ75">
            <v>42142</v>
          </cell>
          <cell r="CK75" t="str">
            <v>45</v>
          </cell>
          <cell r="CL75" t="str">
            <v>47</v>
          </cell>
          <cell r="CM75" t="str">
            <v>45</v>
          </cell>
          <cell r="CN75">
            <v>7</v>
          </cell>
          <cell r="CO75">
            <v>42131</v>
          </cell>
          <cell r="CP75">
            <v>42145</v>
          </cell>
          <cell r="CQ75" t="str">
            <v>M4: solar + DG + battery</v>
          </cell>
          <cell r="CR75">
            <v>1</v>
          </cell>
          <cell r="CS75">
            <v>42132</v>
          </cell>
          <cell r="CT75">
            <v>42146</v>
          </cell>
          <cell r="CU75" t="str">
            <v>AY1088</v>
          </cell>
          <cell r="DH75">
            <v>20</v>
          </cell>
          <cell r="DI75">
            <v>42173</v>
          </cell>
          <cell r="DJ75">
            <v>42166</v>
          </cell>
          <cell r="DK75">
            <v>42170</v>
          </cell>
          <cell r="DL75">
            <v>42166</v>
          </cell>
          <cell r="DM75">
            <v>42174</v>
          </cell>
          <cell r="DN75">
            <v>42180</v>
          </cell>
          <cell r="DO75">
            <v>0</v>
          </cell>
          <cell r="DP75">
            <v>42173</v>
          </cell>
          <cell r="DQ75">
            <v>42166</v>
          </cell>
          <cell r="DT75">
            <v>67</v>
          </cell>
          <cell r="DU75">
            <v>42188</v>
          </cell>
          <cell r="DW75">
            <v>0</v>
          </cell>
          <cell r="DY75">
            <v>42174</v>
          </cell>
          <cell r="DZ75">
            <v>42180</v>
          </cell>
          <cell r="EA75" t="str">
            <v>IENG</v>
          </cell>
          <cell r="ED75" t="str">
            <v>27Jul15 :Thiha.Kyaw: 27-7-15 Back filling Done,Equipment pad making in progress.
20Jul15 :Thiha.Kyaw: 17-7-15 Back filling in progress.
13Jul15 :Thiha.Kyaw: 13-7-15 Footing Done. Pedestal making in progress.</v>
          </cell>
          <cell r="EE75" t="str">
            <v xml:space="preserve">10 Aug 15:Rain affected_Progress affected; 4-Aug-15:on going elev ODU pad construction								</v>
          </cell>
          <cell r="EJ75">
            <v>20</v>
          </cell>
          <cell r="EK75">
            <v>42191</v>
          </cell>
          <cell r="EL75">
            <v>42200</v>
          </cell>
          <cell r="EM75">
            <v>42192</v>
          </cell>
          <cell r="EQ75">
            <v>42201</v>
          </cell>
          <cell r="ES75">
            <v>42242</v>
          </cell>
          <cell r="EW75">
            <v>53</v>
          </cell>
          <cell r="EX75">
            <v>42215</v>
          </cell>
          <cell r="EZ75">
            <v>42211</v>
          </cell>
          <cell r="FB75">
            <v>42213</v>
          </cell>
          <cell r="FS75">
            <v>42192</v>
          </cell>
          <cell r="FT75" t="str">
            <v>Off Grid</v>
          </cell>
          <cell r="FU75">
            <v>42215</v>
          </cell>
          <cell r="FW75">
            <v>42215</v>
          </cell>
          <cell r="FY75" t="str">
            <v>EM</v>
          </cell>
          <cell r="FZ75">
            <v>42201</v>
          </cell>
          <cell r="GA75">
            <v>42206</v>
          </cell>
          <cell r="GB75">
            <v>42209</v>
          </cell>
          <cell r="GE75">
            <v>42209</v>
          </cell>
          <cell r="GI75">
            <v>42246</v>
          </cell>
          <cell r="GJ75" t="str">
            <v>40-2015</v>
          </cell>
          <cell r="GN75" t="str">
            <v>ERICSSON</v>
          </cell>
          <cell r="GO75">
            <v>42172</v>
          </cell>
          <cell r="GS75" t="str">
            <v>4/4/4</v>
          </cell>
          <cell r="GU75" t="str">
            <v xml:space="preserve">		</v>
          </cell>
          <cell r="HD75">
            <v>1</v>
          </cell>
        </row>
        <row r="76">
          <cell r="A76" t="str">
            <v>AY1089</v>
          </cell>
          <cell r="B76" t="str">
            <v>ACAY_0124</v>
          </cell>
          <cell r="C76" t="str">
            <v>Apollo</v>
          </cell>
          <cell r="D76" t="str">
            <v>Emilio Ruiz</v>
          </cell>
          <cell r="F76" t="str">
            <v>Phyo Wai Maung</v>
          </cell>
          <cell r="G76" t="str">
            <v>Thiha Kyaw</v>
          </cell>
          <cell r="H76" t="str">
            <v>WHITE</v>
          </cell>
          <cell r="I76" t="str">
            <v>South</v>
          </cell>
          <cell r="J76" t="str">
            <v>95.18822206</v>
          </cell>
          <cell r="K76" t="str">
            <v>18.41521</v>
          </cell>
          <cell r="L76" t="str">
            <v>SubUrban</v>
          </cell>
          <cell r="M76" t="str">
            <v>Ayeyarwady</v>
          </cell>
          <cell r="N76" t="str">
            <v>Kyangin</v>
          </cell>
          <cell r="O76" t="str">
            <v>Kyangin</v>
          </cell>
          <cell r="P76" t="str">
            <v>Hinthada</v>
          </cell>
          <cell r="Q76" t="str">
            <v>13</v>
          </cell>
          <cell r="R76" t="str">
            <v>Kyangin</v>
          </cell>
          <cell r="S76" t="str">
            <v>308</v>
          </cell>
          <cell r="T76" t="str">
            <v>GSM+UMTS</v>
          </cell>
          <cell r="W76" t="str">
            <v>Ph2-Priority</v>
          </cell>
          <cell r="X76" t="str">
            <v>35</v>
          </cell>
          <cell r="Y76" t="str">
            <v>35</v>
          </cell>
          <cell r="Z76" t="str">
            <v>GBT</v>
          </cell>
          <cell r="AA76" t="str">
            <v>250</v>
          </cell>
          <cell r="AB76" t="str">
            <v>Access</v>
          </cell>
          <cell r="AC76" t="str">
            <v>Class B</v>
          </cell>
          <cell r="BE76" t="str">
            <v>Route 5 Yangon - Pathein</v>
          </cell>
          <cell r="BH76" t="str">
            <v>IENG</v>
          </cell>
          <cell r="BJ76">
            <v>42108</v>
          </cell>
          <cell r="BK76">
            <v>42121</v>
          </cell>
          <cell r="BL76">
            <v>42113</v>
          </cell>
          <cell r="BM76">
            <v>42113</v>
          </cell>
          <cell r="BT76">
            <v>2</v>
          </cell>
          <cell r="BU76">
            <v>42123</v>
          </cell>
          <cell r="BV76">
            <v>42123</v>
          </cell>
          <cell r="BW76" t="str">
            <v>95.18807</v>
          </cell>
          <cell r="BX76" t="str">
            <v>18.41344</v>
          </cell>
          <cell r="BY76" t="str">
            <v>C1</v>
          </cell>
          <cell r="BZ76" t="str">
            <v>Sone lal village track, Kyaung Kone quarter, seik thar village,Kyan khin township,Hintatha distinct, Ayarwaddy division</v>
          </cell>
          <cell r="CA76" t="str">
            <v>U Kyi Htay;Sone lal village track, Kyaung Kone quarter, seik thar village,Hintatha distinct, Ayarwaddy division;09 32388350</v>
          </cell>
          <cell r="CB76" t="str">
            <v>5 May15: C1 SAR approved as an option1(RND approved with 35m / 37m GBT as priority 1. This site is 198m far from the nominal point.); 29Apr15: C1 SAR Sub</v>
          </cell>
          <cell r="CC76" t="str">
            <v>Garden Land</v>
          </cell>
          <cell r="CE76">
            <v>6</v>
          </cell>
          <cell r="CF76">
            <v>42124</v>
          </cell>
          <cell r="CG76">
            <v>42129</v>
          </cell>
          <cell r="CH76">
            <v>42126</v>
          </cell>
          <cell r="CJ76">
            <v>42130</v>
          </cell>
          <cell r="CK76" t="str">
            <v>35</v>
          </cell>
          <cell r="CL76" t="str">
            <v>37</v>
          </cell>
          <cell r="CM76" t="str">
            <v>35</v>
          </cell>
          <cell r="CN76">
            <v>3</v>
          </cell>
          <cell r="CO76">
            <v>42129</v>
          </cell>
          <cell r="CP76">
            <v>42132</v>
          </cell>
          <cell r="CQ76" t="str">
            <v>M4: solar + DG + battery</v>
          </cell>
          <cell r="CR76">
            <v>4</v>
          </cell>
          <cell r="CS76">
            <v>42130</v>
          </cell>
          <cell r="CT76">
            <v>42136</v>
          </cell>
          <cell r="CU76" t="str">
            <v>AY1089</v>
          </cell>
          <cell r="DH76">
            <v>14</v>
          </cell>
          <cell r="DI76">
            <v>42140</v>
          </cell>
          <cell r="DJ76">
            <v>42150</v>
          </cell>
          <cell r="DK76">
            <v>42137</v>
          </cell>
          <cell r="DL76">
            <v>42153</v>
          </cell>
          <cell r="DM76">
            <v>42156</v>
          </cell>
          <cell r="DN76">
            <v>42153</v>
          </cell>
          <cell r="DO76">
            <v>0</v>
          </cell>
          <cell r="DP76">
            <v>42140</v>
          </cell>
          <cell r="DQ76">
            <v>42150</v>
          </cell>
          <cell r="DT76">
            <v>83</v>
          </cell>
          <cell r="DU76">
            <v>42155</v>
          </cell>
          <cell r="DW76">
            <v>0</v>
          </cell>
          <cell r="DY76">
            <v>42156</v>
          </cell>
          <cell r="DZ76">
            <v>42156</v>
          </cell>
          <cell r="EA76" t="str">
            <v>IENG</v>
          </cell>
          <cell r="ED76" t="str">
            <v>20Jul15 :Thiha.Kyaw: 17-7-15 Site on air .
13Jul15 :Thiha.Kyaw: 10-7-15 Telecom instllation in progress, Fencing making in progress.
06Jul15 :Thiha.Kyaw: 6-7-15 Tower erection in progress. Power on site.
06Jul15 :Thiha.Kyaw: 6-7-15 Tower erection in progress. Power on site.
26Jun15 :Thiha.Kyaw: 26-6-15 Tower erection in progress.
22Jun15 :Thiha.Kyaw: 22-6-15 Back filling Done. Equipment pad making in progress. Tower on site.
12Jun15 :Thiha.Kyaw: 12-6-15Footing making in progress.</v>
          </cell>
          <cell r="EE76" t="str">
            <v>19Jun15 Pedestal Done. Back filling in progress. Tower on site. 15Jun15: Pedestal making in progress.</v>
          </cell>
          <cell r="EI76" t="str">
            <v>M5: grid power + DG + battery      </v>
          </cell>
          <cell r="EJ76">
            <v>16</v>
          </cell>
          <cell r="EK76">
            <v>42166</v>
          </cell>
          <cell r="EL76">
            <v>42172</v>
          </cell>
          <cell r="EM76">
            <v>42167</v>
          </cell>
          <cell r="EN76">
            <v>42172</v>
          </cell>
          <cell r="EQ76">
            <v>42174</v>
          </cell>
          <cell r="ER76">
            <v>42191</v>
          </cell>
          <cell r="ES76">
            <v>42178</v>
          </cell>
          <cell r="ET76">
            <v>42191</v>
          </cell>
          <cell r="EU76">
            <v>42191</v>
          </cell>
          <cell r="EW76">
            <v>45</v>
          </cell>
          <cell r="EX76">
            <v>42185</v>
          </cell>
          <cell r="EY76">
            <v>42201</v>
          </cell>
          <cell r="EZ76">
            <v>42181</v>
          </cell>
          <cell r="FA76">
            <v>42186</v>
          </cell>
          <cell r="FB76">
            <v>42183</v>
          </cell>
          <cell r="FC76">
            <v>42191</v>
          </cell>
          <cell r="FE76">
            <v>42160</v>
          </cell>
          <cell r="FG76">
            <v>42165</v>
          </cell>
          <cell r="FU76">
            <v>42185</v>
          </cell>
          <cell r="FV76">
            <v>42202</v>
          </cell>
          <cell r="FW76">
            <v>42185</v>
          </cell>
          <cell r="FX76">
            <v>42191</v>
          </cell>
          <cell r="FY76" t="str">
            <v>TN</v>
          </cell>
          <cell r="FZ76">
            <v>42174</v>
          </cell>
          <cell r="GA76">
            <v>42176</v>
          </cell>
          <cell r="GB76">
            <v>42192</v>
          </cell>
          <cell r="GC76">
            <v>42193</v>
          </cell>
          <cell r="GD76">
            <v>42194</v>
          </cell>
          <cell r="GE76">
            <v>42194</v>
          </cell>
          <cell r="GF76">
            <v>42194</v>
          </cell>
          <cell r="GG76">
            <v>42194</v>
          </cell>
          <cell r="GH76">
            <v>42194</v>
          </cell>
          <cell r="GI76">
            <v>42216</v>
          </cell>
          <cell r="GJ76" t="str">
            <v>28-2015</v>
          </cell>
          <cell r="GK76">
            <v>42194</v>
          </cell>
          <cell r="GN76" t="str">
            <v xml:space="preserve">ERICSSON </v>
          </cell>
          <cell r="GO76">
            <v>42158</v>
          </cell>
          <cell r="GS76" t="str">
            <v>4/4/4</v>
          </cell>
          <cell r="GU76" t="str">
            <v xml:space="preserve">		</v>
          </cell>
          <cell r="HD76">
            <v>1</v>
          </cell>
        </row>
        <row r="77">
          <cell r="A77" t="str">
            <v>AY1090</v>
          </cell>
          <cell r="B77" t="str">
            <v>ACAY_0125</v>
          </cell>
          <cell r="C77" t="str">
            <v>Apollo</v>
          </cell>
          <cell r="D77" t="str">
            <v>Emilio Ruiz</v>
          </cell>
          <cell r="F77" t="str">
            <v>Phyo Wai Maung</v>
          </cell>
          <cell r="G77" t="str">
            <v>Thiha Kyaw</v>
          </cell>
          <cell r="H77" t="str">
            <v>WHITE</v>
          </cell>
          <cell r="I77" t="str">
            <v>South</v>
          </cell>
          <cell r="J77" t="str">
            <v>95.19610885</v>
          </cell>
          <cell r="K77" t="str">
            <v>18.38974</v>
          </cell>
          <cell r="L77" t="str">
            <v>SubUrban</v>
          </cell>
          <cell r="M77" t="str">
            <v>Ayeyarwady</v>
          </cell>
          <cell r="N77" t="str">
            <v>Kyangin</v>
          </cell>
          <cell r="O77" t="str">
            <v>Kyangin</v>
          </cell>
          <cell r="P77" t="str">
            <v>Hinthada</v>
          </cell>
          <cell r="Q77" t="str">
            <v>13</v>
          </cell>
          <cell r="R77" t="str">
            <v>Kyangin</v>
          </cell>
          <cell r="S77" t="str">
            <v>308</v>
          </cell>
          <cell r="T77" t="str">
            <v>GSM+UMTS</v>
          </cell>
          <cell r="W77" t="str">
            <v>Ph2-Priority</v>
          </cell>
          <cell r="X77" t="str">
            <v>35</v>
          </cell>
          <cell r="Y77" t="str">
            <v>35</v>
          </cell>
          <cell r="Z77" t="str">
            <v>GBT</v>
          </cell>
          <cell r="AA77" t="str">
            <v>250</v>
          </cell>
          <cell r="AB77" t="str">
            <v>Access</v>
          </cell>
          <cell r="AC77" t="str">
            <v>Class B</v>
          </cell>
          <cell r="BE77" t="str">
            <v>Route 5 Yangon - Pathein</v>
          </cell>
          <cell r="BH77" t="str">
            <v>IENG</v>
          </cell>
          <cell r="BJ77">
            <v>42108</v>
          </cell>
          <cell r="BK77">
            <v>42121</v>
          </cell>
          <cell r="BL77">
            <v>42113</v>
          </cell>
          <cell r="BM77">
            <v>42113</v>
          </cell>
          <cell r="BT77">
            <v>2</v>
          </cell>
          <cell r="BU77">
            <v>42123</v>
          </cell>
          <cell r="BV77">
            <v>42123</v>
          </cell>
          <cell r="BW77" t="str">
            <v>95.19506</v>
          </cell>
          <cell r="BX77" t="str">
            <v>18.39138</v>
          </cell>
          <cell r="BY77" t="str">
            <v>C1</v>
          </cell>
          <cell r="BZ77" t="str">
            <v>No. (30) Si Sone Kone Village, Kyan Khin township, Hintatha distinct, Ayarwaddy division Kyan Khin township ,Hintatha distinct ,Ayarwaddy division</v>
          </cell>
          <cell r="CA77" t="str">
            <v>Daw Myint San;No. (30) Si Sone Kone Village, Kyan Khin township, Hintatha distinct.;09451246287 , 09422523919</v>
          </cell>
          <cell r="CB77" t="str">
            <v>5 May15:C1 SAR approved as an option1( RND approved with 35m / 37m GBT as priority 1. This site is 212m far from the nominal point.);29Apr15: C1 SAR Sub</v>
          </cell>
          <cell r="CC77" t="str">
            <v>Garden Land</v>
          </cell>
          <cell r="CE77">
            <v>6</v>
          </cell>
          <cell r="CF77">
            <v>42124</v>
          </cell>
          <cell r="CG77">
            <v>42129</v>
          </cell>
          <cell r="CH77">
            <v>42126</v>
          </cell>
          <cell r="CJ77">
            <v>42130</v>
          </cell>
          <cell r="CK77" t="str">
            <v>35</v>
          </cell>
          <cell r="CL77" t="str">
            <v>37</v>
          </cell>
          <cell r="CM77" t="str">
            <v>35</v>
          </cell>
          <cell r="CN77">
            <v>3</v>
          </cell>
          <cell r="CO77">
            <v>42129</v>
          </cell>
          <cell r="CP77">
            <v>42132</v>
          </cell>
          <cell r="CQ77" t="str">
            <v>M4: solar + DG + battery</v>
          </cell>
          <cell r="CR77">
            <v>4</v>
          </cell>
          <cell r="CS77">
            <v>42130</v>
          </cell>
          <cell r="CT77">
            <v>42136</v>
          </cell>
          <cell r="CU77" t="str">
            <v>AY1090</v>
          </cell>
          <cell r="DH77">
            <v>14</v>
          </cell>
          <cell r="DI77">
            <v>42140</v>
          </cell>
          <cell r="DJ77">
            <v>42150</v>
          </cell>
          <cell r="DK77">
            <v>42137</v>
          </cell>
          <cell r="DL77">
            <v>42153</v>
          </cell>
          <cell r="DM77">
            <v>42156</v>
          </cell>
          <cell r="DN77">
            <v>42153</v>
          </cell>
          <cell r="DO77">
            <v>0</v>
          </cell>
          <cell r="DP77">
            <v>42140</v>
          </cell>
          <cell r="DQ77">
            <v>42150</v>
          </cell>
          <cell r="DT77">
            <v>83</v>
          </cell>
          <cell r="DU77">
            <v>42155</v>
          </cell>
          <cell r="DW77">
            <v>0</v>
          </cell>
          <cell r="DY77">
            <v>42156</v>
          </cell>
          <cell r="DZ77">
            <v>42156</v>
          </cell>
          <cell r="EA77" t="str">
            <v>IENG</v>
          </cell>
          <cell r="ED77" t="str">
            <v>13Jul15 :Thiha.Kyaw: 10-7-15 Site on air.
06Jul15 :Thiha.Kyaw: 6-7-15 RFI Telecom. Fencing making in progress.
26Jun15 :Thiha.Kyaw: 26-6-15 Tower erection in progress.
22Jun15 :Thiha.Kyaw: 22-6-15 Tower erection in progress. Equipment pad making in progress.
12Jun15 :Thiha.Kyaw: 12-6-15 Pedestal making in progress.</v>
          </cell>
          <cell r="EE77" t="str">
            <v>19Jun15 Tower erection in progress. Equipment pad making in progress; 15Jun15: Pedestal Done. Back filling in progress.</v>
          </cell>
          <cell r="EI77" t="str">
            <v>M5: grid power + DG + battery      </v>
          </cell>
          <cell r="EJ77">
            <v>16</v>
          </cell>
          <cell r="EK77">
            <v>42166</v>
          </cell>
          <cell r="EL77">
            <v>42172</v>
          </cell>
          <cell r="EM77">
            <v>42167</v>
          </cell>
          <cell r="EN77">
            <v>42172</v>
          </cell>
          <cell r="EQ77">
            <v>42174</v>
          </cell>
          <cell r="ER77">
            <v>42185</v>
          </cell>
          <cell r="ES77">
            <v>42175</v>
          </cell>
          <cell r="ET77">
            <v>42185</v>
          </cell>
          <cell r="EU77">
            <v>42185</v>
          </cell>
          <cell r="EV77">
            <v>42195</v>
          </cell>
          <cell r="EW77">
            <v>45</v>
          </cell>
          <cell r="EX77">
            <v>42185</v>
          </cell>
          <cell r="EY77">
            <v>42201</v>
          </cell>
          <cell r="EZ77">
            <v>42181</v>
          </cell>
          <cell r="FA77">
            <v>42185</v>
          </cell>
          <cell r="FB77">
            <v>42183</v>
          </cell>
          <cell r="FC77">
            <v>42185</v>
          </cell>
          <cell r="FE77">
            <v>42160</v>
          </cell>
          <cell r="FG77">
            <v>42165</v>
          </cell>
          <cell r="FS77">
            <v>42192</v>
          </cell>
          <cell r="FT77" t="str">
            <v>Off Grid</v>
          </cell>
          <cell r="FU77">
            <v>42185</v>
          </cell>
          <cell r="FV77">
            <v>42202</v>
          </cell>
          <cell r="FW77">
            <v>42185</v>
          </cell>
          <cell r="FX77">
            <v>42185</v>
          </cell>
          <cell r="FY77" t="str">
            <v>TN</v>
          </cell>
          <cell r="FZ77">
            <v>42174</v>
          </cell>
          <cell r="GA77">
            <v>42176</v>
          </cell>
          <cell r="GB77">
            <v>42185</v>
          </cell>
          <cell r="GC77">
            <v>42186</v>
          </cell>
          <cell r="GD77">
            <v>42186</v>
          </cell>
          <cell r="GE77">
            <v>42185</v>
          </cell>
          <cell r="GF77">
            <v>42185</v>
          </cell>
          <cell r="GG77">
            <v>42187</v>
          </cell>
          <cell r="GH77">
            <v>42188</v>
          </cell>
          <cell r="GI77">
            <v>42216</v>
          </cell>
          <cell r="GJ77" t="str">
            <v>27-2015</v>
          </cell>
          <cell r="GK77">
            <v>42188</v>
          </cell>
          <cell r="GN77" t="str">
            <v xml:space="preserve">ERICSSON </v>
          </cell>
          <cell r="GS77" t="str">
            <v>4/4/4</v>
          </cell>
          <cell r="GT77" t="str">
            <v>Dual Carrier</v>
          </cell>
          <cell r="GU77" t="str">
            <v xml:space="preserve">		</v>
          </cell>
          <cell r="HD77">
            <v>1</v>
          </cell>
        </row>
        <row r="78">
          <cell r="A78" t="str">
            <v>AY1091</v>
          </cell>
          <cell r="B78" t="str">
            <v>ACAY_0126</v>
          </cell>
          <cell r="C78" t="str">
            <v>Apollo</v>
          </cell>
          <cell r="D78" t="str">
            <v>Emilio Ruiz</v>
          </cell>
          <cell r="F78" t="str">
            <v>Phyo Wai Maung</v>
          </cell>
          <cell r="G78" t="str">
            <v>Thiha Kyaw</v>
          </cell>
          <cell r="H78" t="str">
            <v>WHITE</v>
          </cell>
          <cell r="I78" t="str">
            <v>South</v>
          </cell>
          <cell r="J78" t="str">
            <v>95.16095097</v>
          </cell>
          <cell r="K78" t="str">
            <v>18.44744</v>
          </cell>
          <cell r="L78" t="str">
            <v>SubUrban</v>
          </cell>
          <cell r="M78" t="str">
            <v>Ayeyarwady</v>
          </cell>
          <cell r="N78" t="str">
            <v>Kyangin</v>
          </cell>
          <cell r="O78" t="str">
            <v>Kyangin</v>
          </cell>
          <cell r="P78" t="str">
            <v>Hinthada</v>
          </cell>
          <cell r="Q78" t="str">
            <v>13</v>
          </cell>
          <cell r="R78" t="str">
            <v>Kyangin</v>
          </cell>
          <cell r="S78" t="str">
            <v>308</v>
          </cell>
          <cell r="T78" t="str">
            <v>GSM+UMTS</v>
          </cell>
          <cell r="W78" t="str">
            <v>Ph2-Priority</v>
          </cell>
          <cell r="X78" t="str">
            <v>35</v>
          </cell>
          <cell r="Y78" t="str">
            <v>35</v>
          </cell>
          <cell r="Z78" t="str">
            <v>GBT</v>
          </cell>
          <cell r="AA78" t="str">
            <v>250</v>
          </cell>
          <cell r="AB78" t="str">
            <v>Access</v>
          </cell>
          <cell r="AC78" t="str">
            <v>Class B</v>
          </cell>
          <cell r="BH78" t="str">
            <v>IENG</v>
          </cell>
          <cell r="BJ78">
            <v>42108</v>
          </cell>
          <cell r="BK78">
            <v>42121</v>
          </cell>
          <cell r="BL78">
            <v>42113</v>
          </cell>
          <cell r="BM78">
            <v>42113</v>
          </cell>
          <cell r="BT78">
            <v>2</v>
          </cell>
          <cell r="BU78">
            <v>42167</v>
          </cell>
          <cell r="BV78">
            <v>42123</v>
          </cell>
          <cell r="BW78" t="str">
            <v>95.16158</v>
          </cell>
          <cell r="BX78" t="str">
            <v>18.44661</v>
          </cell>
          <cell r="BY78" t="str">
            <v>C1</v>
          </cell>
          <cell r="BZ78" t="str">
            <v>Ward (7) , Htan Ta Pin village track, Kyan Khin township , Yay Won Gyi village, Hintatha distinct.</v>
          </cell>
          <cell r="CA78" t="str">
            <v>U Nyunt Shwe;Tha Pyay Kone Village, Kyaung Kone quarter, seik thar village,Kyan khin township,Hintatha distinct, Ayarwaddy division;0936303741 , 0936369738</v>
          </cell>
          <cell r="CB78" t="str">
            <v>8 May 15 : C1 SAR updated again because of reducing TND antenna height as per Apollo 's request 5 May15:C1 SAR approved as an option1(RND approved with 35m / 37m GBT as priority 1. This site is 114m far from the nominal point.); 29Apr15: C1 SAR Sub</v>
          </cell>
          <cell r="CC78" t="str">
            <v>Garden Land</v>
          </cell>
          <cell r="CE78">
            <v>6</v>
          </cell>
          <cell r="CF78">
            <v>42168</v>
          </cell>
          <cell r="CG78">
            <v>42129</v>
          </cell>
          <cell r="CH78">
            <v>42170</v>
          </cell>
          <cell r="CJ78">
            <v>42141</v>
          </cell>
          <cell r="CK78" t="str">
            <v>35</v>
          </cell>
          <cell r="CL78" t="str">
            <v>37</v>
          </cell>
          <cell r="CM78" t="str">
            <v>35</v>
          </cell>
          <cell r="CN78">
            <v>14</v>
          </cell>
          <cell r="CO78">
            <v>42173</v>
          </cell>
          <cell r="CP78">
            <v>42143</v>
          </cell>
          <cell r="CQ78" t="str">
            <v>M4: solar + DG + battery</v>
          </cell>
          <cell r="CR78">
            <v>1</v>
          </cell>
          <cell r="CS78">
            <v>42174</v>
          </cell>
          <cell r="CT78">
            <v>42144</v>
          </cell>
          <cell r="CU78" t="str">
            <v>AY1091</v>
          </cell>
          <cell r="DH78">
            <v>10</v>
          </cell>
          <cell r="DI78">
            <v>42184</v>
          </cell>
          <cell r="DJ78">
            <v>42154</v>
          </cell>
          <cell r="DK78">
            <v>42181</v>
          </cell>
          <cell r="DL78">
            <v>42163</v>
          </cell>
          <cell r="DM78">
            <v>42185</v>
          </cell>
          <cell r="DN78">
            <v>42163</v>
          </cell>
          <cell r="DO78">
            <v>0</v>
          </cell>
          <cell r="DP78">
            <v>42184</v>
          </cell>
          <cell r="DQ78">
            <v>42154</v>
          </cell>
          <cell r="DT78">
            <v>79</v>
          </cell>
          <cell r="DU78">
            <v>42199</v>
          </cell>
          <cell r="DW78">
            <v>0</v>
          </cell>
          <cell r="DY78">
            <v>42185</v>
          </cell>
          <cell r="DZ78">
            <v>42164</v>
          </cell>
          <cell r="EA78" t="str">
            <v>IENG</v>
          </cell>
          <cell r="ED78" t="str">
            <v>27Jul15 :Thiha.Kyaw: 17-7-15 Telecom installation in progress.
20Jul15 :Thiha.Kyaw: 17-7-15 Telecom installation in progress.
13Jul15 :Thiha.Kyaw: 10-7-15 Tower erection Done. Equipment pad making in progress. Power on site. Telecom equipment on site.
06Jul15 :Thiha.Kyaw: 6-7-15 RFI Telecom. Fencing making in progress.
26Jun15 :Thiha.Kyaw: 26-6-15 Footing Done. Pedestal making in progress.
22Jun15 :Thiha.Kyaw: 22-6-15 Footing making in progress.</v>
          </cell>
          <cell r="EE78" t="str">
            <v>19Jun15 Excavation in progress.</v>
          </cell>
          <cell r="EI78" t="str">
            <v>M7: 2DG + battery      </v>
          </cell>
          <cell r="EJ78">
            <v>24</v>
          </cell>
          <cell r="EK78">
            <v>42200</v>
          </cell>
          <cell r="EL78">
            <v>42188</v>
          </cell>
          <cell r="EM78">
            <v>42201</v>
          </cell>
          <cell r="EN78">
            <v>42179</v>
          </cell>
          <cell r="EQ78">
            <v>42208</v>
          </cell>
          <cell r="ER78">
            <v>42191</v>
          </cell>
          <cell r="ES78">
            <v>42197</v>
          </cell>
          <cell r="ET78">
            <v>42197</v>
          </cell>
          <cell r="EU78">
            <v>42197</v>
          </cell>
          <cell r="EW78">
            <v>69</v>
          </cell>
          <cell r="EX78">
            <v>42222</v>
          </cell>
          <cell r="EY78">
            <v>42242</v>
          </cell>
          <cell r="EZ78">
            <v>42218</v>
          </cell>
          <cell r="FA78">
            <v>42201</v>
          </cell>
          <cell r="FB78">
            <v>42220</v>
          </cell>
          <cell r="FC78">
            <v>42207</v>
          </cell>
          <cell r="FE78">
            <v>42179</v>
          </cell>
          <cell r="FS78">
            <v>42192</v>
          </cell>
          <cell r="FT78" t="str">
            <v>Off Grid</v>
          </cell>
          <cell r="FU78">
            <v>42222</v>
          </cell>
          <cell r="FV78">
            <v>42206</v>
          </cell>
          <cell r="FW78">
            <v>42222</v>
          </cell>
          <cell r="FX78">
            <v>42207</v>
          </cell>
          <cell r="FY78" t="str">
            <v>TN</v>
          </cell>
          <cell r="FZ78">
            <v>42191</v>
          </cell>
          <cell r="GA78">
            <v>42193</v>
          </cell>
          <cell r="GB78">
            <v>42196</v>
          </cell>
          <cell r="GC78">
            <v>42208</v>
          </cell>
          <cell r="GD78">
            <v>42208</v>
          </cell>
          <cell r="GE78">
            <v>42196</v>
          </cell>
          <cell r="GF78">
            <v>42208</v>
          </cell>
          <cell r="GG78">
            <v>42209</v>
          </cell>
          <cell r="GH78">
            <v>42209</v>
          </cell>
          <cell r="GI78">
            <v>42216</v>
          </cell>
          <cell r="GJ78" t="str">
            <v>30-2015</v>
          </cell>
          <cell r="GK78">
            <v>42209</v>
          </cell>
          <cell r="GN78" t="str">
            <v xml:space="preserve">ERICSSON </v>
          </cell>
          <cell r="GS78" t="str">
            <v>4/4/4</v>
          </cell>
          <cell r="GU78" t="str">
            <v xml:space="preserve">		</v>
          </cell>
          <cell r="HD78">
            <v>1</v>
          </cell>
        </row>
        <row r="79">
          <cell r="A79" t="str">
            <v>AY1093</v>
          </cell>
          <cell r="B79" t="str">
            <v>ACAY_0127</v>
          </cell>
          <cell r="C79" t="str">
            <v>Apollo</v>
          </cell>
          <cell r="D79" t="str">
            <v>Emilio Ruiz</v>
          </cell>
          <cell r="E79" t="str">
            <v>Emmanuel Saria : 09254439726</v>
          </cell>
          <cell r="F79" t="str">
            <v>Phyo Wai Maung</v>
          </cell>
          <cell r="G79" t="str">
            <v>Thiha Kyaw</v>
          </cell>
          <cell r="H79" t="str">
            <v>WHITE</v>
          </cell>
          <cell r="I79" t="str">
            <v>South</v>
          </cell>
          <cell r="J79" t="str">
            <v>95.19653372</v>
          </cell>
          <cell r="K79" t="str">
            <v>18.34946</v>
          </cell>
          <cell r="L79" t="str">
            <v>SubUrban</v>
          </cell>
          <cell r="M79" t="str">
            <v>Ayeyarwady</v>
          </cell>
          <cell r="N79" t="str">
            <v>Kyangin</v>
          </cell>
          <cell r="O79" t="str">
            <v>Kyangin</v>
          </cell>
          <cell r="P79" t="str">
            <v>Hinthada</v>
          </cell>
          <cell r="Q79" t="str">
            <v>13</v>
          </cell>
          <cell r="R79" t="str">
            <v>Kyangin</v>
          </cell>
          <cell r="S79" t="str">
            <v>308</v>
          </cell>
          <cell r="T79" t="str">
            <v>GSM+UMTS</v>
          </cell>
          <cell r="U79" t="str">
            <v>BAG-N028</v>
          </cell>
          <cell r="V79">
            <v>4.0999999999999996</v>
          </cell>
          <cell r="W79" t="str">
            <v>Ph2-Priority</v>
          </cell>
          <cell r="X79" t="str">
            <v>35</v>
          </cell>
          <cell r="Y79" t="str">
            <v>35</v>
          </cell>
          <cell r="Z79" t="str">
            <v>GBT</v>
          </cell>
          <cell r="AA79" t="str">
            <v>250</v>
          </cell>
          <cell r="AB79" t="str">
            <v>Access</v>
          </cell>
          <cell r="AC79" t="str">
            <v>Class B</v>
          </cell>
          <cell r="AD79">
            <v>925</v>
          </cell>
          <cell r="AE79">
            <v>935</v>
          </cell>
          <cell r="AF79">
            <v>2</v>
          </cell>
          <cell r="AG79" t="str">
            <v>BA0508</v>
          </cell>
          <cell r="AH79" t="str">
            <v>BA0516</v>
          </cell>
          <cell r="BC79" t="str">
            <v>BA0516</v>
          </cell>
          <cell r="BD79">
            <v>2</v>
          </cell>
          <cell r="BE79" t="str">
            <v>Route 2 Yangon -Mawlamyine</v>
          </cell>
          <cell r="BF79">
            <v>41760</v>
          </cell>
          <cell r="BG79">
            <v>42108</v>
          </cell>
          <cell r="BH79" t="str">
            <v>IENG</v>
          </cell>
          <cell r="BJ79">
            <v>42108</v>
          </cell>
          <cell r="BK79">
            <v>42121</v>
          </cell>
          <cell r="BL79">
            <v>42113</v>
          </cell>
          <cell r="BM79">
            <v>42113</v>
          </cell>
          <cell r="BT79">
            <v>2</v>
          </cell>
          <cell r="BU79">
            <v>42134</v>
          </cell>
          <cell r="BV79">
            <v>42123</v>
          </cell>
          <cell r="BW79" t="str">
            <v>95.19774</v>
          </cell>
          <cell r="BX79" t="str">
            <v>18.34975</v>
          </cell>
          <cell r="BY79" t="str">
            <v>C1</v>
          </cell>
          <cell r="BZ79" t="str">
            <v>Mae Kone village track, Nyaung Chay Htauk village,Kyan Khin township, Hintatha distinct, Ayeyarwady division.</v>
          </cell>
          <cell r="CA79" t="str">
            <v>Daw Kyi Kyi Wai;Mae Kone village track, Nyaung Chay Htauk village, Kyan Khin township ,Hintatha distinct ,Ayarwaddy division;09794458497 , 09260718638</v>
          </cell>
          <cell r="CB79" t="str">
            <v>5 May15:C1 SAR approved as an option1(RND approved with 35m / 37m GBT as priority 1. This site is 130m far from the nominal point .;TND Approved. There is a house at the top mountain which clearance is 22m towards AY0006, so this candidate is not the best one. Need LOS Survey if during TSSR.); 29Apr15: C1 SAR Sub</v>
          </cell>
          <cell r="CC79" t="str">
            <v>Farm Land</v>
          </cell>
          <cell r="CE79">
            <v>6</v>
          </cell>
          <cell r="CF79">
            <v>42135</v>
          </cell>
          <cell r="CG79">
            <v>42129</v>
          </cell>
          <cell r="CH79">
            <v>42137</v>
          </cell>
          <cell r="CJ79">
            <v>42141</v>
          </cell>
          <cell r="CK79" t="str">
            <v>35</v>
          </cell>
          <cell r="CL79" t="str">
            <v>37</v>
          </cell>
          <cell r="CM79" t="str">
            <v>35</v>
          </cell>
          <cell r="CN79">
            <v>14</v>
          </cell>
          <cell r="CO79">
            <v>42140</v>
          </cell>
          <cell r="CP79">
            <v>42143</v>
          </cell>
          <cell r="CQ79" t="str">
            <v>M4: solar + DG + battery</v>
          </cell>
          <cell r="CR79">
            <v>2</v>
          </cell>
          <cell r="CS79">
            <v>42141</v>
          </cell>
          <cell r="CT79">
            <v>42145</v>
          </cell>
          <cell r="CU79" t="str">
            <v>AY1093</v>
          </cell>
          <cell r="DH79">
            <v>9</v>
          </cell>
          <cell r="DI79">
            <v>42163</v>
          </cell>
          <cell r="DJ79">
            <v>42154</v>
          </cell>
          <cell r="DK79">
            <v>42160</v>
          </cell>
          <cell r="DL79">
            <v>42153</v>
          </cell>
          <cell r="DM79">
            <v>42164</v>
          </cell>
          <cell r="DN79">
            <v>42164</v>
          </cell>
          <cell r="DO79">
            <v>0</v>
          </cell>
          <cell r="DP79">
            <v>42163</v>
          </cell>
          <cell r="DQ79">
            <v>42154</v>
          </cell>
          <cell r="DR79" t="str">
            <v>Bago CDC</v>
          </cell>
          <cell r="DS79" t="str">
            <v>052-22903</v>
          </cell>
          <cell r="DT79">
            <v>79</v>
          </cell>
          <cell r="DU79">
            <v>42178</v>
          </cell>
          <cell r="DW79">
            <v>0</v>
          </cell>
          <cell r="DY79">
            <v>42164</v>
          </cell>
          <cell r="DZ79">
            <v>42173</v>
          </cell>
          <cell r="EA79" t="str">
            <v>IENG</v>
          </cell>
          <cell r="ED79" t="str">
            <v>27Jul15 :Thiha.Kyaw: 17-7-15 RFI Telecom.
20Jul15 :Thiha.Kyaw: 17-7-15 RFI Telecom.
13Jul15 :Thiha.Kyaw: 10-7-15 Pedestal done. Tower on site. Telecom equipment on site. Back filling in progress.
06Jul15 :Thiha.Kyaw: 6-7-15 Footing making in progress.
26Jun15 :Thiha.Kyaw: 26-6-15 Excavation in progress.</v>
          </cell>
          <cell r="EI79" t="str">
            <v>M7: 2DG + battery      </v>
          </cell>
          <cell r="EJ79">
            <v>27</v>
          </cell>
          <cell r="EK79">
            <v>42179</v>
          </cell>
          <cell r="EL79">
            <v>42200</v>
          </cell>
          <cell r="EM79">
            <v>42180</v>
          </cell>
          <cell r="EN79">
            <v>42191</v>
          </cell>
          <cell r="EQ79">
            <v>42187</v>
          </cell>
          <cell r="ER79">
            <v>42201</v>
          </cell>
          <cell r="ES79">
            <v>42204</v>
          </cell>
          <cell r="ET79">
            <v>42205</v>
          </cell>
          <cell r="EU79">
            <v>42205</v>
          </cell>
          <cell r="EW79">
            <v>60</v>
          </cell>
          <cell r="EX79">
            <v>42201</v>
          </cell>
          <cell r="EY79">
            <v>42248</v>
          </cell>
          <cell r="EZ79">
            <v>42197</v>
          </cell>
          <cell r="FA79">
            <v>42209</v>
          </cell>
          <cell r="FB79">
            <v>42199</v>
          </cell>
          <cell r="FC79">
            <v>42215</v>
          </cell>
          <cell r="FD79">
            <v>41928</v>
          </cell>
          <cell r="FF79">
            <v>41935</v>
          </cell>
          <cell r="FH79">
            <v>41937</v>
          </cell>
          <cell r="FJ79">
            <v>41940</v>
          </cell>
          <cell r="FN79">
            <v>41944</v>
          </cell>
          <cell r="FP79">
            <v>41946</v>
          </cell>
          <cell r="FR79">
            <v>41960</v>
          </cell>
          <cell r="FU79">
            <v>42201</v>
          </cell>
          <cell r="FW79">
            <v>42201</v>
          </cell>
          <cell r="FX79">
            <v>42216</v>
          </cell>
          <cell r="FY79" t="str">
            <v>EM</v>
          </cell>
          <cell r="FZ79">
            <v>42193</v>
          </cell>
          <cell r="GA79">
            <v>42195</v>
          </cell>
          <cell r="GB79">
            <v>42197</v>
          </cell>
          <cell r="GC79">
            <v>42205</v>
          </cell>
          <cell r="GD79">
            <v>42205</v>
          </cell>
          <cell r="GE79">
            <v>42197</v>
          </cell>
          <cell r="GF79">
            <v>42197</v>
          </cell>
          <cell r="GG79">
            <v>42216</v>
          </cell>
          <cell r="GH79">
            <v>42216</v>
          </cell>
          <cell r="GI79">
            <v>42216</v>
          </cell>
          <cell r="GJ79" t="str">
            <v>31-2015</v>
          </cell>
          <cell r="GK79">
            <v>42216</v>
          </cell>
          <cell r="GN79" t="str">
            <v>ERICSSON</v>
          </cell>
          <cell r="GS79" t="str">
            <v>4/4/4</v>
          </cell>
          <cell r="GU79" t="str">
            <v xml:space="preserve">		</v>
          </cell>
          <cell r="HD79">
            <v>1</v>
          </cell>
        </row>
        <row r="80">
          <cell r="A80" t="str">
            <v>BA0490</v>
          </cell>
          <cell r="B80" t="str">
            <v>ACBA_0062</v>
          </cell>
          <cell r="C80" t="str">
            <v>Apollo</v>
          </cell>
          <cell r="D80" t="str">
            <v>Robert</v>
          </cell>
          <cell r="E80" t="str">
            <v>Emmanuel Saria : 09254439726</v>
          </cell>
          <cell r="F80" t="str">
            <v>Phyo Wai Maung</v>
          </cell>
          <cell r="G80" t="str">
            <v>Saw Pyie Zin Nyein</v>
          </cell>
          <cell r="H80" t="str">
            <v>RED</v>
          </cell>
          <cell r="I80" t="str">
            <v>South</v>
          </cell>
          <cell r="J80" t="str">
            <v>96.4532961</v>
          </cell>
          <cell r="K80" t="str">
            <v>17.63506913</v>
          </cell>
          <cell r="L80" t="str">
            <v>Highway</v>
          </cell>
          <cell r="M80" t="str">
            <v>Bago East</v>
          </cell>
          <cell r="N80" t="str">
            <v>Bago</v>
          </cell>
          <cell r="O80" t="str">
            <v>Bago</v>
          </cell>
          <cell r="P80" t="str">
            <v>Bago East</v>
          </cell>
          <cell r="Q80" t="str">
            <v>19</v>
          </cell>
          <cell r="R80" t="str">
            <v>Bago</v>
          </cell>
          <cell r="S80" t="str">
            <v>89</v>
          </cell>
          <cell r="T80" t="str">
            <v>GSM+UMTS</v>
          </cell>
          <cell r="U80" t="str">
            <v>BAG-N028</v>
          </cell>
          <cell r="V80" t="str">
            <v>4.1</v>
          </cell>
          <cell r="W80" t="str">
            <v>Ph2-Priority</v>
          </cell>
          <cell r="X80" t="str">
            <v>55</v>
          </cell>
          <cell r="Y80" t="str">
            <v>57</v>
          </cell>
          <cell r="Z80" t="str">
            <v>GBT</v>
          </cell>
          <cell r="AA80" t="str">
            <v>500</v>
          </cell>
          <cell r="AB80" t="str">
            <v>Access</v>
          </cell>
          <cell r="AC80" t="str">
            <v>Class C</v>
          </cell>
          <cell r="AD80" t="str">
            <v>925</v>
          </cell>
          <cell r="AE80" t="str">
            <v>935</v>
          </cell>
          <cell r="AF80" t="str">
            <v>2</v>
          </cell>
          <cell r="AG80" t="str">
            <v>BA0508</v>
          </cell>
          <cell r="AH80" t="str">
            <v>BA0516</v>
          </cell>
          <cell r="BC80" t="str">
            <v>BA0516</v>
          </cell>
          <cell r="BD80" t="str">
            <v>2</v>
          </cell>
          <cell r="BE80" t="str">
            <v>Route 2 Yangon -Mawlamyine</v>
          </cell>
          <cell r="BF80">
            <v>41760</v>
          </cell>
          <cell r="BG80">
            <v>42108</v>
          </cell>
          <cell r="BH80" t="str">
            <v>Camusat</v>
          </cell>
          <cell r="BJ80">
            <v>42159</v>
          </cell>
          <cell r="BK80">
            <v>41685</v>
          </cell>
          <cell r="BL80">
            <v>42164</v>
          </cell>
          <cell r="BM80">
            <v>41692</v>
          </cell>
          <cell r="BT80">
            <v>548</v>
          </cell>
          <cell r="BU80">
            <v>42241</v>
          </cell>
          <cell r="BY80" t="str">
            <v>Reject</v>
          </cell>
          <cell r="CB80" t="str">
            <v>16 June 15 : C1 SAR rejected(  TND reject this site for mountain obstacle block.Find new location  BA0490_Propose (17.624780°, 96.462458°).); 15Jun15: BA0490 new coordinate suggested. BA0508_C01 is pending for approval for this site.It is suggested to find the site at location (17.624780°, 96.462458°).10Jun15: C1 SAR Sub</v>
          </cell>
          <cell r="CC80" t="str">
            <v>Ministry of Forest</v>
          </cell>
          <cell r="CE80">
            <v>0</v>
          </cell>
          <cell r="CF80">
            <v>42242</v>
          </cell>
          <cell r="CH80">
            <v>42244</v>
          </cell>
          <cell r="CN80">
            <v>0</v>
          </cell>
          <cell r="CO80">
            <v>42247</v>
          </cell>
          <cell r="CQ80" t="str">
            <v>M1: grid power + battery</v>
          </cell>
          <cell r="CR80">
            <v>0</v>
          </cell>
          <cell r="CS80">
            <v>42248</v>
          </cell>
          <cell r="CU80" t="str">
            <v>BA0490</v>
          </cell>
          <cell r="DH80">
            <v>0</v>
          </cell>
          <cell r="DI80">
            <v>42258</v>
          </cell>
          <cell r="DK80">
            <v>42255</v>
          </cell>
          <cell r="DM80">
            <v>42259</v>
          </cell>
          <cell r="DO80">
            <v>0</v>
          </cell>
          <cell r="DP80">
            <v>42258</v>
          </cell>
          <cell r="DR80" t="str">
            <v>Bago CDC</v>
          </cell>
          <cell r="DS80" t="str">
            <v>052-22903</v>
          </cell>
          <cell r="DT80">
            <v>0</v>
          </cell>
          <cell r="DU80">
            <v>42273</v>
          </cell>
          <cell r="DW80">
            <v>0</v>
          </cell>
          <cell r="DY80">
            <v>42259</v>
          </cell>
          <cell r="EA80" t="str">
            <v>Leadcom</v>
          </cell>
          <cell r="EJ80">
            <v>0</v>
          </cell>
          <cell r="EK80">
            <v>42281</v>
          </cell>
          <cell r="EM80">
            <v>42282</v>
          </cell>
          <cell r="EQ80">
            <v>42294</v>
          </cell>
          <cell r="EW80">
            <v>0</v>
          </cell>
          <cell r="EX80">
            <v>42301</v>
          </cell>
          <cell r="EZ80">
            <v>42304</v>
          </cell>
          <cell r="FB80">
            <v>42306</v>
          </cell>
          <cell r="FD80">
            <v>41928</v>
          </cell>
          <cell r="FF80">
            <v>41935</v>
          </cell>
          <cell r="FH80">
            <v>41937</v>
          </cell>
          <cell r="FJ80">
            <v>41940</v>
          </cell>
          <cell r="FN80">
            <v>41944</v>
          </cell>
          <cell r="FP80">
            <v>41946</v>
          </cell>
          <cell r="FR80">
            <v>41960</v>
          </cell>
          <cell r="FU80">
            <v>42308</v>
          </cell>
          <cell r="FW80">
            <v>42308</v>
          </cell>
          <cell r="GJ80">
            <v>0</v>
          </cell>
          <cell r="GN80" t="str">
            <v>ERICSSON</v>
          </cell>
          <cell r="GS80" t="str">
            <v>4/4/4</v>
          </cell>
          <cell r="GU80" t="str">
            <v xml:space="preserve">		</v>
          </cell>
          <cell r="HD80">
            <v>1</v>
          </cell>
        </row>
        <row r="81">
          <cell r="A81" t="str">
            <v>BA0508</v>
          </cell>
          <cell r="B81" t="str">
            <v>ACBA_0049</v>
          </cell>
          <cell r="C81" t="str">
            <v>Apollo</v>
          </cell>
          <cell r="D81" t="str">
            <v>Robert</v>
          </cell>
          <cell r="E81" t="str">
            <v>Emmanuel Saria : 09254439726</v>
          </cell>
          <cell r="F81" t="str">
            <v>Phyo Wai Maung</v>
          </cell>
          <cell r="G81" t="str">
            <v>Saw Pyie Zin Nyein</v>
          </cell>
          <cell r="H81" t="str">
            <v>RED</v>
          </cell>
          <cell r="I81" t="str">
            <v>South</v>
          </cell>
          <cell r="J81" t="str">
            <v>96.44806217</v>
          </cell>
          <cell r="K81" t="str">
            <v>17.54431472</v>
          </cell>
          <cell r="L81" t="str">
            <v>Highway</v>
          </cell>
          <cell r="M81" t="str">
            <v>Bago East</v>
          </cell>
          <cell r="N81" t="str">
            <v>Bago</v>
          </cell>
          <cell r="O81" t="str">
            <v>Bago</v>
          </cell>
          <cell r="P81" t="str">
            <v>Bago East</v>
          </cell>
          <cell r="Q81" t="str">
            <v>19</v>
          </cell>
          <cell r="R81" t="str">
            <v>Bago</v>
          </cell>
          <cell r="S81" t="str">
            <v>89</v>
          </cell>
          <cell r="T81" t="str">
            <v>GSM+UMTS</v>
          </cell>
          <cell r="U81" t="str">
            <v>BAG-N026</v>
          </cell>
          <cell r="V81" t="str">
            <v>4.1</v>
          </cell>
          <cell r="W81" t="str">
            <v>Ph2-Priority</v>
          </cell>
          <cell r="X81" t="str">
            <v>55</v>
          </cell>
          <cell r="Y81" t="str">
            <v>57</v>
          </cell>
          <cell r="Z81" t="str">
            <v>GBT</v>
          </cell>
          <cell r="AA81" t="str">
            <v>500</v>
          </cell>
          <cell r="AB81" t="str">
            <v>Access</v>
          </cell>
          <cell r="AC81" t="str">
            <v>Class C</v>
          </cell>
          <cell r="AD81" t="str">
            <v>925</v>
          </cell>
          <cell r="AE81" t="str">
            <v>935</v>
          </cell>
          <cell r="AF81" t="str">
            <v>3</v>
          </cell>
          <cell r="AG81" t="str">
            <v>BA0516</v>
          </cell>
          <cell r="AH81" t="str">
            <v>BA0561</v>
          </cell>
          <cell r="BC81" t="str">
            <v>BA0516</v>
          </cell>
          <cell r="BD81" t="str">
            <v>2</v>
          </cell>
          <cell r="BE81" t="str">
            <v>Route 2 Yangon -Mawlamyine</v>
          </cell>
          <cell r="BF81">
            <v>41760</v>
          </cell>
          <cell r="BG81">
            <v>41934</v>
          </cell>
          <cell r="BH81" t="str">
            <v>Camusat</v>
          </cell>
          <cell r="BJ81">
            <v>42159</v>
          </cell>
          <cell r="BK81">
            <v>41673</v>
          </cell>
          <cell r="BL81">
            <v>42164</v>
          </cell>
          <cell r="BM81">
            <v>41680</v>
          </cell>
          <cell r="BR81" t="str">
            <v>Huawei SAR</v>
          </cell>
          <cell r="BT81">
            <v>560</v>
          </cell>
          <cell r="BU81">
            <v>42241</v>
          </cell>
          <cell r="BV81">
            <v>42195</v>
          </cell>
          <cell r="BW81" t="str">
            <v>96.60028</v>
          </cell>
          <cell r="BX81" t="str">
            <v>17.30271</v>
          </cell>
          <cell r="BY81" t="str">
            <v>Reject</v>
          </cell>
          <cell r="BZ81" t="str">
            <v>No (2/84), Ma Kyat Su Village, Thanatpin Township, Bago West Division.</v>
          </cell>
          <cell r="CA81" t="str">
            <v>Daw Aye Nyunt,09-799813900, 09-428150011</v>
          </cell>
          <cell r="CB81" t="str">
            <v>15Jun15: dependent on BA0490. Approval on hold due to BA0490.  10Jun15: C1 SAR Sub</v>
          </cell>
          <cell r="CC81" t="str">
            <v>Ministry of Forest</v>
          </cell>
          <cell r="CE81">
            <v>0</v>
          </cell>
          <cell r="CF81">
            <v>42242</v>
          </cell>
          <cell r="CG81">
            <v>42198</v>
          </cell>
          <cell r="CH81">
            <v>42244</v>
          </cell>
          <cell r="CJ81">
            <v>42203</v>
          </cell>
          <cell r="CK81" t="str">
            <v>45</v>
          </cell>
          <cell r="CL81" t="str">
            <v>47</v>
          </cell>
          <cell r="CM81" t="str">
            <v>45</v>
          </cell>
          <cell r="CN81">
            <v>0</v>
          </cell>
          <cell r="CO81">
            <v>42247</v>
          </cell>
          <cell r="CP81">
            <v>42205</v>
          </cell>
          <cell r="CQ81" t="str">
            <v>M1: grid power + battery</v>
          </cell>
          <cell r="CR81">
            <v>0</v>
          </cell>
          <cell r="CS81">
            <v>42248</v>
          </cell>
          <cell r="CT81">
            <v>42207</v>
          </cell>
          <cell r="CU81" t="str">
            <v>BA0508</v>
          </cell>
          <cell r="DH81">
            <v>0</v>
          </cell>
          <cell r="DI81">
            <v>42258</v>
          </cell>
          <cell r="DK81">
            <v>42255</v>
          </cell>
          <cell r="DM81">
            <v>42259</v>
          </cell>
          <cell r="DO81">
            <v>0</v>
          </cell>
          <cell r="DP81">
            <v>42258</v>
          </cell>
          <cell r="DR81" t="str">
            <v>Bago CDC</v>
          </cell>
          <cell r="DS81" t="str">
            <v>052-22903</v>
          </cell>
          <cell r="DT81">
            <v>0</v>
          </cell>
          <cell r="DU81">
            <v>42273</v>
          </cell>
          <cell r="DW81">
            <v>0</v>
          </cell>
          <cell r="DY81">
            <v>42259</v>
          </cell>
          <cell r="EA81" t="str">
            <v>Leadcom</v>
          </cell>
          <cell r="EJ81">
            <v>0</v>
          </cell>
          <cell r="EK81">
            <v>42281</v>
          </cell>
          <cell r="EM81">
            <v>42282</v>
          </cell>
          <cell r="EQ81">
            <v>42294</v>
          </cell>
          <cell r="EW81">
            <v>0</v>
          </cell>
          <cell r="EX81">
            <v>42301</v>
          </cell>
          <cell r="EZ81">
            <v>42304</v>
          </cell>
          <cell r="FB81">
            <v>42306</v>
          </cell>
          <cell r="FD81">
            <v>41928</v>
          </cell>
          <cell r="FF81">
            <v>41935</v>
          </cell>
          <cell r="FH81">
            <v>41937</v>
          </cell>
          <cell r="FJ81">
            <v>41940</v>
          </cell>
          <cell r="FN81">
            <v>41944</v>
          </cell>
          <cell r="FP81">
            <v>41946</v>
          </cell>
          <cell r="FR81">
            <v>41960</v>
          </cell>
          <cell r="FU81">
            <v>42308</v>
          </cell>
          <cell r="FW81">
            <v>42308</v>
          </cell>
          <cell r="GJ81">
            <v>0</v>
          </cell>
          <cell r="GN81" t="str">
            <v>ERICSSON</v>
          </cell>
          <cell r="GS81" t="str">
            <v>4/4/4</v>
          </cell>
          <cell r="GU81" t="str">
            <v xml:space="preserve">		</v>
          </cell>
          <cell r="HD81">
            <v>1</v>
          </cell>
        </row>
        <row r="82">
          <cell r="A82" t="str">
            <v>BA0549</v>
          </cell>
          <cell r="B82" t="str">
            <v>ACBA_0029</v>
          </cell>
          <cell r="C82" t="str">
            <v>Apollo</v>
          </cell>
          <cell r="D82" t="str">
            <v>Robert</v>
          </cell>
          <cell r="E82" t="str">
            <v>Joselito Mapuyan : 9254374794</v>
          </cell>
          <cell r="F82" t="str">
            <v>Phyo Wai Maung</v>
          </cell>
          <cell r="G82" t="str">
            <v>Saw Pyie Zin Nyein</v>
          </cell>
          <cell r="H82" t="str">
            <v>RED</v>
          </cell>
          <cell r="I82" t="str">
            <v>South</v>
          </cell>
          <cell r="J82" t="str">
            <v>96.49619</v>
          </cell>
          <cell r="K82" t="str">
            <v>17.34458</v>
          </cell>
          <cell r="L82" t="str">
            <v>SubUrban</v>
          </cell>
          <cell r="M82" t="str">
            <v>Bago East</v>
          </cell>
          <cell r="N82" t="str">
            <v>Bago</v>
          </cell>
          <cell r="O82" t="str">
            <v>Bago</v>
          </cell>
          <cell r="P82" t="str">
            <v>Bago East</v>
          </cell>
          <cell r="Q82" t="str">
            <v>19</v>
          </cell>
          <cell r="R82" t="str">
            <v>Bago</v>
          </cell>
          <cell r="S82" t="str">
            <v>89</v>
          </cell>
          <cell r="T82" t="str">
            <v>GSM+UMTS</v>
          </cell>
          <cell r="U82" t="str">
            <v>BAG-N027</v>
          </cell>
          <cell r="V82" t="str">
            <v>4.1</v>
          </cell>
          <cell r="W82" t="str">
            <v>Ph2-Priority</v>
          </cell>
          <cell r="X82" t="str">
            <v>35</v>
          </cell>
          <cell r="Y82" t="str">
            <v>35</v>
          </cell>
          <cell r="Z82" t="str">
            <v>GBT</v>
          </cell>
          <cell r="AA82" t="str">
            <v>100</v>
          </cell>
          <cell r="AB82" t="str">
            <v>Access</v>
          </cell>
          <cell r="AC82" t="str">
            <v>Class B</v>
          </cell>
          <cell r="AD82" t="str">
            <v>1430</v>
          </cell>
          <cell r="AE82" t="str">
            <v>1610</v>
          </cell>
          <cell r="AF82" t="str">
            <v>3</v>
          </cell>
          <cell r="AG82" t="str">
            <v>BA0551</v>
          </cell>
          <cell r="AH82" t="str">
            <v>BA0561</v>
          </cell>
          <cell r="AI82" t="str">
            <v>BA0594</v>
          </cell>
          <cell r="BC82" t="str">
            <v>BA0561</v>
          </cell>
          <cell r="BD82" t="str">
            <v>2</v>
          </cell>
          <cell r="BE82" t="str">
            <v>Route 2 Yangon -Mawlamyine</v>
          </cell>
          <cell r="BF82">
            <v>41973</v>
          </cell>
          <cell r="BG82">
            <v>41994</v>
          </cell>
          <cell r="BH82" t="str">
            <v>KTT</v>
          </cell>
          <cell r="BJ82">
            <v>42159</v>
          </cell>
          <cell r="BK82">
            <v>41673</v>
          </cell>
          <cell r="BL82">
            <v>42164</v>
          </cell>
          <cell r="BM82">
            <v>42176</v>
          </cell>
          <cell r="BR82" t="str">
            <v>Huawei SAR</v>
          </cell>
          <cell r="BT82">
            <v>560</v>
          </cell>
          <cell r="BU82">
            <v>42164</v>
          </cell>
          <cell r="BV82">
            <v>42178</v>
          </cell>
          <cell r="BW82" t="str">
            <v>96.80359</v>
          </cell>
          <cell r="BX82" t="str">
            <v>17.33685</v>
          </cell>
          <cell r="BY82" t="str">
            <v>Reject</v>
          </cell>
          <cell r="BZ82" t="str">
            <v>No(40), North Street, Kyee Pyin Su Villagae, Thanatpin Township, Bago.</v>
          </cell>
          <cell r="CA82" t="str">
            <v>U Aung Kyaw Moe,09-49819588, 09-428136916</v>
          </cell>
          <cell r="CB82" t="str">
            <v>31 Jan 15 : C2 SAR rejected( RND rejected this candidate as it is 290m far from nominal and 540m close to the approved TSSR(BA0553));29Jan15: C2 SAR Sub. 03 Oct 14 : C1 SAR has been rejected:(Candidate 1 is rejected as it is 700m far from the nominal point.)</v>
          </cell>
          <cell r="CE82">
            <v>0</v>
          </cell>
          <cell r="CF82">
            <v>42165</v>
          </cell>
          <cell r="CG82">
            <v>42179</v>
          </cell>
          <cell r="CH82">
            <v>42167</v>
          </cell>
          <cell r="CJ82">
            <v>42198</v>
          </cell>
          <cell r="CK82" t="str">
            <v>45</v>
          </cell>
          <cell r="CL82" t="str">
            <v>47</v>
          </cell>
          <cell r="CM82" t="str">
            <v>45</v>
          </cell>
          <cell r="CN82">
            <v>0</v>
          </cell>
          <cell r="CO82">
            <v>42170</v>
          </cell>
          <cell r="CP82">
            <v>42200</v>
          </cell>
          <cell r="CQ82" t="str">
            <v>M4: solar + DG + battery</v>
          </cell>
          <cell r="CR82">
            <v>0</v>
          </cell>
          <cell r="CS82">
            <v>42171</v>
          </cell>
          <cell r="CT82">
            <v>42202</v>
          </cell>
          <cell r="CU82" t="str">
            <v>BA0549</v>
          </cell>
          <cell r="DH82">
            <v>0</v>
          </cell>
          <cell r="DI82">
            <v>42181</v>
          </cell>
          <cell r="DJ82">
            <v>42147</v>
          </cell>
          <cell r="DK82">
            <v>42178</v>
          </cell>
          <cell r="DL82">
            <v>42138</v>
          </cell>
          <cell r="DM82">
            <v>42182</v>
          </cell>
          <cell r="DN82">
            <v>42138</v>
          </cell>
          <cell r="DO82">
            <v>0</v>
          </cell>
          <cell r="DP82">
            <v>42181</v>
          </cell>
          <cell r="DQ82">
            <v>42146</v>
          </cell>
          <cell r="DR82" t="str">
            <v>Bago CDC</v>
          </cell>
          <cell r="DS82" t="str">
            <v>052-22903</v>
          </cell>
          <cell r="DT82">
            <v>0</v>
          </cell>
          <cell r="DU82">
            <v>42196</v>
          </cell>
          <cell r="DV82">
            <v>42146</v>
          </cell>
          <cell r="DW82">
            <v>0</v>
          </cell>
          <cell r="DY82">
            <v>42182</v>
          </cell>
          <cell r="DZ82">
            <v>42138</v>
          </cell>
          <cell r="EA82" t="str">
            <v>Leadcom</v>
          </cell>
          <cell r="EB82">
            <v>42213</v>
          </cell>
          <cell r="EE82" t="str">
            <v xml:space="preserve">10 Aug 15:Flood affected_Hold-No access; 28-Jul-15: BP complete_payment can be done  floods access  issues 								</v>
          </cell>
          <cell r="EJ82">
            <v>0</v>
          </cell>
          <cell r="EK82">
            <v>42197</v>
          </cell>
          <cell r="EL82">
            <v>42147</v>
          </cell>
          <cell r="EM82">
            <v>42198</v>
          </cell>
          <cell r="EN82">
            <v>42151</v>
          </cell>
          <cell r="EQ82">
            <v>42205</v>
          </cell>
          <cell r="ER82">
            <v>42157</v>
          </cell>
          <cell r="ES82">
            <v>42150</v>
          </cell>
          <cell r="EW82">
            <v>0</v>
          </cell>
          <cell r="EX82">
            <v>42219</v>
          </cell>
          <cell r="EZ82">
            <v>42215</v>
          </cell>
          <cell r="FB82">
            <v>42217</v>
          </cell>
          <cell r="FD82">
            <v>41933</v>
          </cell>
          <cell r="FF82">
            <v>41940</v>
          </cell>
          <cell r="FG82">
            <v>42152</v>
          </cell>
          <cell r="FH82">
            <v>41942</v>
          </cell>
          <cell r="FJ82">
            <v>41945</v>
          </cell>
          <cell r="FN82">
            <v>41949</v>
          </cell>
          <cell r="FP82">
            <v>41951</v>
          </cell>
          <cell r="FR82">
            <v>41965</v>
          </cell>
          <cell r="FU82">
            <v>42219</v>
          </cell>
          <cell r="FW82">
            <v>42219</v>
          </cell>
          <cell r="GJ82">
            <v>0</v>
          </cell>
          <cell r="GN82" t="str">
            <v>ERICSSON</v>
          </cell>
          <cell r="GO82">
            <v>41709</v>
          </cell>
          <cell r="GU82" t="str">
            <v xml:space="preserve">		</v>
          </cell>
          <cell r="HD82">
            <v>1</v>
          </cell>
        </row>
        <row r="83">
          <cell r="A83" t="str">
            <v>BA0560</v>
          </cell>
          <cell r="B83" t="str">
            <v>ACBA_0034</v>
          </cell>
          <cell r="C83" t="str">
            <v>Apollo</v>
          </cell>
          <cell r="D83" t="str">
            <v>Robert</v>
          </cell>
          <cell r="E83" t="str">
            <v>Joselito Mapuyan : 9254374794</v>
          </cell>
          <cell r="F83" t="str">
            <v>Phyo Wai Maung</v>
          </cell>
          <cell r="G83" t="str">
            <v>Saw Pyie Zin Nyein</v>
          </cell>
          <cell r="H83" t="str">
            <v>WHITE</v>
          </cell>
          <cell r="I83" t="str">
            <v>South</v>
          </cell>
          <cell r="J83" t="str">
            <v>96.44611</v>
          </cell>
          <cell r="K83" t="str">
            <v>17.33318</v>
          </cell>
          <cell r="L83" t="str">
            <v>SubUrban</v>
          </cell>
          <cell r="M83" t="str">
            <v>Bago East</v>
          </cell>
          <cell r="N83" t="str">
            <v>Bago</v>
          </cell>
          <cell r="O83" t="str">
            <v>Bago</v>
          </cell>
          <cell r="P83" t="str">
            <v>Bago East</v>
          </cell>
          <cell r="Q83" t="str">
            <v>19</v>
          </cell>
          <cell r="R83" t="str">
            <v>Bago</v>
          </cell>
          <cell r="S83" t="str">
            <v>89</v>
          </cell>
          <cell r="T83" t="str">
            <v>GSM+UMTS</v>
          </cell>
          <cell r="U83" t="str">
            <v>BAG-N027</v>
          </cell>
          <cell r="V83" t="str">
            <v>4.1</v>
          </cell>
          <cell r="W83" t="str">
            <v>Ph2-Priority</v>
          </cell>
          <cell r="X83" t="str">
            <v>35</v>
          </cell>
          <cell r="Y83" t="str">
            <v>35</v>
          </cell>
          <cell r="Z83" t="str">
            <v>GBT</v>
          </cell>
          <cell r="AA83" t="str">
            <v>100</v>
          </cell>
          <cell r="AB83" t="str">
            <v>Access</v>
          </cell>
          <cell r="AC83" t="str">
            <v>Class B</v>
          </cell>
          <cell r="AD83" t="str">
            <v>1430</v>
          </cell>
          <cell r="AE83" t="str">
            <v>1610</v>
          </cell>
          <cell r="AF83" t="str">
            <v>2</v>
          </cell>
          <cell r="AG83" t="str">
            <v>BA0580</v>
          </cell>
          <cell r="AH83" t="str">
            <v>BA0582</v>
          </cell>
          <cell r="AI83" t="str">
            <v>BA0594</v>
          </cell>
          <cell r="BC83" t="str">
            <v>BA0594</v>
          </cell>
          <cell r="BD83" t="str">
            <v>2</v>
          </cell>
          <cell r="BE83" t="str">
            <v>Route 2 Yangon -Mawlamyine</v>
          </cell>
          <cell r="BF83">
            <v>41973</v>
          </cell>
          <cell r="BG83">
            <v>42049</v>
          </cell>
          <cell r="BH83" t="str">
            <v>Apollo</v>
          </cell>
          <cell r="BJ83">
            <v>42128</v>
          </cell>
          <cell r="BK83">
            <v>41675</v>
          </cell>
          <cell r="BL83">
            <v>42133</v>
          </cell>
          <cell r="BM83">
            <v>42023</v>
          </cell>
          <cell r="BR83" t="str">
            <v>Huawei SAR</v>
          </cell>
          <cell r="BT83">
            <v>358</v>
          </cell>
          <cell r="BU83">
            <v>42129</v>
          </cell>
          <cell r="BV83">
            <v>42033</v>
          </cell>
          <cell r="BW83" t="str">
            <v>96.44588</v>
          </cell>
          <cell r="BX83" t="str">
            <v>17.33104</v>
          </cell>
          <cell r="BY83" t="str">
            <v>C3</v>
          </cell>
          <cell r="BZ83" t="str">
            <v>Min Dha Ma Monastry,Oak Thar Myo Thit (1)ward,Theit,Bago Division.</v>
          </cell>
          <cell r="CA83" t="str">
            <v>U War Ra Na;Min Dha Ma Monastry,oak Thar Myo Thit(1)Ward,Theit Tha ,Bsgo Tsp,Bago Division;09-428135120</v>
          </cell>
          <cell r="CB83" t="str">
            <v>8 May 15 : C3 TSSR approved and updated again because Ministry of Aviation allowed only Tower Height 30 M for BA0560 (RND approved with 29m/30m GBT because tower co cannot support tower height 37m.Antenna height reduces from 33m to 29m because of civil aviation on 7May and TND approved antenna height with 27 M);prev TSSR app on 5 May 15 29Jan15: C3 SAR Sub. C1 NOC issue SAR date cleared.  27Jun: SAR approved 26 feb</v>
          </cell>
          <cell r="CE83">
            <v>1</v>
          </cell>
          <cell r="CF83">
            <v>42130</v>
          </cell>
          <cell r="CG83">
            <v>42034</v>
          </cell>
          <cell r="CH83">
            <v>42132</v>
          </cell>
          <cell r="CJ83">
            <v>42122</v>
          </cell>
          <cell r="CK83" t="str">
            <v>29</v>
          </cell>
          <cell r="CL83" t="str">
            <v>32</v>
          </cell>
          <cell r="CM83" t="str">
            <v>30</v>
          </cell>
          <cell r="CN83">
            <v>97</v>
          </cell>
          <cell r="CO83">
            <v>42135</v>
          </cell>
          <cell r="CP83">
            <v>42131</v>
          </cell>
          <cell r="CQ83" t="str">
            <v>M1: grid power + battery</v>
          </cell>
          <cell r="CR83">
            <v>1</v>
          </cell>
          <cell r="CS83">
            <v>42136</v>
          </cell>
          <cell r="CT83">
            <v>42132</v>
          </cell>
          <cell r="CU83" t="str">
            <v>BA0560</v>
          </cell>
          <cell r="DH83">
            <v>15</v>
          </cell>
          <cell r="DI83">
            <v>42146</v>
          </cell>
          <cell r="DJ83">
            <v>42147</v>
          </cell>
          <cell r="DK83">
            <v>42143</v>
          </cell>
          <cell r="DL83">
            <v>42138</v>
          </cell>
          <cell r="DM83">
            <v>42147</v>
          </cell>
          <cell r="DN83">
            <v>42138</v>
          </cell>
          <cell r="DO83">
            <v>-1</v>
          </cell>
          <cell r="DP83">
            <v>42146</v>
          </cell>
          <cell r="DQ83">
            <v>42146</v>
          </cell>
          <cell r="DR83" t="str">
            <v>Bago CDC</v>
          </cell>
          <cell r="DS83" t="str">
            <v>052-22903</v>
          </cell>
          <cell r="DT83">
            <v>0</v>
          </cell>
          <cell r="DU83">
            <v>42161</v>
          </cell>
          <cell r="DV83">
            <v>42146</v>
          </cell>
          <cell r="DW83">
            <v>-8</v>
          </cell>
          <cell r="DY83">
            <v>42147</v>
          </cell>
          <cell r="DZ83">
            <v>42138</v>
          </cell>
          <cell r="EA83" t="str">
            <v>Leadcom</v>
          </cell>
          <cell r="ED83" t="str">
            <v xml:space="preserve">01Jun15 :PaingThu.Soe: 29-5-15 Equipment pad done.Fencing making in progress.Erection making in progress.
</v>
          </cell>
          <cell r="EI83" t="str">
            <v>M5: grid power + DG + battery      </v>
          </cell>
          <cell r="EJ83">
            <v>9</v>
          </cell>
          <cell r="EK83">
            <v>42157</v>
          </cell>
          <cell r="EL83">
            <v>42147</v>
          </cell>
          <cell r="EM83">
            <v>42158</v>
          </cell>
          <cell r="EN83">
            <v>42151</v>
          </cell>
          <cell r="EQ83">
            <v>42165</v>
          </cell>
          <cell r="ER83">
            <v>42157</v>
          </cell>
          <cell r="ES83">
            <v>42150</v>
          </cell>
          <cell r="ET83">
            <v>42160</v>
          </cell>
          <cell r="EU83">
            <v>42160</v>
          </cell>
          <cell r="EW83">
            <v>24</v>
          </cell>
          <cell r="EX83">
            <v>42176</v>
          </cell>
          <cell r="EY83">
            <v>42162</v>
          </cell>
          <cell r="EZ83">
            <v>42172</v>
          </cell>
          <cell r="FA83">
            <v>42160</v>
          </cell>
          <cell r="FB83">
            <v>42174</v>
          </cell>
          <cell r="FC83">
            <v>42162</v>
          </cell>
          <cell r="FD83">
            <v>41936</v>
          </cell>
          <cell r="FF83">
            <v>41943</v>
          </cell>
          <cell r="FG83">
            <v>42152</v>
          </cell>
          <cell r="FH83">
            <v>41945</v>
          </cell>
          <cell r="FI83">
            <v>42160</v>
          </cell>
          <cell r="FJ83">
            <v>41948</v>
          </cell>
          <cell r="FN83">
            <v>41952</v>
          </cell>
          <cell r="FP83">
            <v>41954</v>
          </cell>
          <cell r="FR83">
            <v>41968</v>
          </cell>
          <cell r="FU83">
            <v>42176</v>
          </cell>
          <cell r="FV83">
            <v>42161</v>
          </cell>
          <cell r="FW83">
            <v>42176</v>
          </cell>
          <cell r="FX83">
            <v>42162</v>
          </cell>
          <cell r="FY83" t="str">
            <v>UT</v>
          </cell>
          <cell r="FZ83">
            <v>42153</v>
          </cell>
          <cell r="GA83">
            <v>42157</v>
          </cell>
          <cell r="GB83">
            <v>42162</v>
          </cell>
          <cell r="GC83">
            <v>42162</v>
          </cell>
          <cell r="GD83">
            <v>42163</v>
          </cell>
          <cell r="GE83">
            <v>42164</v>
          </cell>
          <cell r="GF83">
            <v>42164</v>
          </cell>
          <cell r="GG83">
            <v>42164</v>
          </cell>
          <cell r="GH83">
            <v>42164</v>
          </cell>
          <cell r="GI83">
            <v>42185</v>
          </cell>
          <cell r="GJ83" t="str">
            <v>24-2015</v>
          </cell>
          <cell r="GK83">
            <v>42164</v>
          </cell>
          <cell r="GN83" t="str">
            <v>ERICSSON</v>
          </cell>
          <cell r="GO83">
            <v>41709</v>
          </cell>
          <cell r="GS83" t="str">
            <v>4/4/4</v>
          </cell>
          <cell r="GU83" t="str">
            <v xml:space="preserve">		</v>
          </cell>
          <cell r="HD83">
            <v>1</v>
          </cell>
        </row>
        <row r="84">
          <cell r="A84" t="str">
            <v>BA0570</v>
          </cell>
          <cell r="B84" t="str">
            <v>ACBA_0036</v>
          </cell>
          <cell r="C84" t="str">
            <v>Apollo</v>
          </cell>
          <cell r="D84" t="str">
            <v>Robert</v>
          </cell>
          <cell r="E84" t="str">
            <v>Joselito Mapuyan : 9254374794</v>
          </cell>
          <cell r="F84" t="str">
            <v>Phyo Wai Maung</v>
          </cell>
          <cell r="G84" t="str">
            <v>Saw Pyie Zin Nyein</v>
          </cell>
          <cell r="H84" t="str">
            <v>RED</v>
          </cell>
          <cell r="I84" t="str">
            <v>South</v>
          </cell>
          <cell r="J84" t="str">
            <v>96.4879677</v>
          </cell>
          <cell r="K84" t="str">
            <v>17.3281478</v>
          </cell>
          <cell r="L84" t="str">
            <v>SubUrban</v>
          </cell>
          <cell r="M84" t="str">
            <v>Bago East</v>
          </cell>
          <cell r="N84" t="str">
            <v>Bago</v>
          </cell>
          <cell r="O84" t="str">
            <v>Bago</v>
          </cell>
          <cell r="P84" t="str">
            <v>Bago East</v>
          </cell>
          <cell r="Q84" t="str">
            <v>19</v>
          </cell>
          <cell r="R84" t="str">
            <v>Bago</v>
          </cell>
          <cell r="S84" t="str">
            <v>89</v>
          </cell>
          <cell r="T84" t="str">
            <v>GSM+UMTS</v>
          </cell>
          <cell r="U84" t="str">
            <v>BAG-N027</v>
          </cell>
          <cell r="V84" t="str">
            <v>4.1</v>
          </cell>
          <cell r="W84" t="str">
            <v>Ph2-Priority</v>
          </cell>
          <cell r="X84" t="str">
            <v>35</v>
          </cell>
          <cell r="Y84" t="str">
            <v>35</v>
          </cell>
          <cell r="Z84" t="str">
            <v>GBT</v>
          </cell>
          <cell r="AA84" t="str">
            <v>50</v>
          </cell>
          <cell r="AB84" t="str">
            <v>Access</v>
          </cell>
          <cell r="AC84" t="str">
            <v>Class B</v>
          </cell>
          <cell r="AD84" t="str">
            <v>1430</v>
          </cell>
          <cell r="AE84" t="str">
            <v>1610</v>
          </cell>
          <cell r="AF84" t="str">
            <v>4</v>
          </cell>
          <cell r="AG84" t="str">
            <v>BA0561</v>
          </cell>
          <cell r="AH84" t="str">
            <v>BA0561</v>
          </cell>
          <cell r="BC84" t="str">
            <v>BA0561</v>
          </cell>
          <cell r="BD84" t="str">
            <v>2</v>
          </cell>
          <cell r="BE84" t="str">
            <v>Route 2 Yangon -Mawlamyine</v>
          </cell>
          <cell r="BF84">
            <v>41973</v>
          </cell>
          <cell r="BG84">
            <v>41969</v>
          </cell>
          <cell r="BH84" t="str">
            <v>KTT</v>
          </cell>
          <cell r="BJ84">
            <v>42159</v>
          </cell>
          <cell r="BK84">
            <v>41673</v>
          </cell>
          <cell r="BL84">
            <v>42164</v>
          </cell>
          <cell r="BM84">
            <v>42176</v>
          </cell>
          <cell r="BT84">
            <v>560</v>
          </cell>
          <cell r="BU84">
            <v>42164</v>
          </cell>
          <cell r="BV84">
            <v>42123</v>
          </cell>
          <cell r="BW84" t="str">
            <v>95.19774</v>
          </cell>
          <cell r="BX84" t="str">
            <v>18.34975</v>
          </cell>
          <cell r="BY84" t="str">
            <v>C1</v>
          </cell>
          <cell r="BZ84" t="str">
            <v>Mae Kone village track, Nyaung Chay Htauk village,Kyan Khin township, Hintatha distinct, Ayeyarwady division.</v>
          </cell>
          <cell r="CA84" t="str">
            <v>Daw Kyi Kyi Wai;Mae Kone village track, Nyaung Chay Htauk village, Kyan Khin township ,Hintatha distinct ,Ayarwaddy division;09794458497 , 09260718638</v>
          </cell>
          <cell r="CB84" t="str">
            <v>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84" t="str">
            <v>Farm Land</v>
          </cell>
          <cell r="CE84">
            <v>0</v>
          </cell>
          <cell r="CF84">
            <v>42165</v>
          </cell>
          <cell r="CG84">
            <v>42129</v>
          </cell>
          <cell r="CH84">
            <v>42167</v>
          </cell>
          <cell r="CJ84">
            <v>42141</v>
          </cell>
          <cell r="CK84" t="str">
            <v>35</v>
          </cell>
          <cell r="CL84" t="str">
            <v>37</v>
          </cell>
          <cell r="CM84" t="str">
            <v>35</v>
          </cell>
          <cell r="CN84">
            <v>0</v>
          </cell>
          <cell r="CO84">
            <v>42170</v>
          </cell>
          <cell r="CP84">
            <v>42143</v>
          </cell>
          <cell r="CQ84" t="str">
            <v>M4: solar + DG + battery</v>
          </cell>
          <cell r="CR84">
            <v>0</v>
          </cell>
          <cell r="CS84">
            <v>42171</v>
          </cell>
          <cell r="CT84">
            <v>42145</v>
          </cell>
          <cell r="CU84" t="str">
            <v>BA0570</v>
          </cell>
          <cell r="CV84" t="str">
            <v>Y</v>
          </cell>
          <cell r="CW84" t="str">
            <v>Y</v>
          </cell>
          <cell r="CX84" t="str">
            <v>Y</v>
          </cell>
          <cell r="CY84" t="str">
            <v>Y</v>
          </cell>
          <cell r="DA84" t="str">
            <v>N/A</v>
          </cell>
          <cell r="DB84" t="str">
            <v>Y</v>
          </cell>
          <cell r="DC84" t="str">
            <v>N/A</v>
          </cell>
          <cell r="DD84" t="str">
            <v>N/A</v>
          </cell>
          <cell r="DE84" t="str">
            <v>Y</v>
          </cell>
          <cell r="DF84" t="str">
            <v>Y</v>
          </cell>
          <cell r="DG84" t="str">
            <v>Y</v>
          </cell>
          <cell r="DH84">
            <v>0</v>
          </cell>
          <cell r="DI84">
            <v>42181</v>
          </cell>
          <cell r="DJ84">
            <v>42154</v>
          </cell>
          <cell r="DK84">
            <v>42178</v>
          </cell>
          <cell r="DL84">
            <v>42153</v>
          </cell>
          <cell r="DM84">
            <v>42182</v>
          </cell>
          <cell r="DN84">
            <v>42164</v>
          </cell>
          <cell r="DO84">
            <v>0</v>
          </cell>
          <cell r="DP84">
            <v>42181</v>
          </cell>
          <cell r="DQ84">
            <v>42154</v>
          </cell>
          <cell r="DR84" t="str">
            <v>Bago CDC</v>
          </cell>
          <cell r="DS84" t="str">
            <v>052-22903</v>
          </cell>
          <cell r="DT84">
            <v>0</v>
          </cell>
          <cell r="DU84">
            <v>42196</v>
          </cell>
          <cell r="DW84">
            <v>0</v>
          </cell>
          <cell r="DY84">
            <v>42182</v>
          </cell>
          <cell r="DZ84">
            <v>42173</v>
          </cell>
          <cell r="EA84" t="str">
            <v>Leadcom</v>
          </cell>
          <cell r="ED84" t="str">
            <v>02Jan15 :SawPyie: Cow on air.
23Dec14 :SawPyie: lease done. Cow will deploy tomorrow.</v>
          </cell>
          <cell r="EI84" t="str">
            <v>M7: 2DG + battery      </v>
          </cell>
          <cell r="EJ84">
            <v>0</v>
          </cell>
          <cell r="EK84">
            <v>42197</v>
          </cell>
          <cell r="EL84">
            <v>42200</v>
          </cell>
          <cell r="EM84">
            <v>42198</v>
          </cell>
          <cell r="EN84">
            <v>42191</v>
          </cell>
          <cell r="EQ84">
            <v>42205</v>
          </cell>
          <cell r="ER84">
            <v>42201</v>
          </cell>
          <cell r="ES84">
            <v>42204</v>
          </cell>
          <cell r="ET84">
            <v>42205</v>
          </cell>
          <cell r="EU84">
            <v>42205</v>
          </cell>
          <cell r="EW84">
            <v>0</v>
          </cell>
          <cell r="EX84">
            <v>42219</v>
          </cell>
          <cell r="EZ84">
            <v>42215</v>
          </cell>
          <cell r="FA84">
            <v>42209</v>
          </cell>
          <cell r="FB84">
            <v>42217</v>
          </cell>
          <cell r="FC84">
            <v>42215</v>
          </cell>
          <cell r="FD84">
            <v>41937</v>
          </cell>
          <cell r="FF84">
            <v>41944</v>
          </cell>
          <cell r="FH84">
            <v>41946</v>
          </cell>
          <cell r="FJ84">
            <v>41949</v>
          </cell>
          <cell r="FN84">
            <v>41953</v>
          </cell>
          <cell r="FP84">
            <v>41955</v>
          </cell>
          <cell r="FR84">
            <v>41969</v>
          </cell>
          <cell r="FU84">
            <v>42219</v>
          </cell>
          <cell r="FW84">
            <v>42219</v>
          </cell>
          <cell r="FX84">
            <v>42216</v>
          </cell>
          <cell r="FY84" t="str">
            <v>EM</v>
          </cell>
          <cell r="FZ84">
            <v>42193</v>
          </cell>
          <cell r="GA84">
            <v>42195</v>
          </cell>
          <cell r="GB84">
            <v>42197</v>
          </cell>
          <cell r="GC84">
            <v>42205</v>
          </cell>
          <cell r="GD84">
            <v>42205</v>
          </cell>
          <cell r="GE84">
            <v>42197</v>
          </cell>
          <cell r="GF84">
            <v>42197</v>
          </cell>
          <cell r="GG84">
            <v>42216</v>
          </cell>
          <cell r="GH84">
            <v>42216</v>
          </cell>
          <cell r="GI84">
            <v>42216</v>
          </cell>
          <cell r="GJ84">
            <v>0</v>
          </cell>
          <cell r="GK84">
            <v>42216</v>
          </cell>
          <cell r="GN84" t="str">
            <v>ERICSSON</v>
          </cell>
          <cell r="GO84">
            <v>41710</v>
          </cell>
          <cell r="GS84" t="str">
            <v>4/4/4</v>
          </cell>
          <cell r="GU84" t="str">
            <v xml:space="preserve">		</v>
          </cell>
          <cell r="HD84">
            <v>1</v>
          </cell>
        </row>
        <row r="85">
          <cell r="A85" t="str">
            <v>BA0577</v>
          </cell>
          <cell r="B85" t="str">
            <v>ACBA_0037</v>
          </cell>
          <cell r="C85" t="str">
            <v>Apollo</v>
          </cell>
          <cell r="D85" t="str">
            <v>Robert</v>
          </cell>
          <cell r="E85" t="str">
            <v>Joselito Mapuyan : 9254374794</v>
          </cell>
          <cell r="F85" t="str">
            <v>Phyo Wai Maung</v>
          </cell>
          <cell r="G85" t="str">
            <v>Saw Pyie Zin Nyein</v>
          </cell>
          <cell r="H85" t="str">
            <v>RED</v>
          </cell>
          <cell r="I85" t="str">
            <v>South</v>
          </cell>
          <cell r="J85" t="str">
            <v>96.4981344</v>
          </cell>
          <cell r="K85" t="str">
            <v>17.3238855</v>
          </cell>
          <cell r="L85" t="str">
            <v>SubUrban</v>
          </cell>
          <cell r="M85" t="str">
            <v>Bago East</v>
          </cell>
          <cell r="N85" t="str">
            <v>Bago</v>
          </cell>
          <cell r="O85" t="str">
            <v>Bago</v>
          </cell>
          <cell r="P85" t="str">
            <v>Bago East</v>
          </cell>
          <cell r="Q85" t="str">
            <v>19</v>
          </cell>
          <cell r="R85" t="str">
            <v>Bago</v>
          </cell>
          <cell r="S85" t="str">
            <v>89</v>
          </cell>
          <cell r="T85" t="str">
            <v>GSM+UMTS</v>
          </cell>
          <cell r="U85" t="str">
            <v>BAG-N027</v>
          </cell>
          <cell r="V85" t="str">
            <v>4.1</v>
          </cell>
          <cell r="W85" t="str">
            <v>Ph2-Priority</v>
          </cell>
          <cell r="X85" t="str">
            <v>35</v>
          </cell>
          <cell r="Y85" t="str">
            <v>37</v>
          </cell>
          <cell r="Z85" t="str">
            <v>GBT</v>
          </cell>
          <cell r="AA85" t="str">
            <v>100</v>
          </cell>
          <cell r="AB85" t="str">
            <v>Access</v>
          </cell>
          <cell r="AC85" t="str">
            <v>Class B</v>
          </cell>
          <cell r="AD85" t="str">
            <v>1430</v>
          </cell>
          <cell r="AE85" t="str">
            <v>1610</v>
          </cell>
          <cell r="AF85" t="str">
            <v>2</v>
          </cell>
          <cell r="AG85" t="str">
            <v>BA0570</v>
          </cell>
          <cell r="AH85" t="str">
            <v>BA0561</v>
          </cell>
          <cell r="BC85" t="str">
            <v>BA0561</v>
          </cell>
          <cell r="BD85" t="str">
            <v>2</v>
          </cell>
          <cell r="BE85" t="str">
            <v>Route 2 Yangon -Mawlamyine</v>
          </cell>
          <cell r="BF85">
            <v>41973</v>
          </cell>
          <cell r="BG85">
            <v>42108</v>
          </cell>
          <cell r="BH85" t="str">
            <v>Apollo</v>
          </cell>
          <cell r="BJ85">
            <v>42190</v>
          </cell>
          <cell r="BK85">
            <v>41675</v>
          </cell>
          <cell r="BL85">
            <v>42195</v>
          </cell>
          <cell r="BM85">
            <v>42153</v>
          </cell>
          <cell r="BT85">
            <v>558</v>
          </cell>
          <cell r="BU85">
            <v>42191</v>
          </cell>
          <cell r="BV85">
            <v>42188</v>
          </cell>
          <cell r="BW85" t="str">
            <v>95.68145</v>
          </cell>
          <cell r="BX85" t="str">
            <v>15.99707</v>
          </cell>
          <cell r="BY85" t="str">
            <v>Reject</v>
          </cell>
          <cell r="BZ85" t="str">
            <v>Kalahtae (2), Kamn Thar Yar Village,Dedaluu Group, Amar Township, Ayeyarwady</v>
          </cell>
          <cell r="CA85" t="str">
            <v>U Tin Sein;09-49757481</v>
          </cell>
          <cell r="CB85" t="str">
            <v>21 July 15 : C6 SAR rejected(RND rejected because this site is 789m far from the nominal point and 305m close with on air site (BA0687_C01). Please find the new candidate near the nominal.);17 July 15 : C6 SAR sub;11May15: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85" t="str">
            <v>VILLAGE LAND</v>
          </cell>
          <cell r="CE85">
            <v>0</v>
          </cell>
          <cell r="CF85">
            <v>42192</v>
          </cell>
          <cell r="CG85">
            <v>42191</v>
          </cell>
          <cell r="CH85">
            <v>42194</v>
          </cell>
          <cell r="CJ85">
            <v>42193</v>
          </cell>
          <cell r="CK85" t="str">
            <v>45</v>
          </cell>
          <cell r="CL85" t="str">
            <v>47</v>
          </cell>
          <cell r="CM85" t="str">
            <v>50</v>
          </cell>
          <cell r="CN85">
            <v>0</v>
          </cell>
          <cell r="CO85">
            <v>42197</v>
          </cell>
          <cell r="CP85">
            <v>42157</v>
          </cell>
          <cell r="CQ85" t="str">
            <v>M1: grid power + battery</v>
          </cell>
          <cell r="CR85">
            <v>0</v>
          </cell>
          <cell r="CS85">
            <v>42198</v>
          </cell>
          <cell r="CT85">
            <v>42199</v>
          </cell>
          <cell r="CU85" t="str">
            <v>BA0577</v>
          </cell>
          <cell r="CV85" t="str">
            <v>Y</v>
          </cell>
          <cell r="CW85" t="str">
            <v>Y</v>
          </cell>
          <cell r="CX85" t="str">
            <v>Y</v>
          </cell>
          <cell r="CY85" t="str">
            <v>Y</v>
          </cell>
          <cell r="DB85" t="str">
            <v>Y</v>
          </cell>
          <cell r="DE85" t="str">
            <v>Y</v>
          </cell>
          <cell r="DF85" t="str">
            <v>Y</v>
          </cell>
          <cell r="DG85" t="str">
            <v>Y</v>
          </cell>
          <cell r="DH85">
            <v>0</v>
          </cell>
          <cell r="DI85">
            <v>42208</v>
          </cell>
          <cell r="DJ85">
            <v>42208</v>
          </cell>
          <cell r="DK85">
            <v>42205</v>
          </cell>
          <cell r="DM85">
            <v>42209</v>
          </cell>
          <cell r="DO85">
            <v>0</v>
          </cell>
          <cell r="DP85">
            <v>42208</v>
          </cell>
          <cell r="DQ85">
            <v>42208</v>
          </cell>
          <cell r="DR85" t="str">
            <v>Bago CDC</v>
          </cell>
          <cell r="DS85" t="str">
            <v>052-22903</v>
          </cell>
          <cell r="DT85">
            <v>0</v>
          </cell>
          <cell r="DU85">
            <v>42223</v>
          </cell>
          <cell r="DW85">
            <v>0</v>
          </cell>
          <cell r="DY85">
            <v>42209</v>
          </cell>
          <cell r="EA85" t="str">
            <v>Leadcom</v>
          </cell>
          <cell r="EJ85">
            <v>0</v>
          </cell>
          <cell r="EK85">
            <v>42231</v>
          </cell>
          <cell r="EM85">
            <v>42232</v>
          </cell>
          <cell r="EQ85">
            <v>42244</v>
          </cell>
          <cell r="EW85">
            <v>0</v>
          </cell>
          <cell r="EX85">
            <v>42223</v>
          </cell>
          <cell r="EZ85">
            <v>42254</v>
          </cell>
          <cell r="FB85">
            <v>42256</v>
          </cell>
          <cell r="FD85">
            <v>41937</v>
          </cell>
          <cell r="FF85">
            <v>41944</v>
          </cell>
          <cell r="FH85">
            <v>41946</v>
          </cell>
          <cell r="FJ85">
            <v>41949</v>
          </cell>
          <cell r="FN85">
            <v>41953</v>
          </cell>
          <cell r="FP85">
            <v>41955</v>
          </cell>
          <cell r="FR85">
            <v>41969</v>
          </cell>
          <cell r="FU85">
            <v>42258</v>
          </cell>
          <cell r="FW85">
            <v>42258</v>
          </cell>
          <cell r="GJ85">
            <v>0</v>
          </cell>
          <cell r="GN85" t="str">
            <v>ERICSSON</v>
          </cell>
          <cell r="GO85">
            <v>41710</v>
          </cell>
          <cell r="GS85" t="str">
            <v>4/4/4</v>
          </cell>
          <cell r="GU85" t="str">
            <v xml:space="preserve">		</v>
          </cell>
          <cell r="HD85">
            <v>1</v>
          </cell>
        </row>
        <row r="86">
          <cell r="A86" t="str">
            <v>BA0678</v>
          </cell>
          <cell r="B86" t="str">
            <v>ACBA_0130</v>
          </cell>
          <cell r="C86" t="str">
            <v>Apollo</v>
          </cell>
          <cell r="D86" t="str">
            <v>Chris Thomson</v>
          </cell>
          <cell r="F86" t="str">
            <v>Phyo Wai Maung</v>
          </cell>
          <cell r="G86" t="str">
            <v>Cho Yee Thaung</v>
          </cell>
          <cell r="H86" t="str">
            <v>RED</v>
          </cell>
          <cell r="I86" t="str">
            <v>South</v>
          </cell>
          <cell r="J86" t="str">
            <v>95.3480745919943</v>
          </cell>
          <cell r="K86" t="str">
            <v>18.5314371624544</v>
          </cell>
          <cell r="L86" t="str">
            <v>Rural</v>
          </cell>
          <cell r="M86" t="str">
            <v>Bago West</v>
          </cell>
          <cell r="N86" t="str">
            <v>Thegon</v>
          </cell>
          <cell r="O86" t="str">
            <v>Thegon</v>
          </cell>
          <cell r="P86" t="str">
            <v>Bago West</v>
          </cell>
          <cell r="Q86" t="str">
            <v>20</v>
          </cell>
          <cell r="R86" t="str">
            <v>Thegon</v>
          </cell>
          <cell r="S86" t="str">
            <v>107</v>
          </cell>
          <cell r="T86" t="str">
            <v>GSM+UMTS</v>
          </cell>
          <cell r="W86" t="str">
            <v>Ph2-Priority</v>
          </cell>
          <cell r="X86" t="str">
            <v>45</v>
          </cell>
          <cell r="Y86" t="str">
            <v>47</v>
          </cell>
          <cell r="Z86" t="str">
            <v>GBT</v>
          </cell>
          <cell r="AA86" t="str">
            <v>500</v>
          </cell>
          <cell r="AB86" t="str">
            <v>Access</v>
          </cell>
          <cell r="AC86" t="str">
            <v>Class C</v>
          </cell>
          <cell r="BE86" t="str">
            <v>Route 1 Yangon - Mandalay</v>
          </cell>
          <cell r="BH86" t="str">
            <v>IENG</v>
          </cell>
          <cell r="BJ86">
            <v>42143</v>
          </cell>
          <cell r="BK86">
            <v>42132</v>
          </cell>
          <cell r="BL86">
            <v>42148</v>
          </cell>
          <cell r="BM86">
            <v>42157</v>
          </cell>
          <cell r="BT86">
            <v>86</v>
          </cell>
          <cell r="BU86">
            <v>42251</v>
          </cell>
          <cell r="BV86">
            <v>42218</v>
          </cell>
          <cell r="BW86" t="str">
            <v>95.339902</v>
          </cell>
          <cell r="BX86" t="str">
            <v>18.533086</v>
          </cell>
          <cell r="BY86" t="str">
            <v>C4</v>
          </cell>
          <cell r="BZ86" t="str">
            <v>No.(Pa Ka/375), Aung Thapyae Street, Pwal Kone Quarter, Shwe Kyin Township, Bago Division.</v>
          </cell>
          <cell r="CA86" t="str">
            <v>U Ye' Tun Saung;09-33887880</v>
          </cell>
          <cell r="CB86" t="str">
            <v>02 Aug 15 : C4 SAR sub(C1, C2 ,C3 candidates Neighbors wont sign NOC, Dist. From NP is 880m);3 Jun 15 : C3 TSSR app;2 Jun 15 : C3 TSSR sub;26 May 15 : C3 SAR app;25May15: C3 SAR Sub</v>
          </cell>
          <cell r="CE86">
            <v>1</v>
          </cell>
          <cell r="CF86">
            <v>42252</v>
          </cell>
          <cell r="CG86">
            <v>42219</v>
          </cell>
          <cell r="CH86">
            <v>42254</v>
          </cell>
          <cell r="CJ86">
            <v>42175</v>
          </cell>
          <cell r="CK86" t="str">
            <v>35</v>
          </cell>
          <cell r="CL86" t="str">
            <v>37</v>
          </cell>
          <cell r="CM86" t="str">
            <v>35</v>
          </cell>
          <cell r="CN86">
            <v>14</v>
          </cell>
          <cell r="CO86">
            <v>42257</v>
          </cell>
          <cell r="CP86">
            <v>42177</v>
          </cell>
          <cell r="CQ86" t="str">
            <v>M4: solar + DG + battery</v>
          </cell>
          <cell r="CR86">
            <v>0</v>
          </cell>
          <cell r="CS86">
            <v>42258</v>
          </cell>
          <cell r="CT86">
            <v>42179</v>
          </cell>
          <cell r="CU86" t="str">
            <v>BA0678</v>
          </cell>
          <cell r="DH86">
            <v>0</v>
          </cell>
          <cell r="DI86">
            <v>42268</v>
          </cell>
          <cell r="DJ86">
            <v>42157</v>
          </cell>
          <cell r="DK86">
            <v>42265</v>
          </cell>
          <cell r="DL86">
            <v>42242</v>
          </cell>
          <cell r="DM86">
            <v>42269</v>
          </cell>
          <cell r="DN86">
            <v>42200</v>
          </cell>
          <cell r="DO86">
            <v>0</v>
          </cell>
          <cell r="DP86">
            <v>42268</v>
          </cell>
          <cell r="DQ86">
            <v>42157</v>
          </cell>
          <cell r="DT86">
            <v>76</v>
          </cell>
          <cell r="DU86">
            <v>42283</v>
          </cell>
          <cell r="DW86">
            <v>0</v>
          </cell>
          <cell r="DY86">
            <v>42269</v>
          </cell>
          <cell r="DZ86">
            <v>42196</v>
          </cell>
          <cell r="EA86" t="str">
            <v>IENG</v>
          </cell>
          <cell r="EB86">
            <v>42214</v>
          </cell>
          <cell r="EE86" t="str">
            <v xml:space="preserve">10 Aug 15:Flood affected_Hold-No access; 29-Jul-15:Pending column casting								</v>
          </cell>
          <cell r="EJ86">
            <v>0</v>
          </cell>
          <cell r="EK86">
            <v>42286</v>
          </cell>
          <cell r="EM86">
            <v>42287</v>
          </cell>
          <cell r="EQ86">
            <v>42296</v>
          </cell>
          <cell r="EW86">
            <v>0</v>
          </cell>
          <cell r="EX86">
            <v>42310</v>
          </cell>
          <cell r="EZ86">
            <v>42306</v>
          </cell>
          <cell r="FB86">
            <v>42308</v>
          </cell>
          <cell r="FU86">
            <v>42310</v>
          </cell>
          <cell r="FW86">
            <v>42310</v>
          </cell>
          <cell r="GJ86">
            <v>0</v>
          </cell>
          <cell r="GN86" t="str">
            <v>ERICSSON</v>
          </cell>
          <cell r="GS86" t="str">
            <v>4/4/4</v>
          </cell>
          <cell r="GU86" t="str">
            <v xml:space="preserve">		</v>
          </cell>
          <cell r="HD86">
            <v>1</v>
          </cell>
        </row>
        <row r="87">
          <cell r="A87" t="str">
            <v>BA0679</v>
          </cell>
          <cell r="B87" t="str">
            <v>ACBA_0139</v>
          </cell>
          <cell r="C87" t="str">
            <v>Apollo</v>
          </cell>
          <cell r="D87" t="str">
            <v>Emilio Ruiz</v>
          </cell>
          <cell r="F87" t="str">
            <v>Phyo Wai Maung</v>
          </cell>
          <cell r="G87" t="str">
            <v>Cho Yee Thaung</v>
          </cell>
          <cell r="H87" t="str">
            <v>WHITE</v>
          </cell>
          <cell r="I87" t="str">
            <v>South</v>
          </cell>
          <cell r="J87" t="str">
            <v>95.51768</v>
          </cell>
          <cell r="K87" t="str">
            <v>18.05126</v>
          </cell>
          <cell r="L87" t="str">
            <v>SubUrban</v>
          </cell>
          <cell r="M87" t="str">
            <v>Bago West</v>
          </cell>
          <cell r="N87" t="str">
            <v>Monyo</v>
          </cell>
          <cell r="O87" t="str">
            <v>Monyo</v>
          </cell>
          <cell r="P87" t="str">
            <v>Bago West</v>
          </cell>
          <cell r="Q87" t="str">
            <v>20</v>
          </cell>
          <cell r="R87" t="str">
            <v>Monyo</v>
          </cell>
          <cell r="S87" t="str">
            <v>115</v>
          </cell>
          <cell r="T87" t="str">
            <v>GSM+UMTS</v>
          </cell>
          <cell r="W87" t="str">
            <v>Ph2-Priority</v>
          </cell>
          <cell r="X87" t="str">
            <v>35</v>
          </cell>
          <cell r="Y87" t="str">
            <v>35</v>
          </cell>
          <cell r="Z87" t="str">
            <v>GBT</v>
          </cell>
          <cell r="AA87" t="str">
            <v>250</v>
          </cell>
          <cell r="AB87" t="str">
            <v>Access</v>
          </cell>
          <cell r="AC87" t="str">
            <v>Class B</v>
          </cell>
          <cell r="BE87" t="str">
            <v>Route 1 Yangon - Mandalay</v>
          </cell>
          <cell r="BH87" t="str">
            <v>IENG</v>
          </cell>
          <cell r="BJ87">
            <v>42124</v>
          </cell>
          <cell r="BK87">
            <v>42121</v>
          </cell>
          <cell r="BL87">
            <v>42129</v>
          </cell>
          <cell r="BM87">
            <v>42121</v>
          </cell>
          <cell r="BT87">
            <v>10</v>
          </cell>
          <cell r="BU87">
            <v>42139</v>
          </cell>
          <cell r="BV87">
            <v>42131</v>
          </cell>
          <cell r="BW87" t="str">
            <v>95.5166</v>
          </cell>
          <cell r="BX87" t="str">
            <v>18.05296</v>
          </cell>
          <cell r="BY87" t="str">
            <v>C1</v>
          </cell>
          <cell r="BZ87" t="str">
            <v>70 Oo Yin Su Village, Thar Yar Kone, Monyo.</v>
          </cell>
          <cell r="CA87" t="str">
            <v>U Aye Thu;No(70),Oo Yin Su village,Thar Yar Kon Village Track,Moe Nyo Township,Tharyarwady distinct ,Bago division;09 250310358 , 09 260166153</v>
          </cell>
          <cell r="CB87" t="str">
            <v>15 July 15 : E// given C1 TSSR updated checklist because TND team added one link for protection;7May15: C1 SAR Sub</v>
          </cell>
          <cell r="CE87">
            <v>5</v>
          </cell>
          <cell r="CF87">
            <v>42140</v>
          </cell>
          <cell r="CG87">
            <v>42136</v>
          </cell>
          <cell r="CH87">
            <v>42142</v>
          </cell>
          <cell r="CJ87">
            <v>42144</v>
          </cell>
          <cell r="CK87" t="str">
            <v>35</v>
          </cell>
          <cell r="CL87" t="str">
            <v>37</v>
          </cell>
          <cell r="CM87" t="str">
            <v>35</v>
          </cell>
          <cell r="CN87">
            <v>10</v>
          </cell>
          <cell r="CO87">
            <v>42145</v>
          </cell>
          <cell r="CP87">
            <v>42146</v>
          </cell>
          <cell r="CQ87" t="str">
            <v>M4: solar + DG + battery</v>
          </cell>
          <cell r="CR87">
            <v>3</v>
          </cell>
          <cell r="CS87">
            <v>42146</v>
          </cell>
          <cell r="CT87">
            <v>42149</v>
          </cell>
          <cell r="CU87" t="str">
            <v>BA0679</v>
          </cell>
          <cell r="DH87">
            <v>9</v>
          </cell>
          <cell r="DI87">
            <v>42163</v>
          </cell>
          <cell r="DJ87">
            <v>42158</v>
          </cell>
          <cell r="DK87">
            <v>42160</v>
          </cell>
          <cell r="DL87">
            <v>42160</v>
          </cell>
          <cell r="DM87">
            <v>42164</v>
          </cell>
          <cell r="DN87">
            <v>42160</v>
          </cell>
          <cell r="DO87">
            <v>0</v>
          </cell>
          <cell r="DP87">
            <v>42163</v>
          </cell>
          <cell r="DQ87">
            <v>42158</v>
          </cell>
          <cell r="DT87">
            <v>75</v>
          </cell>
          <cell r="DU87">
            <v>42178</v>
          </cell>
          <cell r="DW87">
            <v>0</v>
          </cell>
          <cell r="DY87">
            <v>42164</v>
          </cell>
          <cell r="DZ87">
            <v>42160</v>
          </cell>
          <cell r="EA87" t="str">
            <v>IENG</v>
          </cell>
          <cell r="ED87" t="str">
            <v>24Jun15 :ChoYee.Thaung: Backfilling done, Tower erection will start tomorrow_x000D_
18/6/15 : Template and tower on site (16/6/15 Night), Equ pad casted done, Pedestal will cast today_x000D_
16/6/15 : Rebar work done, Footing casted done (14/6/15), waiting for anchor bolt, nut and tower materials, Rebar work done for Equipment pad
11Jun15 :ChoYee.Thaung: Site Clearing start (5.6.15), Excavation and Lean done (11/6/15)</v>
          </cell>
          <cell r="EI87" t="str">
            <v>M7: 2DG + battery      </v>
          </cell>
          <cell r="EJ87">
            <v>15</v>
          </cell>
          <cell r="EK87">
            <v>42179</v>
          </cell>
          <cell r="EL87">
            <v>42175</v>
          </cell>
          <cell r="EM87">
            <v>42180</v>
          </cell>
          <cell r="EN87">
            <v>42172</v>
          </cell>
          <cell r="EQ87">
            <v>42187</v>
          </cell>
          <cell r="ER87">
            <v>42184</v>
          </cell>
          <cell r="ES87">
            <v>42172</v>
          </cell>
          <cell r="ET87">
            <v>42185</v>
          </cell>
          <cell r="EU87">
            <v>42185</v>
          </cell>
          <cell r="EW87">
            <v>40</v>
          </cell>
          <cell r="EX87">
            <v>42201</v>
          </cell>
          <cell r="EY87">
            <v>42200</v>
          </cell>
          <cell r="EZ87">
            <v>42197</v>
          </cell>
          <cell r="FA87">
            <v>42185</v>
          </cell>
          <cell r="FB87">
            <v>42199</v>
          </cell>
          <cell r="FC87">
            <v>42185</v>
          </cell>
          <cell r="FE87">
            <v>42179</v>
          </cell>
          <cell r="FU87">
            <v>42201</v>
          </cell>
          <cell r="FV87">
            <v>42200</v>
          </cell>
          <cell r="FW87">
            <v>42201</v>
          </cell>
          <cell r="FX87">
            <v>42185</v>
          </cell>
          <cell r="FY87" t="str">
            <v>UT</v>
          </cell>
          <cell r="FZ87">
            <v>42174</v>
          </cell>
          <cell r="GA87">
            <v>42176</v>
          </cell>
          <cell r="GB87">
            <v>42177</v>
          </cell>
          <cell r="GC87">
            <v>42186</v>
          </cell>
          <cell r="GD87">
            <v>42186</v>
          </cell>
          <cell r="GE87">
            <v>42177</v>
          </cell>
          <cell r="GF87">
            <v>42177</v>
          </cell>
          <cell r="GG87">
            <v>42187</v>
          </cell>
          <cell r="GH87">
            <v>42187</v>
          </cell>
          <cell r="GI87">
            <v>42185</v>
          </cell>
          <cell r="GJ87" t="str">
            <v>27-2015</v>
          </cell>
          <cell r="GK87">
            <v>42187</v>
          </cell>
          <cell r="GN87" t="str">
            <v>ERICSSON</v>
          </cell>
          <cell r="GO87">
            <v>42150</v>
          </cell>
          <cell r="GS87" t="str">
            <v>4/4/4</v>
          </cell>
          <cell r="GU87" t="str">
            <v xml:space="preserve">		</v>
          </cell>
          <cell r="HD87">
            <v>1</v>
          </cell>
        </row>
        <row r="88">
          <cell r="A88" t="str">
            <v>BA0681</v>
          </cell>
          <cell r="B88" t="str">
            <v>ACBA_0140</v>
          </cell>
          <cell r="C88" t="str">
            <v>Apollo</v>
          </cell>
          <cell r="D88" t="str">
            <v>Robert</v>
          </cell>
          <cell r="F88" t="str">
            <v>Phyo Wai Maung</v>
          </cell>
          <cell r="G88" t="str">
            <v>Saw Pyie Zin Nyein</v>
          </cell>
          <cell r="H88" t="str">
            <v>YELLOW</v>
          </cell>
          <cell r="I88" t="str">
            <v>South</v>
          </cell>
          <cell r="J88" t="str">
            <v>96.8113635522281</v>
          </cell>
          <cell r="K88" t="str">
            <v>17.6000606285845</v>
          </cell>
          <cell r="L88" t="str">
            <v>SubUrban</v>
          </cell>
          <cell r="M88" t="str">
            <v>Bago East</v>
          </cell>
          <cell r="N88" t="str">
            <v>Waw</v>
          </cell>
          <cell r="O88" t="str">
            <v>Waw</v>
          </cell>
          <cell r="P88" t="str">
            <v>Bago East</v>
          </cell>
          <cell r="Q88" t="str">
            <v>19</v>
          </cell>
          <cell r="R88" t="str">
            <v>Waw</v>
          </cell>
          <cell r="S88" t="str">
            <v>92</v>
          </cell>
          <cell r="T88" t="str">
            <v>GSM+UMTS</v>
          </cell>
          <cell r="W88" t="str">
            <v>Ph2-Priority</v>
          </cell>
          <cell r="X88" t="str">
            <v>35</v>
          </cell>
          <cell r="Y88" t="str">
            <v>35</v>
          </cell>
          <cell r="Z88" t="str">
            <v>GBT</v>
          </cell>
          <cell r="AA88" t="str">
            <v>250</v>
          </cell>
          <cell r="AB88" t="str">
            <v>Access</v>
          </cell>
          <cell r="AC88" t="str">
            <v>Class B</v>
          </cell>
          <cell r="BE88" t="str">
            <v>Route 2 Yangon -Mawlamyine</v>
          </cell>
          <cell r="BH88" t="str">
            <v>KTT</v>
          </cell>
          <cell r="BJ88">
            <v>42152</v>
          </cell>
          <cell r="BK88">
            <v>42130</v>
          </cell>
          <cell r="BL88">
            <v>42157</v>
          </cell>
          <cell r="BM88">
            <v>42157</v>
          </cell>
          <cell r="BT88">
            <v>37</v>
          </cell>
          <cell r="BU88">
            <v>42183</v>
          </cell>
          <cell r="BV88">
            <v>42167</v>
          </cell>
          <cell r="BW88" t="str">
            <v>96.81049</v>
          </cell>
          <cell r="BX88" t="str">
            <v>17.59835</v>
          </cell>
          <cell r="BY88" t="str">
            <v>C1</v>
          </cell>
          <cell r="BZ88" t="str">
            <v>No(13), Kyaunt Street, Myit Kyo Village Group, Waw Township, Bago.</v>
          </cell>
          <cell r="CA88" t="str">
            <v>U Kyaing;09-791798001</v>
          </cell>
          <cell r="CB88" t="str">
            <v>12Jun15: C1 SAR Sub on Friday 8PM</v>
          </cell>
          <cell r="CE88">
            <v>3</v>
          </cell>
          <cell r="CF88">
            <v>42184</v>
          </cell>
          <cell r="CG88">
            <v>42170</v>
          </cell>
          <cell r="CH88">
            <v>42186</v>
          </cell>
          <cell r="CJ88">
            <v>42177</v>
          </cell>
          <cell r="CK88" t="str">
            <v>35</v>
          </cell>
          <cell r="CL88" t="str">
            <v>37</v>
          </cell>
          <cell r="CM88" t="str">
            <v>35</v>
          </cell>
          <cell r="CN88">
            <v>9</v>
          </cell>
          <cell r="CO88">
            <v>42189</v>
          </cell>
          <cell r="CP88">
            <v>42179</v>
          </cell>
          <cell r="CQ88">
            <v>0</v>
          </cell>
          <cell r="CR88">
            <v>1</v>
          </cell>
          <cell r="CS88">
            <v>42190</v>
          </cell>
          <cell r="CT88">
            <v>42180</v>
          </cell>
          <cell r="CU88" t="str">
            <v>BA0681</v>
          </cell>
          <cell r="DH88">
            <v>18</v>
          </cell>
          <cell r="DI88">
            <v>42200</v>
          </cell>
          <cell r="DJ88">
            <v>42198</v>
          </cell>
          <cell r="DK88">
            <v>42197</v>
          </cell>
          <cell r="DL88">
            <v>42201</v>
          </cell>
          <cell r="DM88">
            <v>42201</v>
          </cell>
          <cell r="DN88">
            <v>42201</v>
          </cell>
          <cell r="DO88">
            <v>0</v>
          </cell>
          <cell r="DP88">
            <v>42200</v>
          </cell>
          <cell r="DQ88">
            <v>42198</v>
          </cell>
          <cell r="DT88">
            <v>35</v>
          </cell>
          <cell r="DU88">
            <v>42215</v>
          </cell>
          <cell r="DW88">
            <v>0</v>
          </cell>
          <cell r="DY88">
            <v>42201</v>
          </cell>
          <cell r="DZ88">
            <v>42196</v>
          </cell>
          <cell r="EA88" t="str">
            <v>Leadcom</v>
          </cell>
          <cell r="EB88">
            <v>42215</v>
          </cell>
          <cell r="EE88" t="str">
            <v xml:space="preserve">10 Aug 15:Flood affected_Hold-No access; 30-Jul-15:Pending column casting								</v>
          </cell>
          <cell r="EJ88">
            <v>30</v>
          </cell>
          <cell r="EK88">
            <v>42216</v>
          </cell>
          <cell r="EL88">
            <v>42226</v>
          </cell>
          <cell r="EM88">
            <v>42217</v>
          </cell>
          <cell r="EN88">
            <v>42228</v>
          </cell>
          <cell r="EQ88">
            <v>42224</v>
          </cell>
          <cell r="ER88">
            <v>42234</v>
          </cell>
          <cell r="ES88">
            <v>42240</v>
          </cell>
          <cell r="ET88">
            <v>42243</v>
          </cell>
          <cell r="EU88">
            <v>42243</v>
          </cell>
          <cell r="EW88">
            <v>37</v>
          </cell>
          <cell r="EX88">
            <v>42212</v>
          </cell>
          <cell r="EZ88">
            <v>42234</v>
          </cell>
          <cell r="FA88">
            <v>42244</v>
          </cell>
          <cell r="FB88">
            <v>42236</v>
          </cell>
          <cell r="FC88">
            <v>42246</v>
          </cell>
          <cell r="FU88">
            <v>42238</v>
          </cell>
          <cell r="FW88">
            <v>42238</v>
          </cell>
          <cell r="FX88">
            <v>42247</v>
          </cell>
          <cell r="FY88" t="str">
            <v>EL</v>
          </cell>
          <cell r="FZ88">
            <v>42229</v>
          </cell>
          <cell r="GA88">
            <v>42233</v>
          </cell>
          <cell r="GB88">
            <v>42236</v>
          </cell>
          <cell r="GC88">
            <v>42236</v>
          </cell>
          <cell r="GD88">
            <v>42247</v>
          </cell>
          <cell r="GE88">
            <v>42236</v>
          </cell>
          <cell r="GF88">
            <v>42247</v>
          </cell>
          <cell r="GG88">
            <v>42247</v>
          </cell>
          <cell r="GH88">
            <v>42248</v>
          </cell>
          <cell r="GI88">
            <v>42246</v>
          </cell>
          <cell r="GJ88" t="str">
            <v>44-2015</v>
          </cell>
          <cell r="GK88">
            <v>42249</v>
          </cell>
          <cell r="GL88" t="str">
            <v>Equipment Required ::</v>
          </cell>
          <cell r="GN88" t="str">
            <v>ERICSSON</v>
          </cell>
          <cell r="GQ88" t="str">
            <v xml:space="preserve">Equipment Not Delivered; </v>
          </cell>
          <cell r="GS88" t="str">
            <v>4/4/4</v>
          </cell>
          <cell r="GU88" t="str">
            <v xml:space="preserve">		</v>
          </cell>
          <cell r="HD88">
            <v>1</v>
          </cell>
        </row>
        <row r="89">
          <cell r="A89" t="str">
            <v>BA0700</v>
          </cell>
          <cell r="B89" t="str">
            <v>ACBA_0141</v>
          </cell>
          <cell r="C89" t="str">
            <v>Apollo</v>
          </cell>
          <cell r="D89" t="str">
            <v>Robert</v>
          </cell>
          <cell r="F89" t="str">
            <v>Phyo Wai Maung</v>
          </cell>
          <cell r="G89" t="str">
            <v>Saw Pyie Zin Nyein</v>
          </cell>
          <cell r="H89" t="str">
            <v>RED</v>
          </cell>
          <cell r="I89" t="str">
            <v>South</v>
          </cell>
          <cell r="J89" t="str">
            <v>96.60042977</v>
          </cell>
          <cell r="K89" t="str">
            <v>17.3021495</v>
          </cell>
          <cell r="L89" t="str">
            <v>Rural</v>
          </cell>
          <cell r="M89" t="str">
            <v>Bago East</v>
          </cell>
          <cell r="N89" t="str">
            <v>Thanatpin</v>
          </cell>
          <cell r="O89" t="str">
            <v>Thanatpin</v>
          </cell>
          <cell r="P89" t="str">
            <v>Bago East</v>
          </cell>
          <cell r="Q89" t="str">
            <v>19</v>
          </cell>
          <cell r="R89" t="str">
            <v>Thanatpin</v>
          </cell>
          <cell r="S89" t="str">
            <v>90</v>
          </cell>
          <cell r="T89" t="str">
            <v>GSM+UMTS</v>
          </cell>
          <cell r="W89" t="str">
            <v>Ph2-Priority</v>
          </cell>
          <cell r="X89" t="str">
            <v>45</v>
          </cell>
          <cell r="Y89" t="str">
            <v>45</v>
          </cell>
          <cell r="Z89" t="str">
            <v>GBT</v>
          </cell>
          <cell r="AA89" t="str">
            <v>250</v>
          </cell>
          <cell r="AB89" t="str">
            <v>Access</v>
          </cell>
          <cell r="AC89" t="str">
            <v>Class C</v>
          </cell>
          <cell r="BE89" t="str">
            <v>Yangon Ring 4</v>
          </cell>
          <cell r="BH89" t="str">
            <v>KTT</v>
          </cell>
          <cell r="BJ89">
            <v>42168</v>
          </cell>
          <cell r="BK89">
            <v>42174</v>
          </cell>
          <cell r="BL89">
            <v>42173</v>
          </cell>
          <cell r="BM89">
            <v>42174</v>
          </cell>
          <cell r="BT89">
            <v>21</v>
          </cell>
          <cell r="BU89">
            <v>42197</v>
          </cell>
          <cell r="BV89">
            <v>42195</v>
          </cell>
          <cell r="BW89" t="str">
            <v>96.60028</v>
          </cell>
          <cell r="BX89" t="str">
            <v>17.30271</v>
          </cell>
          <cell r="BY89" t="str">
            <v>C2</v>
          </cell>
          <cell r="BZ89" t="str">
            <v>No (2/84), Ma Kyat Su Village, Thanatpin Township, Bago West Division.</v>
          </cell>
          <cell r="CA89" t="str">
            <v>Daw Aye Nyunt,09-799813900, 09-428150011</v>
          </cell>
          <cell r="CB89" t="str">
            <v>10 July 15 : C2 SAR sub(NOC ISSUES C1);1 July 15 : C1 TSSR app;24 June 15 : C1 SAR app</v>
          </cell>
          <cell r="CC89" t="str">
            <v>TOWN LAND</v>
          </cell>
          <cell r="CE89">
            <v>3</v>
          </cell>
          <cell r="CF89">
            <v>42198</v>
          </cell>
          <cell r="CG89">
            <v>42198</v>
          </cell>
          <cell r="CH89">
            <v>42200</v>
          </cell>
          <cell r="CJ89">
            <v>42203</v>
          </cell>
          <cell r="CK89" t="str">
            <v>45</v>
          </cell>
          <cell r="CL89" t="str">
            <v>47</v>
          </cell>
          <cell r="CM89" t="str">
            <v>45</v>
          </cell>
          <cell r="CN89">
            <v>7</v>
          </cell>
          <cell r="CO89">
            <v>42203</v>
          </cell>
          <cell r="CP89">
            <v>42205</v>
          </cell>
          <cell r="CQ89" t="str">
            <v>M1: grid power + battery</v>
          </cell>
          <cell r="CR89">
            <v>2</v>
          </cell>
          <cell r="CS89">
            <v>42204</v>
          </cell>
          <cell r="CT89">
            <v>42207</v>
          </cell>
          <cell r="CU89" t="str">
            <v>BA0700</v>
          </cell>
          <cell r="DH89">
            <v>26</v>
          </cell>
          <cell r="DI89">
            <v>42214</v>
          </cell>
          <cell r="DK89">
            <v>42211</v>
          </cell>
          <cell r="DM89">
            <v>42215</v>
          </cell>
          <cell r="DO89">
            <v>0</v>
          </cell>
          <cell r="DP89">
            <v>42214</v>
          </cell>
          <cell r="DT89">
            <v>0</v>
          </cell>
          <cell r="DU89">
            <v>42229</v>
          </cell>
          <cell r="DW89">
            <v>0</v>
          </cell>
          <cell r="DY89">
            <v>42215</v>
          </cell>
          <cell r="DZ89">
            <v>42243</v>
          </cell>
          <cell r="EA89" t="str">
            <v>Leadcom</v>
          </cell>
          <cell r="EJ89">
            <v>0</v>
          </cell>
          <cell r="EK89">
            <v>42232</v>
          </cell>
          <cell r="EM89">
            <v>42233</v>
          </cell>
          <cell r="EQ89">
            <v>42242</v>
          </cell>
          <cell r="EW89">
            <v>0</v>
          </cell>
          <cell r="EX89">
            <v>42215</v>
          </cell>
          <cell r="EZ89">
            <v>42252</v>
          </cell>
          <cell r="FB89">
            <v>42254</v>
          </cell>
          <cell r="FU89">
            <v>42256</v>
          </cell>
          <cell r="FW89">
            <v>42256</v>
          </cell>
          <cell r="GJ89">
            <v>0</v>
          </cell>
          <cell r="GN89" t="str">
            <v>ERICSSON</v>
          </cell>
          <cell r="GS89" t="str">
            <v>4/4/4</v>
          </cell>
          <cell r="GU89" t="str">
            <v xml:space="preserve">		</v>
          </cell>
          <cell r="HD89">
            <v>1</v>
          </cell>
        </row>
        <row r="90">
          <cell r="A90" t="str">
            <v>BA0703</v>
          </cell>
          <cell r="B90" t="str">
            <v>ACBA_0142</v>
          </cell>
          <cell r="C90" t="str">
            <v>Apollo</v>
          </cell>
          <cell r="D90" t="str">
            <v>Robert</v>
          </cell>
          <cell r="F90" t="str">
            <v>Phyo Wai Maung</v>
          </cell>
          <cell r="G90" t="str">
            <v>Saw Pyie Zin Nyein</v>
          </cell>
          <cell r="H90" t="str">
            <v>AMBER</v>
          </cell>
          <cell r="I90" t="str">
            <v>South</v>
          </cell>
          <cell r="J90" t="str">
            <v>96.868</v>
          </cell>
          <cell r="K90" t="str">
            <v>17.919</v>
          </cell>
          <cell r="L90" t="str">
            <v>SubUrban</v>
          </cell>
          <cell r="M90" t="str">
            <v>Bago East</v>
          </cell>
          <cell r="N90" t="str">
            <v>Shwegyin</v>
          </cell>
          <cell r="O90" t="str">
            <v>Shwegyin</v>
          </cell>
          <cell r="P90" t="str">
            <v>Bago East</v>
          </cell>
          <cell r="Q90" t="str">
            <v>19</v>
          </cell>
          <cell r="R90" t="str">
            <v>Shwegyin</v>
          </cell>
          <cell r="S90" t="str">
            <v>96</v>
          </cell>
          <cell r="T90" t="str">
            <v>GSM+UMTS</v>
          </cell>
          <cell r="W90" t="str">
            <v>Ph2-Priority</v>
          </cell>
          <cell r="X90" t="str">
            <v>35</v>
          </cell>
          <cell r="Y90" t="str">
            <v>35</v>
          </cell>
          <cell r="Z90" t="str">
            <v>GBT</v>
          </cell>
          <cell r="AA90" t="str">
            <v>250</v>
          </cell>
          <cell r="AB90" t="str">
            <v>Access</v>
          </cell>
          <cell r="AC90" t="str">
            <v>Class B</v>
          </cell>
          <cell r="BE90" t="str">
            <v>Route 7 Bago - Pyawbwe</v>
          </cell>
          <cell r="BH90" t="str">
            <v>KTT</v>
          </cell>
          <cell r="BJ90">
            <v>42152</v>
          </cell>
          <cell r="BK90">
            <v>42130</v>
          </cell>
          <cell r="BL90">
            <v>42157</v>
          </cell>
          <cell r="BM90">
            <v>42157</v>
          </cell>
          <cell r="BT90">
            <v>37</v>
          </cell>
          <cell r="BU90">
            <v>42183</v>
          </cell>
          <cell r="BV90">
            <v>42167</v>
          </cell>
          <cell r="BW90" t="str">
            <v>96.86649</v>
          </cell>
          <cell r="BX90" t="str">
            <v>17.91886</v>
          </cell>
          <cell r="BY90" t="str">
            <v>C1</v>
          </cell>
          <cell r="BZ90" t="str">
            <v>No.(Pa Ka/375), Aung Thapyae Street, Pwal Kone Quarter, Shwe Kyin Township, Bago Division.</v>
          </cell>
          <cell r="CA90" t="str">
            <v>U Ye' Tun Saung;09-33887880</v>
          </cell>
          <cell r="CB90" t="str">
            <v>12Jun15: C1 SAR Sub on Friday 8PM</v>
          </cell>
          <cell r="CC90" t="str">
            <v>RESIDENTIAL</v>
          </cell>
          <cell r="CE90">
            <v>3</v>
          </cell>
          <cell r="CF90">
            <v>42184</v>
          </cell>
          <cell r="CG90">
            <v>42170</v>
          </cell>
          <cell r="CH90">
            <v>42186</v>
          </cell>
          <cell r="CJ90">
            <v>42175</v>
          </cell>
          <cell r="CK90" t="str">
            <v>35</v>
          </cell>
          <cell r="CL90" t="str">
            <v>37</v>
          </cell>
          <cell r="CM90" t="str">
            <v>35</v>
          </cell>
          <cell r="CN90">
            <v>7</v>
          </cell>
          <cell r="CO90">
            <v>42189</v>
          </cell>
          <cell r="CP90">
            <v>42177</v>
          </cell>
          <cell r="CQ90" t="str">
            <v>M1: grid power + battery</v>
          </cell>
          <cell r="CR90">
            <v>2</v>
          </cell>
          <cell r="CS90">
            <v>42190</v>
          </cell>
          <cell r="CT90">
            <v>42179</v>
          </cell>
          <cell r="CU90" t="str">
            <v>BA0703</v>
          </cell>
          <cell r="DH90">
            <v>19</v>
          </cell>
          <cell r="DI90">
            <v>42200</v>
          </cell>
          <cell r="DJ90">
            <v>42198</v>
          </cell>
          <cell r="DK90">
            <v>42197</v>
          </cell>
          <cell r="DL90">
            <v>42200</v>
          </cell>
          <cell r="DM90">
            <v>42201</v>
          </cell>
          <cell r="DN90">
            <v>42200</v>
          </cell>
          <cell r="DO90">
            <v>0</v>
          </cell>
          <cell r="DP90">
            <v>42200</v>
          </cell>
          <cell r="DQ90">
            <v>42198</v>
          </cell>
          <cell r="DT90">
            <v>35</v>
          </cell>
          <cell r="DU90">
            <v>42215</v>
          </cell>
          <cell r="DW90">
            <v>0</v>
          </cell>
          <cell r="DY90">
            <v>42201</v>
          </cell>
          <cell r="DZ90">
            <v>42196</v>
          </cell>
          <cell r="EA90" t="str">
            <v>Leadcom</v>
          </cell>
          <cell r="EB90">
            <v>42214</v>
          </cell>
          <cell r="EE90" t="str">
            <v xml:space="preserve">10 Aug 15:Flood affected_Hold-No access; 29-Jul-15:Pending column casting								</v>
          </cell>
          <cell r="EJ90">
            <v>37</v>
          </cell>
          <cell r="EK90">
            <v>42216</v>
          </cell>
          <cell r="EM90">
            <v>42217</v>
          </cell>
          <cell r="EQ90">
            <v>42224</v>
          </cell>
          <cell r="EW90">
            <v>37</v>
          </cell>
          <cell r="EX90">
            <v>42212</v>
          </cell>
          <cell r="EZ90">
            <v>42234</v>
          </cell>
          <cell r="FB90">
            <v>42236</v>
          </cell>
          <cell r="FU90">
            <v>42238</v>
          </cell>
          <cell r="FW90">
            <v>42238</v>
          </cell>
          <cell r="GI90">
            <v>42307</v>
          </cell>
          <cell r="GJ90" t="str">
            <v>44-2015</v>
          </cell>
          <cell r="GN90" t="str">
            <v>ERICSSON</v>
          </cell>
          <cell r="GS90" t="str">
            <v>4/4/4</v>
          </cell>
          <cell r="GU90" t="str">
            <v xml:space="preserve">		</v>
          </cell>
          <cell r="HD90">
            <v>1</v>
          </cell>
        </row>
        <row r="91">
          <cell r="A91" t="str">
            <v>BA0704</v>
          </cell>
          <cell r="B91" t="str">
            <v>ACBA_0143</v>
          </cell>
          <cell r="C91" t="str">
            <v>Apollo</v>
          </cell>
          <cell r="D91" t="str">
            <v>Robert</v>
          </cell>
          <cell r="F91" t="str">
            <v>Phyo Wai Maung</v>
          </cell>
          <cell r="G91" t="str">
            <v>Saw Pyie Zin Nyein</v>
          </cell>
          <cell r="H91" t="str">
            <v>RED</v>
          </cell>
          <cell r="I91" t="str">
            <v>South</v>
          </cell>
          <cell r="J91" t="str">
            <v>96.72336</v>
          </cell>
          <cell r="K91" t="str">
            <v>17.948295</v>
          </cell>
          <cell r="L91" t="str">
            <v>SubUrban</v>
          </cell>
          <cell r="M91" t="str">
            <v>Bago East</v>
          </cell>
          <cell r="N91" t="str">
            <v>Nyaunglebin</v>
          </cell>
          <cell r="O91" t="str">
            <v>Nyaunglebin</v>
          </cell>
          <cell r="P91" t="str">
            <v>Bago East</v>
          </cell>
          <cell r="Q91" t="str">
            <v>19</v>
          </cell>
          <cell r="R91" t="str">
            <v>Nyaunglebin</v>
          </cell>
          <cell r="S91" t="str">
            <v>93</v>
          </cell>
          <cell r="T91" t="str">
            <v>GSM+UMTS</v>
          </cell>
          <cell r="W91" t="str">
            <v>Ph2-Priority</v>
          </cell>
          <cell r="X91" t="str">
            <v>35</v>
          </cell>
          <cell r="Y91" t="str">
            <v>35</v>
          </cell>
          <cell r="Z91" t="str">
            <v>GBT</v>
          </cell>
          <cell r="AA91" t="str">
            <v>250</v>
          </cell>
          <cell r="AB91" t="str">
            <v>Access</v>
          </cell>
          <cell r="AC91" t="str">
            <v>Class B</v>
          </cell>
          <cell r="BE91" t="str">
            <v>Route 7 Bago - Pyawbwe</v>
          </cell>
          <cell r="BH91" t="str">
            <v>KTT</v>
          </cell>
          <cell r="BJ91">
            <v>42152</v>
          </cell>
          <cell r="BK91">
            <v>42130</v>
          </cell>
          <cell r="BL91">
            <v>42157</v>
          </cell>
          <cell r="BM91">
            <v>42113</v>
          </cell>
          <cell r="BT91">
            <v>103</v>
          </cell>
          <cell r="BU91">
            <v>42183</v>
          </cell>
          <cell r="BV91">
            <v>42241</v>
          </cell>
          <cell r="BW91" t="str">
            <v>96.72617</v>
          </cell>
          <cell r="BX91" t="str">
            <v>17.94767</v>
          </cell>
          <cell r="BY91" t="str">
            <v>Reject</v>
          </cell>
          <cell r="BZ91" t="str">
            <v>Ward (7) , Htan Ta Pin village track, Kyan Khin township , Yay Won Gyi village, Hintatha distinct.</v>
          </cell>
          <cell r="CA91" t="str">
            <v>U Nyunt Shwe;Tha Pyay Kone Village, Kyaung Kone quarter, seik thar village,Kyan khin township,Hintatha distinct, Ayarwaddy division;0936303741 , 0936369738</v>
          </cell>
          <cell r="CB91" t="str">
            <v>27 July 15 : C1 SAR  Rev rejected with justification ( According to TM radio suggestion, RND rejected because this site is 306m far from the nominal point and one sector in no clutter. Please find the new candidate in between 380m 306degree and 520m 20degree from the nominal.);20 July 15 : C1 Rev SAR sub(AS PER DISCUSSION WITH NEERAJ);16 June 15 :C1 SAR rejected(RND rejected because this site is 306m far from the nominal point and one sector in no clutter. Please find the new candidate in the near nominal point.); 15Jun15: C1 SAR Sub</v>
          </cell>
          <cell r="CC91" t="str">
            <v>Garden Land</v>
          </cell>
          <cell r="CE91">
            <v>0</v>
          </cell>
          <cell r="CF91">
            <v>42184</v>
          </cell>
          <cell r="CG91">
            <v>42241</v>
          </cell>
          <cell r="CH91">
            <v>42186</v>
          </cell>
          <cell r="CJ91">
            <v>42141</v>
          </cell>
          <cell r="CK91" t="str">
            <v>35</v>
          </cell>
          <cell r="CL91" t="str">
            <v>37</v>
          </cell>
          <cell r="CM91" t="str">
            <v>35</v>
          </cell>
          <cell r="CN91">
            <v>0</v>
          </cell>
          <cell r="CO91">
            <v>42189</v>
          </cell>
          <cell r="CP91">
            <v>42143</v>
          </cell>
          <cell r="CQ91" t="str">
            <v>M1: grid power + battery</v>
          </cell>
          <cell r="CR91">
            <v>0</v>
          </cell>
          <cell r="CS91">
            <v>42190</v>
          </cell>
          <cell r="CT91">
            <v>42144</v>
          </cell>
          <cell r="CU91" t="str">
            <v>BA0704</v>
          </cell>
          <cell r="DH91">
            <v>0</v>
          </cell>
          <cell r="DI91">
            <v>42200</v>
          </cell>
          <cell r="DJ91">
            <v>42154</v>
          </cell>
          <cell r="DK91">
            <v>42197</v>
          </cell>
          <cell r="DL91">
            <v>42163</v>
          </cell>
          <cell r="DM91">
            <v>42201</v>
          </cell>
          <cell r="DN91">
            <v>42163</v>
          </cell>
          <cell r="DO91">
            <v>0</v>
          </cell>
          <cell r="DP91">
            <v>42200</v>
          </cell>
          <cell r="DQ91">
            <v>42154</v>
          </cell>
          <cell r="DT91">
            <v>0</v>
          </cell>
          <cell r="DU91">
            <v>42215</v>
          </cell>
          <cell r="DW91">
            <v>0</v>
          </cell>
          <cell r="DY91">
            <v>42201</v>
          </cell>
          <cell r="DZ91">
            <v>42164</v>
          </cell>
          <cell r="EA91" t="str">
            <v>Leadcom</v>
          </cell>
          <cell r="ED91" t="str">
            <v>27Jul15 :Thiha.Kyaw: 17-7-15 Telecom installation in progress.
20Jul15 :Thiha.Kyaw: 17-7-15 Telecom installation in progress.
13Jul15 :Thiha.Kyaw: 10-7-15 Tower erection Done. Equipment pad making in progress. Power on site. Telecom equipment on site.
06Jul15 :Thiha.Kyaw: 6-7-15 RFI Telecom. Fencing making in progress.
26Jun15 :Thiha.Kyaw: 26-6-15 Footing Done. Pedestal making in progress.
22Jun15 :Thiha.Kyaw: 22-6-15 Footing making in progress.</v>
          </cell>
          <cell r="EE91" t="str">
            <v>19Jun15 Excavation in progress.</v>
          </cell>
          <cell r="EI91" t="str">
            <v>M7: 2DG + battery      </v>
          </cell>
          <cell r="EJ91">
            <v>0</v>
          </cell>
          <cell r="EK91">
            <v>42216</v>
          </cell>
          <cell r="EL91">
            <v>42188</v>
          </cell>
          <cell r="EM91">
            <v>42217</v>
          </cell>
          <cell r="EN91">
            <v>42179</v>
          </cell>
          <cell r="EQ91">
            <v>42224</v>
          </cell>
          <cell r="ER91">
            <v>42191</v>
          </cell>
          <cell r="ES91">
            <v>42197</v>
          </cell>
          <cell r="ET91">
            <v>42197</v>
          </cell>
          <cell r="EU91">
            <v>42197</v>
          </cell>
          <cell r="EW91">
            <v>0</v>
          </cell>
          <cell r="EX91">
            <v>42212</v>
          </cell>
          <cell r="EZ91">
            <v>42234</v>
          </cell>
          <cell r="FA91">
            <v>42201</v>
          </cell>
          <cell r="FB91">
            <v>42236</v>
          </cell>
          <cell r="FC91">
            <v>42207</v>
          </cell>
          <cell r="FE91">
            <v>42179</v>
          </cell>
          <cell r="FS91">
            <v>42192</v>
          </cell>
          <cell r="FT91" t="str">
            <v>Off Grid</v>
          </cell>
          <cell r="FU91">
            <v>42238</v>
          </cell>
          <cell r="FV91">
            <v>42206</v>
          </cell>
          <cell r="FW91">
            <v>42238</v>
          </cell>
          <cell r="FX91">
            <v>42207</v>
          </cell>
          <cell r="FY91" t="str">
            <v>TN</v>
          </cell>
          <cell r="FZ91">
            <v>42191</v>
          </cell>
          <cell r="GA91">
            <v>42193</v>
          </cell>
          <cell r="GB91">
            <v>42196</v>
          </cell>
          <cell r="GC91">
            <v>42208</v>
          </cell>
          <cell r="GD91">
            <v>42208</v>
          </cell>
          <cell r="GE91">
            <v>42196</v>
          </cell>
          <cell r="GF91">
            <v>42208</v>
          </cell>
          <cell r="GG91">
            <v>42209</v>
          </cell>
          <cell r="GH91">
            <v>42209</v>
          </cell>
          <cell r="GI91">
            <v>42216</v>
          </cell>
          <cell r="GJ91">
            <v>0</v>
          </cell>
          <cell r="GK91">
            <v>42209</v>
          </cell>
          <cell r="GN91" t="str">
            <v xml:space="preserve">ERICSSON </v>
          </cell>
          <cell r="GS91" t="str">
            <v>4/4/4</v>
          </cell>
          <cell r="GU91" t="str">
            <v xml:space="preserve">		</v>
          </cell>
          <cell r="HD91">
            <v>1</v>
          </cell>
        </row>
        <row r="92">
          <cell r="A92" t="str">
            <v>BA0714</v>
          </cell>
          <cell r="B92" t="str">
            <v>ACBA_0144</v>
          </cell>
          <cell r="C92" t="str">
            <v>Apollo</v>
          </cell>
          <cell r="D92" t="str">
            <v>Chris Thomson</v>
          </cell>
          <cell r="F92" t="str">
            <v>Phyo Wai Maung</v>
          </cell>
          <cell r="G92" t="str">
            <v>Paing Thu Soe</v>
          </cell>
          <cell r="H92" t="str">
            <v>AMBER</v>
          </cell>
          <cell r="I92" t="str">
            <v>South</v>
          </cell>
          <cell r="J92" t="str">
            <v>96.4261</v>
          </cell>
          <cell r="K92" t="str">
            <v>18.8901</v>
          </cell>
          <cell r="L92" t="str">
            <v>Rural</v>
          </cell>
          <cell r="M92" t="str">
            <v>Bago East</v>
          </cell>
          <cell r="N92" t="str">
            <v>Oktwin</v>
          </cell>
          <cell r="O92" t="str">
            <v>Oktwin</v>
          </cell>
          <cell r="P92" t="str">
            <v>Bago East</v>
          </cell>
          <cell r="Q92" t="str">
            <v>19</v>
          </cell>
          <cell r="R92" t="str">
            <v>Oktwin</v>
          </cell>
          <cell r="S92" t="str">
            <v>101</v>
          </cell>
          <cell r="T92" t="str">
            <v>GSM+UMTS</v>
          </cell>
          <cell r="W92" t="str">
            <v>Ph2-Priority</v>
          </cell>
          <cell r="X92" t="str">
            <v>45</v>
          </cell>
          <cell r="Y92" t="str">
            <v>45</v>
          </cell>
          <cell r="Z92" t="str">
            <v>GBT</v>
          </cell>
          <cell r="AA92" t="str">
            <v>250</v>
          </cell>
          <cell r="AB92" t="str">
            <v>Access</v>
          </cell>
          <cell r="AC92" t="str">
            <v>Class C</v>
          </cell>
          <cell r="BE92" t="str">
            <v>Route 7 Bago - Pyawbwe</v>
          </cell>
          <cell r="BH92" t="str">
            <v>KTT</v>
          </cell>
          <cell r="BJ92">
            <v>42168</v>
          </cell>
          <cell r="BK92">
            <v>42130</v>
          </cell>
          <cell r="BL92">
            <v>42173</v>
          </cell>
          <cell r="BM92">
            <v>42161</v>
          </cell>
          <cell r="BT92">
            <v>41</v>
          </cell>
          <cell r="BU92">
            <v>42182</v>
          </cell>
          <cell r="BV92">
            <v>42171</v>
          </cell>
          <cell r="BW92" t="str">
            <v>96.42561</v>
          </cell>
          <cell r="BX92" t="str">
            <v>18.89041</v>
          </cell>
          <cell r="BY92" t="str">
            <v>C1</v>
          </cell>
          <cell r="BZ92" t="str">
            <v>Au Yin Taw Village Group, Thit Taw Village, Oaktwin Township, Bago Division.</v>
          </cell>
          <cell r="CA92" t="str">
            <v>U HLA THAN;09-976955228</v>
          </cell>
          <cell r="CB92" t="str">
            <v>16Jun15: C1 SAR Sub</v>
          </cell>
          <cell r="CE92">
            <v>1</v>
          </cell>
          <cell r="CF92">
            <v>42183</v>
          </cell>
          <cell r="CG92">
            <v>42172</v>
          </cell>
          <cell r="CH92">
            <v>42185</v>
          </cell>
          <cell r="CJ92">
            <v>42177</v>
          </cell>
          <cell r="CK92" t="str">
            <v>45</v>
          </cell>
          <cell r="CL92" t="str">
            <v>47</v>
          </cell>
          <cell r="CM92" t="str">
            <v>45</v>
          </cell>
          <cell r="CN92">
            <v>7</v>
          </cell>
          <cell r="CO92">
            <v>42188</v>
          </cell>
          <cell r="CP92">
            <v>42179</v>
          </cell>
          <cell r="CQ92" t="str">
            <v>M1: grid power + battery</v>
          </cell>
          <cell r="CR92">
            <v>2</v>
          </cell>
          <cell r="CS92">
            <v>42189</v>
          </cell>
          <cell r="CT92">
            <v>42181</v>
          </cell>
          <cell r="CU92" t="str">
            <v>BA0714</v>
          </cell>
          <cell r="DH92">
            <v>52</v>
          </cell>
          <cell r="DI92">
            <v>42199</v>
          </cell>
          <cell r="DK92">
            <v>42196</v>
          </cell>
          <cell r="DL92">
            <v>42242</v>
          </cell>
          <cell r="DM92">
            <v>42200</v>
          </cell>
          <cell r="DN92">
            <v>42201</v>
          </cell>
          <cell r="DO92">
            <v>0</v>
          </cell>
          <cell r="DP92">
            <v>42199</v>
          </cell>
          <cell r="DT92">
            <v>0</v>
          </cell>
          <cell r="DU92">
            <v>42214</v>
          </cell>
          <cell r="DW92">
            <v>0</v>
          </cell>
          <cell r="DY92">
            <v>42200</v>
          </cell>
          <cell r="DZ92">
            <v>42182</v>
          </cell>
          <cell r="EA92" t="str">
            <v>Leadcom</v>
          </cell>
          <cell r="EJ92">
            <v>51</v>
          </cell>
          <cell r="EK92">
            <v>42217</v>
          </cell>
          <cell r="EM92">
            <v>42218</v>
          </cell>
          <cell r="EQ92">
            <v>42227</v>
          </cell>
          <cell r="EW92">
            <v>51</v>
          </cell>
          <cell r="EX92">
            <v>42215</v>
          </cell>
          <cell r="EZ92">
            <v>42237</v>
          </cell>
          <cell r="FB92">
            <v>42239</v>
          </cell>
          <cell r="FU92">
            <v>42241</v>
          </cell>
          <cell r="FW92">
            <v>42241</v>
          </cell>
          <cell r="GI92">
            <v>42277</v>
          </cell>
          <cell r="GJ92" t="str">
            <v>40-2015</v>
          </cell>
          <cell r="GN92" t="str">
            <v>ERICSSON</v>
          </cell>
          <cell r="GP92">
            <v>42206</v>
          </cell>
          <cell r="GS92" t="str">
            <v>4/4/4</v>
          </cell>
          <cell r="GU92" t="str">
            <v xml:space="preserve">		</v>
          </cell>
          <cell r="HD92">
            <v>1</v>
          </cell>
        </row>
        <row r="93">
          <cell r="A93" t="str">
            <v>BA0715</v>
          </cell>
          <cell r="B93" t="str">
            <v>ACBA_0145</v>
          </cell>
          <cell r="C93" t="str">
            <v>Apollo</v>
          </cell>
          <cell r="D93" t="str">
            <v>Chris Thomson</v>
          </cell>
          <cell r="F93" t="str">
            <v>Phyo Wai Maung</v>
          </cell>
          <cell r="G93" t="str">
            <v>Paing Thu Soe</v>
          </cell>
          <cell r="H93" t="str">
            <v>WHITE</v>
          </cell>
          <cell r="I93" t="str">
            <v>South</v>
          </cell>
          <cell r="J93" t="str">
            <v>96.35107135</v>
          </cell>
          <cell r="K93" t="str">
            <v>19.15185402</v>
          </cell>
          <cell r="L93" t="str">
            <v>SubUrban</v>
          </cell>
          <cell r="M93" t="str">
            <v>Bago East</v>
          </cell>
          <cell r="N93" t="str">
            <v>Yedashe</v>
          </cell>
          <cell r="O93" t="str">
            <v>Yedashe</v>
          </cell>
          <cell r="P93" t="str">
            <v>Bago East</v>
          </cell>
          <cell r="Q93" t="str">
            <v>19</v>
          </cell>
          <cell r="R93" t="str">
            <v>Yedashe</v>
          </cell>
          <cell r="S93" t="str">
            <v>98</v>
          </cell>
          <cell r="T93" t="str">
            <v>GSM+UMTS</v>
          </cell>
          <cell r="W93" t="str">
            <v>Ph2-Priority</v>
          </cell>
          <cell r="X93" t="str">
            <v>35</v>
          </cell>
          <cell r="Y93" t="str">
            <v>35</v>
          </cell>
          <cell r="Z93" t="str">
            <v>GBT</v>
          </cell>
          <cell r="AA93" t="str">
            <v>250</v>
          </cell>
          <cell r="AB93" t="str">
            <v>Access</v>
          </cell>
          <cell r="AC93" t="str">
            <v>Class B</v>
          </cell>
          <cell r="BE93" t="str">
            <v>Route 7 Bago - Pyawbwe</v>
          </cell>
          <cell r="BH93" t="str">
            <v>KTT</v>
          </cell>
          <cell r="BJ93">
            <v>42152</v>
          </cell>
          <cell r="BK93">
            <v>42130</v>
          </cell>
          <cell r="BL93">
            <v>42157</v>
          </cell>
          <cell r="BM93">
            <v>42148</v>
          </cell>
          <cell r="BT93">
            <v>28</v>
          </cell>
          <cell r="BU93">
            <v>42157</v>
          </cell>
          <cell r="BV93">
            <v>42158</v>
          </cell>
          <cell r="BW93" t="str">
            <v>96.35087</v>
          </cell>
          <cell r="BX93" t="str">
            <v>19.15151</v>
          </cell>
          <cell r="BY93" t="str">
            <v>C2</v>
          </cell>
          <cell r="BZ93" t="str">
            <v>Bayint Naung Street, No (4) Quarter, Yay Tar Shae Township, Taunggoo , Bago Division.</v>
          </cell>
          <cell r="CA93" t="str">
            <v>U AUNG MYO LIN; U Myint Shwe;Bayint Naung Street, No (4) Quarter, Yay Tar Shae Township, Taunggoo , Bago Division;09-796364764</v>
          </cell>
          <cell r="CB93" t="str">
            <v>3June15: C2 SAR Sub</v>
          </cell>
          <cell r="CC93" t="str">
            <v>Residential</v>
          </cell>
          <cell r="CE93">
            <v>0</v>
          </cell>
          <cell r="CF93">
            <v>42158</v>
          </cell>
          <cell r="CG93">
            <v>42158</v>
          </cell>
          <cell r="CH93">
            <v>42165</v>
          </cell>
          <cell r="CJ93">
            <v>42170</v>
          </cell>
          <cell r="CK93" t="str">
            <v>35</v>
          </cell>
          <cell r="CL93" t="str">
            <v>37</v>
          </cell>
          <cell r="CM93" t="str">
            <v>35</v>
          </cell>
          <cell r="CN93">
            <v>14</v>
          </cell>
          <cell r="CO93">
            <v>42168</v>
          </cell>
          <cell r="CP93">
            <v>42172</v>
          </cell>
          <cell r="CQ93" t="str">
            <v>M1: grid power + battery</v>
          </cell>
          <cell r="CR93">
            <v>1</v>
          </cell>
          <cell r="CS93">
            <v>42169</v>
          </cell>
          <cell r="CT93">
            <v>42173</v>
          </cell>
          <cell r="CU93" t="str">
            <v>BA0715</v>
          </cell>
          <cell r="DH93">
            <v>60</v>
          </cell>
          <cell r="DI93">
            <v>42179</v>
          </cell>
          <cell r="DJ93">
            <v>42156</v>
          </cell>
          <cell r="DK93">
            <v>42176</v>
          </cell>
          <cell r="DL93">
            <v>42179</v>
          </cell>
          <cell r="DM93">
            <v>42180</v>
          </cell>
          <cell r="DN93">
            <v>42179</v>
          </cell>
          <cell r="DO93">
            <v>0</v>
          </cell>
          <cell r="DP93">
            <v>42179</v>
          </cell>
          <cell r="DQ93">
            <v>42157</v>
          </cell>
          <cell r="DT93">
            <v>0</v>
          </cell>
          <cell r="DU93">
            <v>42194</v>
          </cell>
          <cell r="DW93">
            <v>0</v>
          </cell>
          <cell r="DY93">
            <v>42180</v>
          </cell>
          <cell r="DZ93">
            <v>42181</v>
          </cell>
          <cell r="EA93" t="str">
            <v>Leadcom</v>
          </cell>
          <cell r="ED93" t="str">
            <v>30Jul15 :ChoYee.Thaung: 30/7/15 : Canopy installation, On Air (27/7/15)_x000D_
23/7/15 : Tower erection done, cable tray and grounding done, RFI, telecom equipment on site_x000D_
15/7/15 : Tower erection on going (level 2)
13Jul15 :ChoYee.Thaung: 9/7/15 : Pedestal casted done (5.7.15), Backfilling on going, Rebar work will start tomorrow for equ pad_x000D_
2/7/15 : Anchor bolt and templete install and setting done,  Formwork on going, Pedestal will cast Satursday
24Jun15 :ChoYee.Thaung: 23/6/15 : Lean done, Rebar work on going, Template and anchor bolt, nut on site_x000D_
18/6/15 : Excavation done today_x000D_
17/6/15 : CW start date (15/6/15), Excavation on going (80%)
11Jun15 :ChoYee.Thaung: CW not yet start</v>
          </cell>
          <cell r="EF93" t="str">
            <v>Ko Ko Nyi Nyi</v>
          </cell>
          <cell r="EI93" t="str">
            <v>M5: grid power + DG + battery      </v>
          </cell>
          <cell r="EJ93">
            <v>17</v>
          </cell>
          <cell r="EK93">
            <v>42195</v>
          </cell>
          <cell r="EL93">
            <v>42198</v>
          </cell>
          <cell r="EM93">
            <v>42196</v>
          </cell>
          <cell r="EN93">
            <v>42200</v>
          </cell>
          <cell r="EQ93">
            <v>42203</v>
          </cell>
          <cell r="ER93">
            <v>42206</v>
          </cell>
          <cell r="ES93">
            <v>42213</v>
          </cell>
          <cell r="ET93">
            <v>42217</v>
          </cell>
          <cell r="EU93">
            <v>42217</v>
          </cell>
          <cell r="EW93">
            <v>52</v>
          </cell>
          <cell r="EX93">
            <v>42212</v>
          </cell>
          <cell r="EZ93">
            <v>42213</v>
          </cell>
          <cell r="FA93">
            <v>42209</v>
          </cell>
          <cell r="FB93">
            <v>42215</v>
          </cell>
          <cell r="FC93">
            <v>42217</v>
          </cell>
          <cell r="FE93">
            <v>42193</v>
          </cell>
          <cell r="FU93">
            <v>42217</v>
          </cell>
          <cell r="FW93">
            <v>42217</v>
          </cell>
          <cell r="FX93">
            <v>42217</v>
          </cell>
          <cell r="FY93" t="str">
            <v>UT</v>
          </cell>
          <cell r="FZ93">
            <v>42201</v>
          </cell>
          <cell r="GA93">
            <v>42205</v>
          </cell>
          <cell r="GB93">
            <v>42205</v>
          </cell>
          <cell r="GC93">
            <v>42207</v>
          </cell>
          <cell r="GD93">
            <v>42219</v>
          </cell>
          <cell r="GE93">
            <v>42205</v>
          </cell>
          <cell r="GF93">
            <v>42219</v>
          </cell>
          <cell r="GG93">
            <v>42219</v>
          </cell>
          <cell r="GH93">
            <v>42219</v>
          </cell>
          <cell r="GI93">
            <v>42246</v>
          </cell>
          <cell r="GJ93" t="str">
            <v>36-2015</v>
          </cell>
          <cell r="GK93">
            <v>42220</v>
          </cell>
          <cell r="GN93" t="str">
            <v xml:space="preserve">ERICSSON </v>
          </cell>
          <cell r="GO93">
            <v>42152</v>
          </cell>
          <cell r="GP93">
            <v>42206</v>
          </cell>
          <cell r="GS93" t="str">
            <v>4/4/4</v>
          </cell>
          <cell r="GU93" t="str">
            <v xml:space="preserve">		</v>
          </cell>
          <cell r="HD93">
            <v>1</v>
          </cell>
        </row>
        <row r="94">
          <cell r="A94" t="str">
            <v>BA0716</v>
          </cell>
          <cell r="B94" t="str">
            <v>ACBA_0146</v>
          </cell>
          <cell r="C94" t="str">
            <v>Apollo</v>
          </cell>
          <cell r="D94" t="str">
            <v>Chris Thomson</v>
          </cell>
          <cell r="F94" t="str">
            <v>Phyo Wai Maung</v>
          </cell>
          <cell r="G94" t="str">
            <v>Paing Thu Soe</v>
          </cell>
          <cell r="H94" t="str">
            <v>WHITE</v>
          </cell>
          <cell r="I94" t="str">
            <v>South</v>
          </cell>
          <cell r="J94" t="str">
            <v>96.2654</v>
          </cell>
          <cell r="K94" t="str">
            <v>19.4753</v>
          </cell>
          <cell r="L94" t="str">
            <v>SubUrban</v>
          </cell>
          <cell r="M94" t="str">
            <v>Bago East</v>
          </cell>
          <cell r="N94" t="str">
            <v>Yedashe</v>
          </cell>
          <cell r="O94" t="str">
            <v>Yedashe</v>
          </cell>
          <cell r="P94" t="str">
            <v>Bago East</v>
          </cell>
          <cell r="Q94" t="str">
            <v>19</v>
          </cell>
          <cell r="R94" t="str">
            <v>Yedashe</v>
          </cell>
          <cell r="S94" t="str">
            <v>98</v>
          </cell>
          <cell r="T94" t="str">
            <v>GSM+UMTS</v>
          </cell>
          <cell r="W94" t="str">
            <v>Ph2-Priority</v>
          </cell>
          <cell r="X94" t="str">
            <v>35</v>
          </cell>
          <cell r="Y94" t="str">
            <v>35</v>
          </cell>
          <cell r="Z94" t="str">
            <v>GBT</v>
          </cell>
          <cell r="AA94" t="str">
            <v>250</v>
          </cell>
          <cell r="AB94" t="str">
            <v>Access</v>
          </cell>
          <cell r="AC94" t="str">
            <v>Class B</v>
          </cell>
          <cell r="BE94" t="str">
            <v>Route 7 Bago - Pyawbwe</v>
          </cell>
          <cell r="BH94" t="str">
            <v>KTT</v>
          </cell>
          <cell r="BJ94">
            <v>42152</v>
          </cell>
          <cell r="BK94">
            <v>42130</v>
          </cell>
          <cell r="BL94">
            <v>42157</v>
          </cell>
          <cell r="BM94">
            <v>42161</v>
          </cell>
          <cell r="BT94">
            <v>41</v>
          </cell>
          <cell r="BU94">
            <v>42183</v>
          </cell>
          <cell r="BV94">
            <v>42171</v>
          </cell>
          <cell r="BW94" t="str">
            <v>96.26646</v>
          </cell>
          <cell r="BX94" t="str">
            <v>19.47346</v>
          </cell>
          <cell r="BY94" t="str">
            <v>C1</v>
          </cell>
          <cell r="BZ94" t="str">
            <v>No (16), Taung Paine Lay, TaungPaine (4) Quarter,Yey Ni Viallage, Yedashe Township, Bago</v>
          </cell>
          <cell r="CA94" t="str">
            <v>U Htwe Maung;054-75281</v>
          </cell>
          <cell r="CB94" t="str">
            <v>16Jun15: C1 SAR Sub</v>
          </cell>
          <cell r="CC94" t="str">
            <v>Garden Land</v>
          </cell>
          <cell r="CE94">
            <v>1</v>
          </cell>
          <cell r="CF94">
            <v>42184</v>
          </cell>
          <cell r="CG94">
            <v>42172</v>
          </cell>
          <cell r="CH94">
            <v>42186</v>
          </cell>
          <cell r="CJ94">
            <v>42179</v>
          </cell>
          <cell r="CK94" t="str">
            <v>35</v>
          </cell>
          <cell r="CL94" t="str">
            <v>37</v>
          </cell>
          <cell r="CM94" t="str">
            <v>35</v>
          </cell>
          <cell r="CN94">
            <v>9</v>
          </cell>
          <cell r="CO94">
            <v>42189</v>
          </cell>
          <cell r="CP94">
            <v>42181</v>
          </cell>
          <cell r="CQ94" t="str">
            <v>M1: grid power + battery</v>
          </cell>
          <cell r="CR94">
            <v>3</v>
          </cell>
          <cell r="CS94">
            <v>42190</v>
          </cell>
          <cell r="CT94">
            <v>42184</v>
          </cell>
          <cell r="CU94" t="str">
            <v>BA0716</v>
          </cell>
          <cell r="DH94">
            <v>49</v>
          </cell>
          <cell r="DI94">
            <v>42200</v>
          </cell>
          <cell r="DJ94">
            <v>42150</v>
          </cell>
          <cell r="DK94">
            <v>42197</v>
          </cell>
          <cell r="DL94">
            <v>42194</v>
          </cell>
          <cell r="DM94">
            <v>42201</v>
          </cell>
          <cell r="DN94">
            <v>42194</v>
          </cell>
          <cell r="DO94">
            <v>0</v>
          </cell>
          <cell r="DP94">
            <v>42200</v>
          </cell>
          <cell r="DQ94">
            <v>42150</v>
          </cell>
          <cell r="DT94">
            <v>0</v>
          </cell>
          <cell r="DU94">
            <v>42215</v>
          </cell>
          <cell r="DW94">
            <v>0</v>
          </cell>
          <cell r="DY94">
            <v>42201</v>
          </cell>
          <cell r="DZ94">
            <v>42188</v>
          </cell>
          <cell r="EA94" t="str">
            <v>Leadcom</v>
          </cell>
          <cell r="ED94" t="str">
            <v xml:space="preserve">22Jun15 :YeHtet.Zaw: 17-June-2015;Tower footing is done.Tower equip is on site.
</v>
          </cell>
          <cell r="EI94" t="str">
            <v>M5: grid power + DG + battery      </v>
          </cell>
          <cell r="EJ94">
            <v>10</v>
          </cell>
          <cell r="EK94">
            <v>42216</v>
          </cell>
          <cell r="EL94">
            <v>42198</v>
          </cell>
          <cell r="EM94">
            <v>42217</v>
          </cell>
          <cell r="EN94">
            <v>42200</v>
          </cell>
          <cell r="EQ94">
            <v>42224</v>
          </cell>
          <cell r="ER94">
            <v>42206</v>
          </cell>
          <cell r="ES94">
            <v>42203</v>
          </cell>
          <cell r="ET94">
            <v>42209</v>
          </cell>
          <cell r="EU94">
            <v>42209</v>
          </cell>
          <cell r="EW94">
            <v>45</v>
          </cell>
          <cell r="EX94">
            <v>42212</v>
          </cell>
          <cell r="EY94">
            <v>42201</v>
          </cell>
          <cell r="EZ94">
            <v>42234</v>
          </cell>
          <cell r="FA94">
            <v>42208</v>
          </cell>
          <cell r="FB94">
            <v>42236</v>
          </cell>
          <cell r="FC94">
            <v>42210</v>
          </cell>
          <cell r="FE94">
            <v>42160</v>
          </cell>
          <cell r="FU94">
            <v>42238</v>
          </cell>
          <cell r="FV94">
            <v>42202</v>
          </cell>
          <cell r="FW94">
            <v>42238</v>
          </cell>
          <cell r="FX94">
            <v>42211</v>
          </cell>
          <cell r="FY94" t="str">
            <v>UT</v>
          </cell>
          <cell r="FZ94">
            <v>42201</v>
          </cell>
          <cell r="GA94">
            <v>42205</v>
          </cell>
          <cell r="GB94">
            <v>42205</v>
          </cell>
          <cell r="GC94">
            <v>42208</v>
          </cell>
          <cell r="GD94">
            <v>42209</v>
          </cell>
          <cell r="GE94">
            <v>42205</v>
          </cell>
          <cell r="GF94">
            <v>42213</v>
          </cell>
          <cell r="GG94">
            <v>42213</v>
          </cell>
          <cell r="GH94">
            <v>42213</v>
          </cell>
          <cell r="GI94">
            <v>42216</v>
          </cell>
          <cell r="GJ94" t="str">
            <v>31-2015</v>
          </cell>
          <cell r="GK94">
            <v>42213</v>
          </cell>
          <cell r="GN94" t="str">
            <v xml:space="preserve">ERICSSON </v>
          </cell>
          <cell r="GS94" t="str">
            <v>4/4/4</v>
          </cell>
          <cell r="GT94" t="str">
            <v>Dual Carrier</v>
          </cell>
          <cell r="GU94" t="str">
            <v xml:space="preserve">		</v>
          </cell>
          <cell r="HD94">
            <v>1</v>
          </cell>
        </row>
        <row r="95">
          <cell r="A95" t="str">
            <v>BA0720</v>
          </cell>
          <cell r="B95" t="str">
            <v>ACBA_0147</v>
          </cell>
          <cell r="C95" t="str">
            <v>Apollo</v>
          </cell>
          <cell r="D95" t="str">
            <v>Chris Thomson</v>
          </cell>
          <cell r="F95" t="str">
            <v>Phyo Wai Maung</v>
          </cell>
          <cell r="G95" t="str">
            <v>Cho Yee Thaung</v>
          </cell>
          <cell r="H95" t="str">
            <v>WHITE</v>
          </cell>
          <cell r="I95" t="str">
            <v>South</v>
          </cell>
          <cell r="J95" t="str">
            <v>95.5162</v>
          </cell>
          <cell r="K95" t="str">
            <v>18.5213</v>
          </cell>
          <cell r="L95" t="str">
            <v>SubUrban</v>
          </cell>
          <cell r="M95" t="str">
            <v>Bago West</v>
          </cell>
          <cell r="N95" t="str">
            <v>Paungde</v>
          </cell>
          <cell r="O95" t="str">
            <v>Paungde</v>
          </cell>
          <cell r="P95" t="str">
            <v>Bago West</v>
          </cell>
          <cell r="Q95" t="str">
            <v>20</v>
          </cell>
          <cell r="R95" t="str">
            <v>Paungde</v>
          </cell>
          <cell r="S95" t="str">
            <v>106</v>
          </cell>
          <cell r="T95" t="str">
            <v>GSM+UMTS</v>
          </cell>
          <cell r="W95" t="str">
            <v>Ph2-Priority</v>
          </cell>
          <cell r="X95" t="str">
            <v>35</v>
          </cell>
          <cell r="Y95" t="str">
            <v>37</v>
          </cell>
          <cell r="Z95" t="str">
            <v>GBT</v>
          </cell>
          <cell r="AA95" t="str">
            <v>250</v>
          </cell>
          <cell r="AB95" t="str">
            <v>Access</v>
          </cell>
          <cell r="AC95" t="str">
            <v>Class B</v>
          </cell>
          <cell r="BE95" t="str">
            <v>Route 1 Yangon - Mandalay</v>
          </cell>
          <cell r="BH95" t="str">
            <v>IENG</v>
          </cell>
          <cell r="BJ95">
            <v>42114</v>
          </cell>
          <cell r="BK95">
            <v>42121</v>
          </cell>
          <cell r="BL95">
            <v>42119</v>
          </cell>
          <cell r="BM95">
            <v>42119</v>
          </cell>
          <cell r="BT95">
            <v>8</v>
          </cell>
          <cell r="BU95">
            <v>42134</v>
          </cell>
          <cell r="BV95">
            <v>42129</v>
          </cell>
          <cell r="BW95" t="str">
            <v>95.51662</v>
          </cell>
          <cell r="BX95" t="str">
            <v>18.5217</v>
          </cell>
          <cell r="BY95" t="str">
            <v>C1</v>
          </cell>
          <cell r="BZ95" t="str">
            <v>115, Ohn Thone Pin Village.</v>
          </cell>
          <cell r="CA95" t="str">
            <v>U Than Win;No.115, OhnThonePin village, PaYarNgarSu village group, PaungDaltwonship,0931670521, 09791276025.</v>
          </cell>
          <cell r="CB95" t="str">
            <v>5May15: C1 SAR Sub.</v>
          </cell>
          <cell r="CC95" t="str">
            <v>Garden Land</v>
          </cell>
          <cell r="CE95">
            <v>1</v>
          </cell>
          <cell r="CF95">
            <v>42135</v>
          </cell>
          <cell r="CG95">
            <v>42130</v>
          </cell>
          <cell r="CH95">
            <v>42160</v>
          </cell>
          <cell r="CJ95">
            <v>42150</v>
          </cell>
          <cell r="CK95" t="str">
            <v>35</v>
          </cell>
          <cell r="CL95" t="str">
            <v>37</v>
          </cell>
          <cell r="CM95" t="str">
            <v>35</v>
          </cell>
          <cell r="CN95">
            <v>22</v>
          </cell>
          <cell r="CO95">
            <v>42163</v>
          </cell>
          <cell r="CP95">
            <v>42152</v>
          </cell>
          <cell r="CQ95" t="str">
            <v>M1: grid power + battery</v>
          </cell>
          <cell r="CR95">
            <v>1</v>
          </cell>
          <cell r="CS95">
            <v>42164</v>
          </cell>
          <cell r="CT95">
            <v>42153</v>
          </cell>
          <cell r="CU95" t="str">
            <v>BA0720</v>
          </cell>
          <cell r="DH95">
            <v>80</v>
          </cell>
          <cell r="DI95">
            <v>42174</v>
          </cell>
          <cell r="DJ95">
            <v>42165</v>
          </cell>
          <cell r="DK95">
            <v>42171</v>
          </cell>
          <cell r="DL95">
            <v>42174</v>
          </cell>
          <cell r="DM95">
            <v>42175</v>
          </cell>
          <cell r="DN95">
            <v>42186</v>
          </cell>
          <cell r="DO95">
            <v>0</v>
          </cell>
          <cell r="DP95">
            <v>42174</v>
          </cell>
          <cell r="DQ95">
            <v>42165</v>
          </cell>
          <cell r="DT95">
            <v>0</v>
          </cell>
          <cell r="DU95">
            <v>42189</v>
          </cell>
          <cell r="DW95">
            <v>0</v>
          </cell>
          <cell r="DY95">
            <v>42175</v>
          </cell>
          <cell r="DZ95">
            <v>42187</v>
          </cell>
          <cell r="EA95" t="str">
            <v>IENG</v>
          </cell>
          <cell r="ED95" t="str">
            <v xml:space="preserve">19Aug15 :ChoYee.Thaung: 16/8/15 : On Air_x000D_
14/7/15 : Excavation on going (60%), steel cutting for rebar work
</v>
          </cell>
          <cell r="EE95" t="str">
            <v xml:space="preserve">10 Aug 15:Rain affected_Progress affected; 1-Aug-15: on going tower erection								</v>
          </cell>
          <cell r="EJ95">
            <v>26</v>
          </cell>
          <cell r="EK95">
            <v>42192</v>
          </cell>
          <cell r="EL95">
            <v>42213</v>
          </cell>
          <cell r="EM95">
            <v>42193</v>
          </cell>
          <cell r="EN95">
            <v>42221</v>
          </cell>
          <cell r="EQ95">
            <v>42202</v>
          </cell>
          <cell r="ER95">
            <v>42223</v>
          </cell>
          <cell r="ES95">
            <v>42226</v>
          </cell>
          <cell r="ET95">
            <v>42226</v>
          </cell>
          <cell r="EU95">
            <v>42226</v>
          </cell>
          <cell r="EW95">
            <v>46</v>
          </cell>
          <cell r="EX95">
            <v>42216</v>
          </cell>
          <cell r="EY95">
            <v>42248</v>
          </cell>
          <cell r="EZ95">
            <v>42212</v>
          </cell>
          <cell r="FA95">
            <v>42227</v>
          </cell>
          <cell r="FB95">
            <v>42214</v>
          </cell>
          <cell r="FC95">
            <v>42229</v>
          </cell>
          <cell r="FE95">
            <v>42193</v>
          </cell>
          <cell r="FU95">
            <v>42216</v>
          </cell>
          <cell r="FW95">
            <v>42216</v>
          </cell>
          <cell r="FX95">
            <v>42229</v>
          </cell>
          <cell r="FY95" t="str">
            <v>TN</v>
          </cell>
          <cell r="FZ95">
            <v>42222</v>
          </cell>
          <cell r="GA95">
            <v>42227</v>
          </cell>
          <cell r="GB95">
            <v>42230</v>
          </cell>
          <cell r="GC95">
            <v>42230</v>
          </cell>
          <cell r="GD95">
            <v>42230</v>
          </cell>
          <cell r="GE95">
            <v>42232</v>
          </cell>
          <cell r="GF95">
            <v>42232</v>
          </cell>
          <cell r="GG95">
            <v>42232</v>
          </cell>
          <cell r="GH95">
            <v>42232</v>
          </cell>
          <cell r="GI95">
            <v>42246</v>
          </cell>
          <cell r="GJ95" t="str">
            <v>36-2015</v>
          </cell>
          <cell r="GK95">
            <v>42232</v>
          </cell>
          <cell r="GL95" t="str">
            <v>AZM to TN</v>
          </cell>
          <cell r="GN95" t="str">
            <v>ERICSSON</v>
          </cell>
          <cell r="GO95">
            <v>42136</v>
          </cell>
          <cell r="GP95">
            <v>42199</v>
          </cell>
          <cell r="GQ95">
            <v>0</v>
          </cell>
          <cell r="GS95" t="str">
            <v>4/4/4</v>
          </cell>
          <cell r="GU95" t="str">
            <v xml:space="preserve">		</v>
          </cell>
          <cell r="HD95">
            <v>1</v>
          </cell>
        </row>
        <row r="96">
          <cell r="A96" t="str">
            <v>BA0734</v>
          </cell>
          <cell r="B96" t="str">
            <v>ACBA_0148</v>
          </cell>
          <cell r="C96" t="str">
            <v>Apollo</v>
          </cell>
          <cell r="D96" t="str">
            <v>Robert</v>
          </cell>
          <cell r="F96" t="str">
            <v>Phyo Wai Maung</v>
          </cell>
          <cell r="G96" t="str">
            <v>Saw Pyie Zin Nyein</v>
          </cell>
          <cell r="H96" t="str">
            <v>RED</v>
          </cell>
          <cell r="I96" t="str">
            <v>South</v>
          </cell>
          <cell r="J96" t="str">
            <v>96.4884</v>
          </cell>
          <cell r="K96" t="str">
            <v>17.2923</v>
          </cell>
          <cell r="L96" t="str">
            <v>Rural</v>
          </cell>
          <cell r="M96" t="str">
            <v>Bago East</v>
          </cell>
          <cell r="N96" t="str">
            <v>Bago</v>
          </cell>
          <cell r="O96" t="str">
            <v>Bago</v>
          </cell>
          <cell r="P96" t="str">
            <v>Bago East</v>
          </cell>
          <cell r="Q96" t="str">
            <v>19</v>
          </cell>
          <cell r="R96" t="str">
            <v>Bago</v>
          </cell>
          <cell r="S96" t="str">
            <v>89</v>
          </cell>
          <cell r="T96" t="str">
            <v>GSM+UMTS</v>
          </cell>
          <cell r="W96" t="str">
            <v>Ph2-Priority</v>
          </cell>
          <cell r="X96" t="str">
            <v>45</v>
          </cell>
          <cell r="Y96" t="str">
            <v>47</v>
          </cell>
          <cell r="Z96" t="str">
            <v>GBT</v>
          </cell>
          <cell r="AA96" t="str">
            <v>250</v>
          </cell>
          <cell r="AB96" t="str">
            <v>Access</v>
          </cell>
          <cell r="AC96" t="str">
            <v>Class C</v>
          </cell>
          <cell r="BE96" t="str">
            <v>Route 2 Yangon -Mawlamyine</v>
          </cell>
          <cell r="BH96" t="str">
            <v>Leadcom</v>
          </cell>
          <cell r="BJ96">
            <v>42155</v>
          </cell>
          <cell r="BK96">
            <v>42183</v>
          </cell>
          <cell r="BL96">
            <v>42160</v>
          </cell>
          <cell r="BM96">
            <v>42145</v>
          </cell>
          <cell r="BT96">
            <v>50</v>
          </cell>
          <cell r="BU96">
            <v>42251</v>
          </cell>
          <cell r="BV96">
            <v>42228</v>
          </cell>
          <cell r="BW96" t="str">
            <v>96.49123</v>
          </cell>
          <cell r="BX96" t="str">
            <v>17.28254</v>
          </cell>
          <cell r="BY96" t="str">
            <v>Reject</v>
          </cell>
          <cell r="CB96" t="str">
            <v>14 Aug 15 : C4 SAR rejected( RND rejected because this site is 589m far from the nominal point and out off search ring and then population is weakness. Please find the new candidate within the search ring.);12 Aug 15 :C4 SAR sub(C2 NOC ISSUE);17 July 15 : C2 SAR app;8 July 15 : C2 SAR sub</v>
          </cell>
          <cell r="CC96" t="str">
            <v>Village</v>
          </cell>
          <cell r="CE96">
            <v>0</v>
          </cell>
          <cell r="CF96">
            <v>42252</v>
          </cell>
          <cell r="CG96">
            <v>42202</v>
          </cell>
          <cell r="CH96">
            <v>42254</v>
          </cell>
          <cell r="CN96">
            <v>0</v>
          </cell>
          <cell r="CO96">
            <v>42257</v>
          </cell>
          <cell r="CQ96" t="str">
            <v>M1: grid power + battery</v>
          </cell>
          <cell r="CR96">
            <v>0</v>
          </cell>
          <cell r="CS96">
            <v>42258</v>
          </cell>
          <cell r="CU96" t="str">
            <v>BA0734</v>
          </cell>
          <cell r="DH96">
            <v>0</v>
          </cell>
          <cell r="DI96">
            <v>42268</v>
          </cell>
          <cell r="DK96">
            <v>42265</v>
          </cell>
          <cell r="DM96">
            <v>42269</v>
          </cell>
          <cell r="DO96">
            <v>0</v>
          </cell>
          <cell r="DP96">
            <v>42268</v>
          </cell>
          <cell r="DT96">
            <v>0</v>
          </cell>
          <cell r="DU96">
            <v>42283</v>
          </cell>
          <cell r="DW96">
            <v>0</v>
          </cell>
          <cell r="DY96">
            <v>42269</v>
          </cell>
          <cell r="EA96" t="str">
            <v>Leadcom</v>
          </cell>
          <cell r="EJ96">
            <v>0</v>
          </cell>
          <cell r="EK96">
            <v>42286</v>
          </cell>
          <cell r="EM96">
            <v>42287</v>
          </cell>
          <cell r="EQ96">
            <v>42296</v>
          </cell>
          <cell r="EW96">
            <v>0</v>
          </cell>
          <cell r="EX96">
            <v>42310</v>
          </cell>
          <cell r="EZ96">
            <v>42306</v>
          </cell>
          <cell r="FB96">
            <v>42308</v>
          </cell>
          <cell r="FU96">
            <v>42310</v>
          </cell>
          <cell r="FW96">
            <v>42310</v>
          </cell>
          <cell r="GJ96">
            <v>0</v>
          </cell>
          <cell r="GN96" t="str">
            <v>ERICSSON</v>
          </cell>
          <cell r="GS96" t="str">
            <v>4/4/4</v>
          </cell>
          <cell r="GU96" t="str">
            <v xml:space="preserve">		</v>
          </cell>
          <cell r="HD96">
            <v>1</v>
          </cell>
        </row>
        <row r="97">
          <cell r="A97" t="str">
            <v>BA0740</v>
          </cell>
          <cell r="B97" t="str">
            <v>ACBA_0149</v>
          </cell>
          <cell r="C97" t="str">
            <v>Apollo</v>
          </cell>
          <cell r="D97" t="str">
            <v>Robert</v>
          </cell>
          <cell r="F97" t="str">
            <v>Phyo Wai Maung</v>
          </cell>
          <cell r="G97" t="str">
            <v>Paing Thu Soe</v>
          </cell>
          <cell r="H97" t="str">
            <v>WHITE</v>
          </cell>
          <cell r="I97" t="str">
            <v>South</v>
          </cell>
          <cell r="J97" t="str">
            <v>96.5669</v>
          </cell>
          <cell r="K97" t="str">
            <v>18.22</v>
          </cell>
          <cell r="L97" t="str">
            <v>SubUrban</v>
          </cell>
          <cell r="M97" t="str">
            <v>Bago East</v>
          </cell>
          <cell r="N97" t="str">
            <v>Kyauktaga</v>
          </cell>
          <cell r="O97" t="str">
            <v>Kyauktaga</v>
          </cell>
          <cell r="P97" t="str">
            <v>Bago East</v>
          </cell>
          <cell r="Q97" t="str">
            <v>19</v>
          </cell>
          <cell r="R97" t="str">
            <v>Kyauktaga</v>
          </cell>
          <cell r="S97" t="str">
            <v>94</v>
          </cell>
          <cell r="T97" t="str">
            <v>GSM+UMTS</v>
          </cell>
          <cell r="W97" t="str">
            <v>Ph2-Priority</v>
          </cell>
          <cell r="X97" t="str">
            <v>35</v>
          </cell>
          <cell r="Y97" t="str">
            <v>35</v>
          </cell>
          <cell r="Z97" t="str">
            <v>GBT</v>
          </cell>
          <cell r="AA97" t="str">
            <v>250</v>
          </cell>
          <cell r="AB97" t="str">
            <v>Access</v>
          </cell>
          <cell r="AC97" t="str">
            <v>Class B</v>
          </cell>
          <cell r="BE97" t="str">
            <v>Route 7 Bago - Pyawbwe</v>
          </cell>
          <cell r="BH97" t="str">
            <v>KTT</v>
          </cell>
          <cell r="BJ97">
            <v>42152</v>
          </cell>
          <cell r="BK97">
            <v>42130</v>
          </cell>
          <cell r="BL97">
            <v>42157</v>
          </cell>
          <cell r="BM97">
            <v>42157</v>
          </cell>
          <cell r="BT97">
            <v>37</v>
          </cell>
          <cell r="BU97">
            <v>42183</v>
          </cell>
          <cell r="BV97">
            <v>42167</v>
          </cell>
          <cell r="BW97" t="str">
            <v>96.56854</v>
          </cell>
          <cell r="BX97" t="str">
            <v>18.21902</v>
          </cell>
          <cell r="BY97" t="str">
            <v>C1</v>
          </cell>
          <cell r="BZ97" t="str">
            <v>Kanbawza Quarter,Zawti Village, Kyauktaga Township, Bago Division.</v>
          </cell>
          <cell r="CA97" t="str">
            <v>U Kyaw thin Oo;09-428130267</v>
          </cell>
          <cell r="CB97" t="str">
            <v>6 Aug 15 : C1 TSSR updated checklist given from E// because of updating routing links but the actual antenna height didn't change;12Jun15: C1 SAR Sub on Friday 8PM</v>
          </cell>
          <cell r="CE97">
            <v>3</v>
          </cell>
          <cell r="CF97">
            <v>42184</v>
          </cell>
          <cell r="CG97">
            <v>42170</v>
          </cell>
          <cell r="CH97">
            <v>42186</v>
          </cell>
          <cell r="CJ97">
            <v>42175</v>
          </cell>
          <cell r="CK97" t="str">
            <v>35</v>
          </cell>
          <cell r="CL97" t="str">
            <v>37</v>
          </cell>
          <cell r="CM97" t="str">
            <v>35</v>
          </cell>
          <cell r="CN97">
            <v>7</v>
          </cell>
          <cell r="CO97">
            <v>42189</v>
          </cell>
          <cell r="CP97">
            <v>42177</v>
          </cell>
          <cell r="CQ97" t="str">
            <v>M1: grid power + battery</v>
          </cell>
          <cell r="CR97">
            <v>2</v>
          </cell>
          <cell r="CS97">
            <v>42190</v>
          </cell>
          <cell r="CT97">
            <v>42179</v>
          </cell>
          <cell r="CU97" t="str">
            <v>BA0740</v>
          </cell>
          <cell r="DH97">
            <v>5</v>
          </cell>
          <cell r="DI97">
            <v>42200</v>
          </cell>
          <cell r="DJ97">
            <v>42184</v>
          </cell>
          <cell r="DK97">
            <v>42197</v>
          </cell>
          <cell r="DL97">
            <v>42191</v>
          </cell>
          <cell r="DM97">
            <v>42201</v>
          </cell>
          <cell r="DN97">
            <v>42191</v>
          </cell>
          <cell r="DO97">
            <v>2</v>
          </cell>
          <cell r="DP97">
            <v>42200</v>
          </cell>
          <cell r="DQ97">
            <v>42186</v>
          </cell>
          <cell r="DT97">
            <v>47</v>
          </cell>
          <cell r="DU97">
            <v>42215</v>
          </cell>
          <cell r="DW97">
            <v>0</v>
          </cell>
          <cell r="DY97">
            <v>42201</v>
          </cell>
          <cell r="DZ97">
            <v>42191</v>
          </cell>
          <cell r="EA97" t="str">
            <v>Leadcom</v>
          </cell>
          <cell r="EB97">
            <v>42218</v>
          </cell>
          <cell r="EE97" t="str">
            <v xml:space="preserve">10 Aug 15:Flood affected_Hold-No access; 2-Aug-15: Materials pull out from WH today,
Due to no easy access materials has to carried by head load, arrangement in progress
								</v>
          </cell>
          <cell r="EJ97">
            <v>11</v>
          </cell>
          <cell r="EK97">
            <v>42216</v>
          </cell>
          <cell r="EL97">
            <v>42202</v>
          </cell>
          <cell r="EM97">
            <v>42217</v>
          </cell>
          <cell r="EN97">
            <v>42205</v>
          </cell>
          <cell r="EQ97">
            <v>42224</v>
          </cell>
          <cell r="ER97">
            <v>42216</v>
          </cell>
          <cell r="ES97">
            <v>42213</v>
          </cell>
          <cell r="ET97">
            <v>42216</v>
          </cell>
          <cell r="EU97">
            <v>42216</v>
          </cell>
          <cell r="EW97">
            <v>42</v>
          </cell>
          <cell r="EX97">
            <v>42212</v>
          </cell>
          <cell r="EZ97">
            <v>42234</v>
          </cell>
          <cell r="FA97">
            <v>42224</v>
          </cell>
          <cell r="FB97">
            <v>42236</v>
          </cell>
          <cell r="FC97">
            <v>42226</v>
          </cell>
          <cell r="FU97">
            <v>42238</v>
          </cell>
          <cell r="FW97">
            <v>42238</v>
          </cell>
          <cell r="FX97">
            <v>42229</v>
          </cell>
          <cell r="FY97" t="str">
            <v>UT</v>
          </cell>
          <cell r="FZ97">
            <v>42207</v>
          </cell>
          <cell r="GA97">
            <v>42208</v>
          </cell>
          <cell r="GB97">
            <v>42212</v>
          </cell>
          <cell r="GC97">
            <v>42220</v>
          </cell>
          <cell r="GD97">
            <v>42229</v>
          </cell>
          <cell r="GE97">
            <v>42212</v>
          </cell>
          <cell r="GF97">
            <v>42230</v>
          </cell>
          <cell r="GG97">
            <v>42230</v>
          </cell>
          <cell r="GH97">
            <v>42230</v>
          </cell>
          <cell r="GI97">
            <v>42246</v>
          </cell>
          <cell r="GJ97" t="str">
            <v>36-2015</v>
          </cell>
          <cell r="GK97">
            <v>42231</v>
          </cell>
          <cell r="GN97" t="str">
            <v>ERICSSON</v>
          </cell>
          <cell r="GS97" t="str">
            <v>4/4/4</v>
          </cell>
          <cell r="GU97" t="str">
            <v xml:space="preserve">		</v>
          </cell>
          <cell r="HD97">
            <v>1</v>
          </cell>
        </row>
        <row r="98">
          <cell r="A98" t="str">
            <v>BA0747</v>
          </cell>
          <cell r="B98" t="str">
            <v>ACBA_0150</v>
          </cell>
          <cell r="C98" t="str">
            <v>Apollo</v>
          </cell>
          <cell r="D98" t="str">
            <v>Robert</v>
          </cell>
          <cell r="F98" t="str">
            <v>Phyo Wai Maung</v>
          </cell>
          <cell r="G98" t="str">
            <v>Saw Pyie Zin Nyein</v>
          </cell>
          <cell r="H98" t="str">
            <v>AMBER</v>
          </cell>
          <cell r="I98" t="str">
            <v>South</v>
          </cell>
          <cell r="J98" t="str">
            <v>96.7182</v>
          </cell>
          <cell r="K98" t="str">
            <v>17.8839</v>
          </cell>
          <cell r="L98" t="str">
            <v>SubUrban</v>
          </cell>
          <cell r="M98" t="str">
            <v>Bago East</v>
          </cell>
          <cell r="N98" t="str">
            <v>Nyaunglebin</v>
          </cell>
          <cell r="O98" t="str">
            <v>Nyaunglebin</v>
          </cell>
          <cell r="P98" t="str">
            <v>Bago East</v>
          </cell>
          <cell r="Q98" t="str">
            <v>19</v>
          </cell>
          <cell r="R98" t="str">
            <v>Nyaunglebin</v>
          </cell>
          <cell r="S98" t="str">
            <v>93</v>
          </cell>
          <cell r="T98" t="str">
            <v>U</v>
          </cell>
          <cell r="W98" t="str">
            <v>Ph2-Priority</v>
          </cell>
          <cell r="X98" t="str">
            <v>35</v>
          </cell>
          <cell r="Y98" t="str">
            <v>35</v>
          </cell>
          <cell r="Z98" t="str">
            <v>GBT</v>
          </cell>
          <cell r="AA98" t="str">
            <v>250</v>
          </cell>
          <cell r="AB98" t="str">
            <v>Access</v>
          </cell>
          <cell r="AC98" t="str">
            <v>Class C</v>
          </cell>
          <cell r="BE98" t="str">
            <v>Route 7 Bago - Pyawbwe</v>
          </cell>
          <cell r="BH98" t="str">
            <v>KTT</v>
          </cell>
          <cell r="BJ98">
            <v>42152</v>
          </cell>
          <cell r="BK98">
            <v>42130</v>
          </cell>
          <cell r="BL98">
            <v>42157</v>
          </cell>
          <cell r="BM98">
            <v>42155</v>
          </cell>
          <cell r="BT98">
            <v>35</v>
          </cell>
          <cell r="BU98">
            <v>42183</v>
          </cell>
          <cell r="BV98">
            <v>42165</v>
          </cell>
          <cell r="BW98" t="str">
            <v>96.71958</v>
          </cell>
          <cell r="BX98" t="str">
            <v>17.88364</v>
          </cell>
          <cell r="BY98" t="str">
            <v>C1</v>
          </cell>
          <cell r="BZ98" t="str">
            <v>No (3/9), Tha Khut Kone Quarter, Pyuntasa Township,Nyaung Lay Pin, Bago.</v>
          </cell>
          <cell r="CA98" t="str">
            <v>U Khin Zaw;09-250301975</v>
          </cell>
          <cell r="CB98" t="str">
            <v>10Jun15: C1 SAR Sub</v>
          </cell>
          <cell r="CC98" t="str">
            <v>TOWN LAND</v>
          </cell>
          <cell r="CE98">
            <v>13</v>
          </cell>
          <cell r="CF98">
            <v>42184</v>
          </cell>
          <cell r="CG98">
            <v>42178</v>
          </cell>
          <cell r="CH98">
            <v>42186</v>
          </cell>
          <cell r="CJ98">
            <v>42196</v>
          </cell>
          <cell r="CK98" t="str">
            <v>35</v>
          </cell>
          <cell r="CL98" t="str">
            <v>37</v>
          </cell>
          <cell r="CM98" t="str">
            <v>35</v>
          </cell>
          <cell r="CN98">
            <v>20</v>
          </cell>
          <cell r="CO98">
            <v>42189</v>
          </cell>
          <cell r="CP98">
            <v>42198</v>
          </cell>
          <cell r="CQ98" t="str">
            <v>M1: grid power + battery</v>
          </cell>
          <cell r="CR98">
            <v>2</v>
          </cell>
          <cell r="CS98">
            <v>42190</v>
          </cell>
          <cell r="CT98">
            <v>42200</v>
          </cell>
          <cell r="CU98" t="str">
            <v>BA0747</v>
          </cell>
          <cell r="DH98">
            <v>5</v>
          </cell>
          <cell r="DI98">
            <v>42200</v>
          </cell>
          <cell r="DJ98">
            <v>42205</v>
          </cell>
          <cell r="DK98">
            <v>42197</v>
          </cell>
          <cell r="DL98">
            <v>42209</v>
          </cell>
          <cell r="DM98">
            <v>42201</v>
          </cell>
          <cell r="DO98">
            <v>0</v>
          </cell>
          <cell r="DP98">
            <v>42200</v>
          </cell>
          <cell r="DQ98">
            <v>42205</v>
          </cell>
          <cell r="DT98">
            <v>28</v>
          </cell>
          <cell r="DU98">
            <v>42215</v>
          </cell>
          <cell r="DW98">
            <v>0</v>
          </cell>
          <cell r="DY98">
            <v>42201</v>
          </cell>
          <cell r="DZ98">
            <v>42207</v>
          </cell>
          <cell r="EA98" t="str">
            <v>Leadcom</v>
          </cell>
          <cell r="EB98">
            <v>42216</v>
          </cell>
          <cell r="EE98" t="str">
            <v xml:space="preserve">10 Aug 15:Flood affected_Hold-No access; 31-Jul-15:  Excaveted Pit &amp; Area is fully flooded.								</v>
          </cell>
          <cell r="EJ98">
            <v>26</v>
          </cell>
          <cell r="EK98">
            <v>42216</v>
          </cell>
          <cell r="EL98">
            <v>42240</v>
          </cell>
          <cell r="EM98">
            <v>42217</v>
          </cell>
          <cell r="EN98">
            <v>42243</v>
          </cell>
          <cell r="EQ98">
            <v>42224</v>
          </cell>
          <cell r="ER98">
            <v>42247</v>
          </cell>
          <cell r="ES98">
            <v>42249</v>
          </cell>
          <cell r="EW98">
            <v>26</v>
          </cell>
          <cell r="EX98">
            <v>42212</v>
          </cell>
          <cell r="EZ98">
            <v>42234</v>
          </cell>
          <cell r="FB98">
            <v>42236</v>
          </cell>
          <cell r="FU98">
            <v>42238</v>
          </cell>
          <cell r="FW98">
            <v>42238</v>
          </cell>
          <cell r="FY98" t="str">
            <v>UT</v>
          </cell>
          <cell r="FZ98">
            <v>42244</v>
          </cell>
          <cell r="GA98">
            <v>42247</v>
          </cell>
          <cell r="GI98">
            <v>42307</v>
          </cell>
          <cell r="GJ98" t="str">
            <v>44-2015</v>
          </cell>
          <cell r="GN98" t="str">
            <v xml:space="preserve">ERICSSON </v>
          </cell>
          <cell r="GO98">
            <v>42151</v>
          </cell>
          <cell r="GS98" t="str">
            <v>4/4/4</v>
          </cell>
          <cell r="GU98" t="str">
            <v xml:space="preserve">		</v>
          </cell>
          <cell r="HD98">
            <v>1</v>
          </cell>
        </row>
        <row r="99">
          <cell r="A99" t="str">
            <v>BA0748</v>
          </cell>
          <cell r="B99" t="str">
            <v>ACBA_0151</v>
          </cell>
          <cell r="C99" t="str">
            <v>Apollo</v>
          </cell>
          <cell r="D99" t="str">
            <v>Chris Thomson</v>
          </cell>
          <cell r="F99" t="str">
            <v>Phyo Wai Maung</v>
          </cell>
          <cell r="G99" t="str">
            <v>Paing Thu Soe</v>
          </cell>
          <cell r="H99" t="str">
            <v>WHITE</v>
          </cell>
          <cell r="I99" t="str">
            <v>South</v>
          </cell>
          <cell r="J99" t="str">
            <v>96.5024</v>
          </cell>
          <cell r="K99" t="str">
            <v>18.8401</v>
          </cell>
          <cell r="L99" t="str">
            <v>SubUrban</v>
          </cell>
          <cell r="M99" t="str">
            <v>Bago East</v>
          </cell>
          <cell r="N99" t="str">
            <v>Htantabin</v>
          </cell>
          <cell r="O99" t="str">
            <v>Htantabin</v>
          </cell>
          <cell r="P99" t="str">
            <v>Bago East</v>
          </cell>
          <cell r="Q99" t="str">
            <v>19</v>
          </cell>
          <cell r="R99" t="str">
            <v>Htantabin</v>
          </cell>
          <cell r="S99" t="str">
            <v>102</v>
          </cell>
          <cell r="T99" t="str">
            <v>GSM+UMTS</v>
          </cell>
          <cell r="W99" t="str">
            <v>Ph2-Priority</v>
          </cell>
          <cell r="X99" t="str">
            <v>35</v>
          </cell>
          <cell r="Y99" t="str">
            <v>35</v>
          </cell>
          <cell r="Z99" t="str">
            <v>GBT</v>
          </cell>
          <cell r="AA99" t="str">
            <v>250</v>
          </cell>
          <cell r="AB99" t="str">
            <v>Access</v>
          </cell>
          <cell r="AC99" t="str">
            <v>Class B</v>
          </cell>
          <cell r="BE99" t="str">
            <v>Route 7 Bago - Pyawbwe</v>
          </cell>
          <cell r="BH99" t="str">
            <v>KTT</v>
          </cell>
          <cell r="BJ99">
            <v>42152</v>
          </cell>
          <cell r="BK99">
            <v>42130</v>
          </cell>
          <cell r="BL99">
            <v>42157</v>
          </cell>
          <cell r="BM99">
            <v>42148</v>
          </cell>
          <cell r="BT99">
            <v>28</v>
          </cell>
          <cell r="BU99">
            <v>42157</v>
          </cell>
          <cell r="BV99">
            <v>42158</v>
          </cell>
          <cell r="BW99" t="str">
            <v>96.50288</v>
          </cell>
          <cell r="BX99" t="str">
            <v>18.83964</v>
          </cell>
          <cell r="BY99" t="str">
            <v>C2</v>
          </cell>
          <cell r="BZ99" t="str">
            <v>Htantabin Tarpyay Street, Sate Gyi Quarter,Htantabin Township, Taungoo Division, Bago Region.</v>
          </cell>
          <cell r="CA99" t="str">
            <v>MA KHIN LA PYAE WIN;Htantabin Tarpyay Street, Sate Gyi Quarter, Htantabin Township, Taungoo Division, Bago Region;09-252008184</v>
          </cell>
          <cell r="CB99" t="str">
            <v>3June15: C2 SAR Sub</v>
          </cell>
          <cell r="CC99" t="str">
            <v>Residential</v>
          </cell>
          <cell r="CE99">
            <v>0</v>
          </cell>
          <cell r="CF99">
            <v>42158</v>
          </cell>
          <cell r="CG99">
            <v>42158</v>
          </cell>
          <cell r="CH99">
            <v>42165</v>
          </cell>
          <cell r="CJ99">
            <v>42170</v>
          </cell>
          <cell r="CK99" t="str">
            <v>35</v>
          </cell>
          <cell r="CL99" t="str">
            <v>37</v>
          </cell>
          <cell r="CM99" t="str">
            <v>35</v>
          </cell>
          <cell r="CN99">
            <v>14</v>
          </cell>
          <cell r="CO99">
            <v>42168</v>
          </cell>
          <cell r="CP99">
            <v>42172</v>
          </cell>
          <cell r="CQ99" t="str">
            <v>M1: grid power + battery</v>
          </cell>
          <cell r="CR99">
            <v>1</v>
          </cell>
          <cell r="CS99">
            <v>42169</v>
          </cell>
          <cell r="CT99">
            <v>42173</v>
          </cell>
          <cell r="CU99" t="str">
            <v>BA0748</v>
          </cell>
          <cell r="DH99">
            <v>60</v>
          </cell>
          <cell r="DI99">
            <v>42179</v>
          </cell>
          <cell r="DJ99">
            <v>42150</v>
          </cell>
          <cell r="DK99">
            <v>42176</v>
          </cell>
          <cell r="DL99">
            <v>42189</v>
          </cell>
          <cell r="DM99">
            <v>42180</v>
          </cell>
          <cell r="DN99">
            <v>42189</v>
          </cell>
          <cell r="DO99">
            <v>0</v>
          </cell>
          <cell r="DP99">
            <v>42179</v>
          </cell>
          <cell r="DQ99">
            <v>42150</v>
          </cell>
          <cell r="DT99">
            <v>0</v>
          </cell>
          <cell r="DU99">
            <v>42194</v>
          </cell>
          <cell r="DV99">
            <v>42158</v>
          </cell>
          <cell r="DW99">
            <v>0</v>
          </cell>
          <cell r="DY99">
            <v>42180</v>
          </cell>
          <cell r="DZ99">
            <v>42181</v>
          </cell>
          <cell r="EA99" t="str">
            <v>Leadcom</v>
          </cell>
          <cell r="ED99" t="str">
            <v>06Jul15 :Thiha.Kyaw: 6-7-15 Site on air. Fencing making in progress.
26Jun15 :Thiha.Kyaw: 26-6-15 Tower erection Done. Equipment pad grounding in progress.
12Jun15 :Thiha.Kyaw: 12-6-15 Pedestal Done. Back filling in progress.</v>
          </cell>
          <cell r="EE99" t="str">
            <v>19Jun15 Tower erection in progress. Equipment pad making in progress. 15Jun15: Back filling Done,Excavation making for Equipment. Tower on site.</v>
          </cell>
          <cell r="EI99" t="str">
            <v>M5: grid power + DG + battery      </v>
          </cell>
          <cell r="EJ99">
            <v>18</v>
          </cell>
          <cell r="EK99">
            <v>42195</v>
          </cell>
          <cell r="EL99">
            <v>42199</v>
          </cell>
          <cell r="EM99">
            <v>42196</v>
          </cell>
          <cell r="EN99">
            <v>42202</v>
          </cell>
          <cell r="EQ99">
            <v>42203</v>
          </cell>
          <cell r="ER99">
            <v>42209</v>
          </cell>
          <cell r="ES99">
            <v>42206</v>
          </cell>
          <cell r="ET99">
            <v>42212</v>
          </cell>
          <cell r="EU99">
            <v>42212</v>
          </cell>
          <cell r="EW99">
            <v>52</v>
          </cell>
          <cell r="EX99">
            <v>42212</v>
          </cell>
          <cell r="EY99">
            <v>42197</v>
          </cell>
          <cell r="EZ99">
            <v>42213</v>
          </cell>
          <cell r="FA99">
            <v>42208</v>
          </cell>
          <cell r="FB99">
            <v>42215</v>
          </cell>
          <cell r="FC99">
            <v>42214</v>
          </cell>
          <cell r="FE99">
            <v>42193</v>
          </cell>
          <cell r="FG99">
            <v>42165</v>
          </cell>
          <cell r="FU99">
            <v>42217</v>
          </cell>
          <cell r="FV99">
            <v>42197</v>
          </cell>
          <cell r="FW99">
            <v>42217</v>
          </cell>
          <cell r="FX99">
            <v>42214</v>
          </cell>
          <cell r="FY99" t="str">
            <v>UT</v>
          </cell>
          <cell r="FZ99">
            <v>42201</v>
          </cell>
          <cell r="GA99">
            <v>42205</v>
          </cell>
          <cell r="GB99">
            <v>42207</v>
          </cell>
          <cell r="GC99">
            <v>42215</v>
          </cell>
          <cell r="GD99">
            <v>42215</v>
          </cell>
          <cell r="GE99">
            <v>42207</v>
          </cell>
          <cell r="GF99">
            <v>42216</v>
          </cell>
          <cell r="GG99">
            <v>42216</v>
          </cell>
          <cell r="GH99">
            <v>42216</v>
          </cell>
          <cell r="GI99">
            <v>42216</v>
          </cell>
          <cell r="GJ99" t="str">
            <v>31-2015</v>
          </cell>
          <cell r="GK99">
            <v>42216</v>
          </cell>
          <cell r="GN99" t="str">
            <v xml:space="preserve">ERICSSON </v>
          </cell>
          <cell r="GO99">
            <v>42143</v>
          </cell>
          <cell r="GP99">
            <v>42206</v>
          </cell>
          <cell r="GS99" t="str">
            <v>4/4/4</v>
          </cell>
          <cell r="GU99" t="str">
            <v xml:space="preserve">		</v>
          </cell>
          <cell r="HD99">
            <v>1</v>
          </cell>
        </row>
        <row r="100">
          <cell r="A100" t="str">
            <v>BA0758</v>
          </cell>
          <cell r="B100" t="str">
            <v>ACBA_0134</v>
          </cell>
          <cell r="C100" t="str">
            <v>Apollo</v>
          </cell>
          <cell r="D100" t="str">
            <v>Robert</v>
          </cell>
          <cell r="F100" t="str">
            <v>Phyo Wai Maung</v>
          </cell>
          <cell r="G100" t="str">
            <v>Saw Pyie Zin Nyein</v>
          </cell>
          <cell r="H100" t="str">
            <v>RED</v>
          </cell>
          <cell r="I100" t="str">
            <v>South</v>
          </cell>
          <cell r="J100" t="str">
            <v>96.5819</v>
          </cell>
          <cell r="K100" t="str">
            <v>17.2812</v>
          </cell>
          <cell r="L100" t="str">
            <v>SubUrban</v>
          </cell>
          <cell r="M100" t="str">
            <v>Bago East</v>
          </cell>
          <cell r="N100" t="str">
            <v>Thanatpin</v>
          </cell>
          <cell r="O100" t="str">
            <v>Thanatpin</v>
          </cell>
          <cell r="P100" t="str">
            <v>Bago East</v>
          </cell>
          <cell r="Q100" t="str">
            <v>19</v>
          </cell>
          <cell r="R100" t="str">
            <v>Thanatpin</v>
          </cell>
          <cell r="S100" t="str">
            <v>90</v>
          </cell>
          <cell r="T100" t="str">
            <v>GSM+UMTS</v>
          </cell>
          <cell r="W100" t="str">
            <v>Ph2-Priority</v>
          </cell>
          <cell r="X100" t="str">
            <v>35</v>
          </cell>
          <cell r="Y100" t="str">
            <v>35</v>
          </cell>
          <cell r="Z100" t="str">
            <v>GBT</v>
          </cell>
          <cell r="AA100" t="str">
            <v>250</v>
          </cell>
          <cell r="AB100" t="str">
            <v>Access</v>
          </cell>
          <cell r="AC100" t="str">
            <v>Class B</v>
          </cell>
          <cell r="BE100" t="str">
            <v>Yangon Ring 4</v>
          </cell>
          <cell r="BH100" t="str">
            <v>KTT</v>
          </cell>
          <cell r="BJ100">
            <v>42152</v>
          </cell>
          <cell r="BK100">
            <v>42130</v>
          </cell>
          <cell r="BL100">
            <v>42157</v>
          </cell>
          <cell r="BM100">
            <v>42175</v>
          </cell>
          <cell r="BT100">
            <v>63</v>
          </cell>
          <cell r="BU100">
            <v>42184</v>
          </cell>
          <cell r="BV100">
            <v>42193</v>
          </cell>
          <cell r="BW100" t="str">
            <v>96.5827</v>
          </cell>
          <cell r="BX100" t="str">
            <v>17.28427</v>
          </cell>
          <cell r="BY100" t="str">
            <v>C1</v>
          </cell>
          <cell r="BZ100" t="str">
            <v>No (181), Yay Kyaw Village, Kyot Pyat Kwat Thit, (4) Street, Thanatpin Township, Bago West Division</v>
          </cell>
          <cell r="CA100" t="str">
            <v>Daw Than Yee,09-250543354</v>
          </cell>
          <cell r="CB100" t="str">
            <v>8 July 15 : C1 SAR sub(C2 NOC ISSUES);6 July 15 : C2 TSSR app,26 June 15: C2 SAR app</v>
          </cell>
          <cell r="CC100" t="str">
            <v>RESIDENTIAL</v>
          </cell>
          <cell r="CE100">
            <v>1</v>
          </cell>
          <cell r="CF100">
            <v>42185</v>
          </cell>
          <cell r="CG100">
            <v>42194</v>
          </cell>
          <cell r="CH100">
            <v>42187</v>
          </cell>
          <cell r="CJ100">
            <v>42200</v>
          </cell>
          <cell r="CK100" t="str">
            <v>35</v>
          </cell>
          <cell r="CL100" t="str">
            <v>37</v>
          </cell>
          <cell r="CM100" t="str">
            <v>35</v>
          </cell>
          <cell r="CN100">
            <v>8</v>
          </cell>
          <cell r="CO100">
            <v>42190</v>
          </cell>
          <cell r="CP100">
            <v>42202</v>
          </cell>
          <cell r="CQ100" t="str">
            <v>M1: grid power + battery</v>
          </cell>
          <cell r="CR100">
            <v>3</v>
          </cell>
          <cell r="CS100">
            <v>42191</v>
          </cell>
          <cell r="CT100">
            <v>42205</v>
          </cell>
          <cell r="CU100" t="str">
            <v>BA0758</v>
          </cell>
          <cell r="DH100">
            <v>28</v>
          </cell>
          <cell r="DI100">
            <v>42201</v>
          </cell>
          <cell r="DK100">
            <v>42198</v>
          </cell>
          <cell r="DM100">
            <v>42202</v>
          </cell>
          <cell r="DO100">
            <v>0</v>
          </cell>
          <cell r="DP100">
            <v>42201</v>
          </cell>
          <cell r="DT100">
            <v>0</v>
          </cell>
          <cell r="DU100">
            <v>42216</v>
          </cell>
          <cell r="DW100">
            <v>0</v>
          </cell>
          <cell r="DY100">
            <v>42202</v>
          </cell>
          <cell r="EA100" t="str">
            <v>Leadcom</v>
          </cell>
          <cell r="EJ100">
            <v>0</v>
          </cell>
          <cell r="EK100">
            <v>42217</v>
          </cell>
          <cell r="EM100">
            <v>42218</v>
          </cell>
          <cell r="EQ100">
            <v>42225</v>
          </cell>
          <cell r="EW100">
            <v>0</v>
          </cell>
          <cell r="EX100">
            <v>42212</v>
          </cell>
          <cell r="EZ100">
            <v>42235</v>
          </cell>
          <cell r="FB100">
            <v>42237</v>
          </cell>
          <cell r="FU100">
            <v>42239</v>
          </cell>
          <cell r="FW100">
            <v>42239</v>
          </cell>
          <cell r="GJ100">
            <v>0</v>
          </cell>
          <cell r="GN100" t="str">
            <v>ERICSSON</v>
          </cell>
          <cell r="GS100" t="str">
            <v>4/4/4</v>
          </cell>
          <cell r="GU100" t="str">
            <v xml:space="preserve">		</v>
          </cell>
          <cell r="HD100">
            <v>1</v>
          </cell>
        </row>
        <row r="101">
          <cell r="A101" t="str">
            <v>BA0759</v>
          </cell>
          <cell r="B101" t="str">
            <v>ACBA_0152</v>
          </cell>
          <cell r="C101" t="str">
            <v>Apollo</v>
          </cell>
          <cell r="D101" t="str">
            <v>Robert</v>
          </cell>
          <cell r="F101" t="str">
            <v>Phyo Wai Maung</v>
          </cell>
          <cell r="G101" t="str">
            <v>Saw Pyie Zin Nyein</v>
          </cell>
          <cell r="H101" t="str">
            <v>RED</v>
          </cell>
          <cell r="I101" t="str">
            <v>South</v>
          </cell>
          <cell r="J101" t="str">
            <v>96.5477</v>
          </cell>
          <cell r="K101" t="str">
            <v>17.2566</v>
          </cell>
          <cell r="L101" t="str">
            <v>Rural</v>
          </cell>
          <cell r="M101" t="str">
            <v>Bago East</v>
          </cell>
          <cell r="N101" t="str">
            <v>Thanatpin</v>
          </cell>
          <cell r="O101" t="str">
            <v>Thanatpin</v>
          </cell>
          <cell r="P101" t="str">
            <v>Bago East</v>
          </cell>
          <cell r="Q101" t="str">
            <v>19</v>
          </cell>
          <cell r="R101" t="str">
            <v>Thanatpin</v>
          </cell>
          <cell r="S101" t="str">
            <v>90</v>
          </cell>
          <cell r="T101" t="str">
            <v>GSM+UMTS</v>
          </cell>
          <cell r="W101" t="str">
            <v>Ph2-Priority</v>
          </cell>
          <cell r="X101" t="str">
            <v>45</v>
          </cell>
          <cell r="Y101" t="str">
            <v>47</v>
          </cell>
          <cell r="Z101" t="str">
            <v>GBT</v>
          </cell>
          <cell r="AA101" t="str">
            <v>500</v>
          </cell>
          <cell r="AB101" t="str">
            <v>Access</v>
          </cell>
          <cell r="AC101" t="str">
            <v>Class C</v>
          </cell>
          <cell r="BE101" t="str">
            <v>Yangon Ring 4</v>
          </cell>
          <cell r="BH101" t="str">
            <v>Leadcom</v>
          </cell>
          <cell r="BJ101">
            <v>42168</v>
          </cell>
          <cell r="BK101">
            <v>42138</v>
          </cell>
          <cell r="BL101">
            <v>42173</v>
          </cell>
          <cell r="BM101">
            <v>42177</v>
          </cell>
          <cell r="BT101">
            <v>77</v>
          </cell>
          <cell r="BU101">
            <v>42172</v>
          </cell>
          <cell r="BV101">
            <v>42215</v>
          </cell>
          <cell r="BW101" t="str">
            <v>95.5464</v>
          </cell>
          <cell r="BX101" t="str">
            <v>16.87307</v>
          </cell>
          <cell r="BY101" t="str">
            <v>C1</v>
          </cell>
          <cell r="CB101" t="str">
            <v>30 Jul 15 : C1 SAR sub with 35 M Tower</v>
          </cell>
          <cell r="CC101" t="str">
            <v>KHAING/FARM LAND</v>
          </cell>
          <cell r="CE101">
            <v>0</v>
          </cell>
          <cell r="CF101">
            <v>42173</v>
          </cell>
          <cell r="CG101">
            <v>42219</v>
          </cell>
          <cell r="CH101">
            <v>42175</v>
          </cell>
          <cell r="CN101">
            <v>0</v>
          </cell>
          <cell r="CO101">
            <v>42178</v>
          </cell>
          <cell r="CQ101" t="str">
            <v>M4: solar + DG + battery</v>
          </cell>
          <cell r="CR101">
            <v>0</v>
          </cell>
          <cell r="CS101">
            <v>42179</v>
          </cell>
          <cell r="CU101" t="str">
            <v>BA0759</v>
          </cell>
          <cell r="DH101">
            <v>0</v>
          </cell>
          <cell r="DI101">
            <v>42189</v>
          </cell>
          <cell r="DK101">
            <v>42186</v>
          </cell>
          <cell r="DM101">
            <v>42190</v>
          </cell>
          <cell r="DO101">
            <v>0</v>
          </cell>
          <cell r="DP101">
            <v>42189</v>
          </cell>
          <cell r="DT101">
            <v>0</v>
          </cell>
          <cell r="DU101">
            <v>42204</v>
          </cell>
          <cell r="DW101">
            <v>0</v>
          </cell>
          <cell r="DY101">
            <v>42190</v>
          </cell>
          <cell r="EA101" t="str">
            <v>Leadcom</v>
          </cell>
          <cell r="EJ101">
            <v>0</v>
          </cell>
          <cell r="EK101">
            <v>42207</v>
          </cell>
          <cell r="EM101">
            <v>42208</v>
          </cell>
          <cell r="EQ101">
            <v>42217</v>
          </cell>
          <cell r="EW101">
            <v>0</v>
          </cell>
          <cell r="EX101">
            <v>42231</v>
          </cell>
          <cell r="EZ101">
            <v>42227</v>
          </cell>
          <cell r="FB101">
            <v>42229</v>
          </cell>
          <cell r="FU101">
            <v>42231</v>
          </cell>
          <cell r="FW101">
            <v>42231</v>
          </cell>
          <cell r="GJ101">
            <v>0</v>
          </cell>
          <cell r="GN101" t="str">
            <v>ERICSSON</v>
          </cell>
          <cell r="GS101" t="str">
            <v>4/4/4</v>
          </cell>
          <cell r="GU101" t="str">
            <v xml:space="preserve">		</v>
          </cell>
          <cell r="HD101">
            <v>1</v>
          </cell>
        </row>
        <row r="102">
          <cell r="A102" t="str">
            <v>BA0760</v>
          </cell>
          <cell r="B102" t="str">
            <v>ACBA_0153</v>
          </cell>
          <cell r="C102" t="str">
            <v>Apollo</v>
          </cell>
          <cell r="D102" t="str">
            <v>Robert</v>
          </cell>
          <cell r="F102" t="str">
            <v>Phyo Wai Maung</v>
          </cell>
          <cell r="G102" t="str">
            <v>Saw Pyie Zin Nyein</v>
          </cell>
          <cell r="H102" t="str">
            <v>RED</v>
          </cell>
          <cell r="I102" t="str">
            <v>South</v>
          </cell>
          <cell r="J102" t="str">
            <v>96.6183</v>
          </cell>
          <cell r="K102" t="str">
            <v>17.2727</v>
          </cell>
          <cell r="L102" t="str">
            <v>SubUrban</v>
          </cell>
          <cell r="M102" t="str">
            <v>Bago East</v>
          </cell>
          <cell r="N102" t="str">
            <v>Thanatpin</v>
          </cell>
          <cell r="O102" t="str">
            <v>Thanatpin</v>
          </cell>
          <cell r="P102" t="str">
            <v>Bago East</v>
          </cell>
          <cell r="Q102" t="str">
            <v>19</v>
          </cell>
          <cell r="R102" t="str">
            <v>Thanatpin</v>
          </cell>
          <cell r="S102" t="str">
            <v>90</v>
          </cell>
          <cell r="T102" t="str">
            <v>GSM+UMTS</v>
          </cell>
          <cell r="W102" t="str">
            <v>Ph2-Priority</v>
          </cell>
          <cell r="X102" t="str">
            <v>35</v>
          </cell>
          <cell r="Y102" t="str">
            <v>35</v>
          </cell>
          <cell r="Z102" t="str">
            <v>GBT</v>
          </cell>
          <cell r="AA102" t="str">
            <v>250</v>
          </cell>
          <cell r="AB102" t="str">
            <v>Access</v>
          </cell>
          <cell r="AC102" t="str">
            <v>Class B</v>
          </cell>
          <cell r="BE102" t="str">
            <v>Yangon Ring 4</v>
          </cell>
          <cell r="BH102" t="str">
            <v>KTT</v>
          </cell>
          <cell r="BJ102">
            <v>42152</v>
          </cell>
          <cell r="BK102">
            <v>42130</v>
          </cell>
          <cell r="BL102">
            <v>42157</v>
          </cell>
          <cell r="BM102">
            <v>42165</v>
          </cell>
          <cell r="BT102">
            <v>45</v>
          </cell>
          <cell r="BU102">
            <v>42184</v>
          </cell>
          <cell r="BV102">
            <v>42175</v>
          </cell>
          <cell r="BW102" t="str">
            <v>96.61796</v>
          </cell>
          <cell r="BX102" t="str">
            <v>17.27148</v>
          </cell>
          <cell r="BY102" t="str">
            <v>C2</v>
          </cell>
          <cell r="BZ102" t="str">
            <v>No (1/16), KaLai Village, Thanatpin Township, Bago West Division.</v>
          </cell>
          <cell r="CA102" t="str">
            <v>U Win Myint,09-251095724, 09-261381463</v>
          </cell>
          <cell r="CB102" t="str">
            <v>20Jun15: C2 SAR Sub, C1 rejected by AT</v>
          </cell>
          <cell r="CE102">
            <v>4</v>
          </cell>
          <cell r="CF102">
            <v>42185</v>
          </cell>
          <cell r="CG102">
            <v>42179</v>
          </cell>
          <cell r="CH102">
            <v>42187</v>
          </cell>
          <cell r="CJ102">
            <v>42198</v>
          </cell>
          <cell r="CK102" t="str">
            <v>35</v>
          </cell>
          <cell r="CL102" t="str">
            <v>37</v>
          </cell>
          <cell r="CM102" t="str">
            <v>35</v>
          </cell>
          <cell r="CN102">
            <v>21</v>
          </cell>
          <cell r="CO102">
            <v>42190</v>
          </cell>
          <cell r="CP102">
            <v>42200</v>
          </cell>
          <cell r="CQ102" t="str">
            <v>M1: grid power + battery</v>
          </cell>
          <cell r="CR102">
            <v>2</v>
          </cell>
          <cell r="CS102">
            <v>42191</v>
          </cell>
          <cell r="CT102">
            <v>42202</v>
          </cell>
          <cell r="CU102" t="str">
            <v>BA0760</v>
          </cell>
          <cell r="DH102">
            <v>31</v>
          </cell>
          <cell r="DI102">
            <v>42201</v>
          </cell>
          <cell r="DJ102">
            <v>42186</v>
          </cell>
          <cell r="DK102">
            <v>42198</v>
          </cell>
          <cell r="DM102">
            <v>42202</v>
          </cell>
          <cell r="DO102">
            <v>0</v>
          </cell>
          <cell r="DP102">
            <v>42201</v>
          </cell>
          <cell r="DQ102">
            <v>42186</v>
          </cell>
          <cell r="DT102">
            <v>0</v>
          </cell>
          <cell r="DU102">
            <v>42216</v>
          </cell>
          <cell r="DW102">
            <v>0</v>
          </cell>
          <cell r="DY102">
            <v>42202</v>
          </cell>
          <cell r="DZ102">
            <v>42203</v>
          </cell>
          <cell r="EA102" t="str">
            <v>Leadcom</v>
          </cell>
          <cell r="EB102">
            <v>42213</v>
          </cell>
          <cell r="EE102" t="str">
            <v xml:space="preserve">10 Aug 15:Flood affected_Hold-No access; 28-Jul-15: BP complete_payment can be done  floods access  issues 								</v>
          </cell>
          <cell r="EJ102">
            <v>0</v>
          </cell>
          <cell r="EK102">
            <v>42217</v>
          </cell>
          <cell r="EL102">
            <v>42233</v>
          </cell>
          <cell r="EM102">
            <v>42218</v>
          </cell>
          <cell r="EN102">
            <v>42223</v>
          </cell>
          <cell r="EQ102">
            <v>42225</v>
          </cell>
          <cell r="EW102">
            <v>0</v>
          </cell>
          <cell r="EX102">
            <v>42212</v>
          </cell>
          <cell r="EZ102">
            <v>42235</v>
          </cell>
          <cell r="FB102">
            <v>42237</v>
          </cell>
          <cell r="FU102">
            <v>42239</v>
          </cell>
          <cell r="FW102">
            <v>42239</v>
          </cell>
          <cell r="FY102" t="str">
            <v>RT</v>
          </cell>
          <cell r="FZ102">
            <v>42234</v>
          </cell>
          <cell r="GI102">
            <v>42246</v>
          </cell>
          <cell r="GJ102">
            <v>0</v>
          </cell>
          <cell r="GL102" t="str">
            <v>Equipment Required ::</v>
          </cell>
          <cell r="GN102" t="str">
            <v>ERICSSON</v>
          </cell>
          <cell r="GU102" t="str">
            <v xml:space="preserve">		</v>
          </cell>
          <cell r="HD102">
            <v>1</v>
          </cell>
        </row>
        <row r="103">
          <cell r="A103" t="str">
            <v>BA0761</v>
          </cell>
          <cell r="B103" t="str">
            <v>ACBA_0154</v>
          </cell>
          <cell r="C103" t="str">
            <v>Apollo</v>
          </cell>
          <cell r="D103" t="str">
            <v>Robert</v>
          </cell>
          <cell r="F103" t="str">
            <v>Phyo Wai Maung</v>
          </cell>
          <cell r="G103" t="str">
            <v>Saw Pyie Zin Nyein</v>
          </cell>
          <cell r="H103" t="str">
            <v>RED</v>
          </cell>
          <cell r="I103" t="str">
            <v>South</v>
          </cell>
          <cell r="J103" t="str">
            <v>96.659</v>
          </cell>
          <cell r="K103" t="str">
            <v>17.1821</v>
          </cell>
          <cell r="L103" t="str">
            <v>Rural</v>
          </cell>
          <cell r="M103" t="str">
            <v>Bago East</v>
          </cell>
          <cell r="N103" t="str">
            <v>Thanatpin</v>
          </cell>
          <cell r="O103" t="str">
            <v>Thanatpin</v>
          </cell>
          <cell r="P103" t="str">
            <v>Bago East</v>
          </cell>
          <cell r="Q103" t="str">
            <v>19</v>
          </cell>
          <cell r="R103" t="str">
            <v>Thanatpin</v>
          </cell>
          <cell r="S103" t="str">
            <v>90</v>
          </cell>
          <cell r="T103" t="str">
            <v>GSM+UMTS</v>
          </cell>
          <cell r="W103" t="str">
            <v>Ph2-Priority</v>
          </cell>
          <cell r="X103" t="str">
            <v>45</v>
          </cell>
          <cell r="Y103" t="str">
            <v>47</v>
          </cell>
          <cell r="Z103" t="str">
            <v>GBT</v>
          </cell>
          <cell r="AA103" t="str">
            <v>500</v>
          </cell>
          <cell r="AB103" t="str">
            <v>Access</v>
          </cell>
          <cell r="AC103" t="str">
            <v>Class C</v>
          </cell>
          <cell r="BE103" t="str">
            <v>Yangon Ring 4</v>
          </cell>
          <cell r="BH103" t="str">
            <v>Leadcom</v>
          </cell>
          <cell r="BJ103">
            <v>42168</v>
          </cell>
          <cell r="BK103">
            <v>42178</v>
          </cell>
          <cell r="BL103">
            <v>42173</v>
          </cell>
          <cell r="BM103">
            <v>42167</v>
          </cell>
          <cell r="BT103">
            <v>55</v>
          </cell>
          <cell r="BU103">
            <v>42172</v>
          </cell>
          <cell r="BV103">
            <v>42167</v>
          </cell>
          <cell r="BW103" t="str">
            <v>96.39412</v>
          </cell>
          <cell r="BX103" t="str">
            <v>17.02803</v>
          </cell>
          <cell r="BY103" t="str">
            <v>Reject</v>
          </cell>
          <cell r="BZ103" t="str">
            <v>NO.(5/977),Aung Yadanar 2nd St. 5th Quarter Tha Byut Village, Bago.</v>
          </cell>
          <cell r="CA103" t="str">
            <v>U KYAW AUNG;09- 428 012 368, 09-250 818 380</v>
          </cell>
          <cell r="CB103" t="str">
            <v>13 Aug 15: C1 deactivate because of Rejected Flood history 1.0m. Mud soil 1.8m depth. 2.56km access road issue with small bridge. TSSR rejected; 7 Jul 15 : C1 SAR app;3 Jul 15 : C1 SAR sub</v>
          </cell>
          <cell r="CC103" t="str">
            <v>RESIDENTIAL</v>
          </cell>
          <cell r="CE103">
            <v>0</v>
          </cell>
          <cell r="CF103">
            <v>42173</v>
          </cell>
          <cell r="CG103">
            <v>42170</v>
          </cell>
          <cell r="CH103">
            <v>42175</v>
          </cell>
          <cell r="CJ103">
            <v>42186</v>
          </cell>
          <cell r="CK103" t="str">
            <v>45</v>
          </cell>
          <cell r="CL103" t="str">
            <v>47</v>
          </cell>
          <cell r="CM103" t="str">
            <v>50</v>
          </cell>
          <cell r="CN103">
            <v>0</v>
          </cell>
          <cell r="CO103">
            <v>42178</v>
          </cell>
          <cell r="CP103">
            <v>42188</v>
          </cell>
          <cell r="CQ103" t="str">
            <v>M4: solar + DG + battery</v>
          </cell>
          <cell r="CR103">
            <v>0</v>
          </cell>
          <cell r="CS103">
            <v>42179</v>
          </cell>
          <cell r="CT103">
            <v>42191</v>
          </cell>
          <cell r="CU103" t="str">
            <v>BA0761</v>
          </cell>
          <cell r="DH103">
            <v>0</v>
          </cell>
          <cell r="DI103">
            <v>42189</v>
          </cell>
          <cell r="DJ103">
            <v>42201</v>
          </cell>
          <cell r="DK103">
            <v>42186</v>
          </cell>
          <cell r="DM103">
            <v>42190</v>
          </cell>
          <cell r="DO103">
            <v>0</v>
          </cell>
          <cell r="DP103">
            <v>42189</v>
          </cell>
          <cell r="DQ103">
            <v>42201</v>
          </cell>
          <cell r="DT103">
            <v>0</v>
          </cell>
          <cell r="DU103">
            <v>42204</v>
          </cell>
          <cell r="DW103">
            <v>0</v>
          </cell>
          <cell r="DY103">
            <v>42190</v>
          </cell>
          <cell r="DZ103">
            <v>42202</v>
          </cell>
          <cell r="EA103" t="str">
            <v>Leadcom</v>
          </cell>
          <cell r="EB103">
            <v>42214</v>
          </cell>
          <cell r="EE103" t="str">
            <v xml:space="preserve">10 Aug 15:Flood affected_Hold-No access; 29-Jul-15:muddy access road -slow progress								</v>
          </cell>
          <cell r="EJ103">
            <v>0</v>
          </cell>
          <cell r="EK103">
            <v>42207</v>
          </cell>
          <cell r="EL103">
            <v>42228</v>
          </cell>
          <cell r="EM103">
            <v>42208</v>
          </cell>
          <cell r="EN103">
            <v>42233</v>
          </cell>
          <cell r="EQ103">
            <v>42217</v>
          </cell>
          <cell r="EW103">
            <v>0</v>
          </cell>
          <cell r="EX103">
            <v>42231</v>
          </cell>
          <cell r="EZ103">
            <v>42227</v>
          </cell>
          <cell r="FB103">
            <v>42229</v>
          </cell>
          <cell r="FU103">
            <v>42231</v>
          </cell>
          <cell r="FW103">
            <v>42231</v>
          </cell>
          <cell r="FY103" t="str">
            <v>RT</v>
          </cell>
          <cell r="FZ103">
            <v>42234</v>
          </cell>
          <cell r="GI103">
            <v>42246</v>
          </cell>
          <cell r="GJ103">
            <v>0</v>
          </cell>
          <cell r="GL103" t="str">
            <v>Equipment Required ::</v>
          </cell>
          <cell r="GN103" t="str">
            <v>ERICSSON</v>
          </cell>
          <cell r="GU103" t="str">
            <v xml:space="preserve">		</v>
          </cell>
          <cell r="HD103">
            <v>1</v>
          </cell>
        </row>
        <row r="104">
          <cell r="A104" t="str">
            <v>BA0762</v>
          </cell>
          <cell r="B104" t="str">
            <v>ACBA_0135</v>
          </cell>
          <cell r="C104" t="str">
            <v>Apollo</v>
          </cell>
          <cell r="D104" t="str">
            <v>Robert</v>
          </cell>
          <cell r="F104" t="str">
            <v>Phyo Wai Maung</v>
          </cell>
          <cell r="G104" t="str">
            <v>Saw Pyie Zin Nyein</v>
          </cell>
          <cell r="H104" t="str">
            <v>RED</v>
          </cell>
          <cell r="I104" t="str">
            <v>South</v>
          </cell>
          <cell r="J104" t="str">
            <v>96.456</v>
          </cell>
          <cell r="K104" t="str">
            <v>17.091</v>
          </cell>
          <cell r="L104" t="str">
            <v>Rural</v>
          </cell>
          <cell r="M104" t="str">
            <v>Bago East</v>
          </cell>
          <cell r="N104" t="str">
            <v>Kawa</v>
          </cell>
          <cell r="O104" t="str">
            <v>Kawa</v>
          </cell>
          <cell r="P104" t="str">
            <v>Bago East</v>
          </cell>
          <cell r="Q104" t="str">
            <v>19</v>
          </cell>
          <cell r="R104" t="str">
            <v>Kawa</v>
          </cell>
          <cell r="S104" t="str">
            <v>91</v>
          </cell>
          <cell r="T104" t="str">
            <v>GSM+UMTS</v>
          </cell>
          <cell r="W104" t="str">
            <v>Ph2-Priority</v>
          </cell>
          <cell r="X104" t="str">
            <v>45</v>
          </cell>
          <cell r="Y104" t="str">
            <v>47</v>
          </cell>
          <cell r="Z104" t="str">
            <v>GBT</v>
          </cell>
          <cell r="AA104" t="str">
            <v>500</v>
          </cell>
          <cell r="AB104" t="str">
            <v>Access</v>
          </cell>
          <cell r="AC104" t="str">
            <v>Class C</v>
          </cell>
          <cell r="BE104" t="str">
            <v>Route 2 Yangon -Mawlamyine</v>
          </cell>
          <cell r="BH104" t="str">
            <v>Leadcom</v>
          </cell>
          <cell r="BJ104">
            <v>42170</v>
          </cell>
          <cell r="BK104">
            <v>42169</v>
          </cell>
          <cell r="BL104">
            <v>42175</v>
          </cell>
          <cell r="BM104">
            <v>42132</v>
          </cell>
          <cell r="BT104">
            <v>64</v>
          </cell>
          <cell r="BU104">
            <v>42185</v>
          </cell>
          <cell r="BV104">
            <v>42142</v>
          </cell>
          <cell r="BW104" t="str">
            <v>95.55587</v>
          </cell>
          <cell r="BX104" t="str">
            <v>17.05136</v>
          </cell>
          <cell r="BY104" t="str">
            <v>Reject</v>
          </cell>
          <cell r="BZ104" t="str">
            <v>Sindon Group,Kyein Pin Sal Village,Nyaungdon Township,Ayeyarwady</v>
          </cell>
          <cell r="CA104" t="str">
            <v>U Tin Hla;Sindon Group,Kyein Pin Sal Village,Nyaungdon Township,Ayeyarwady;09-31697953,09-292715717;(U Zaw Wann;09-31697953,09-292715717)</v>
          </cell>
          <cell r="CB104" t="str">
            <v>7 Aug 15 : C1 SAR rejected(As per TM radio suggestion, RND rejected this site is 805m far from the nominal point and out of search ring. Please find the new candidate within the search ring and between 100 degree and 220 degree from nominal point);  5 Aug 15 :C1-SAR submission</v>
          </cell>
          <cell r="CE104">
            <v>0</v>
          </cell>
          <cell r="CF104">
            <v>42186</v>
          </cell>
          <cell r="CG104">
            <v>42143</v>
          </cell>
          <cell r="CH104">
            <v>42188</v>
          </cell>
          <cell r="CJ104">
            <v>42149</v>
          </cell>
          <cell r="CK104" t="str">
            <v>53</v>
          </cell>
          <cell r="CL104" t="str">
            <v>55</v>
          </cell>
          <cell r="CM104" t="str">
            <v>60</v>
          </cell>
          <cell r="CN104">
            <v>0</v>
          </cell>
          <cell r="CO104">
            <v>42191</v>
          </cell>
          <cell r="CP104">
            <v>42151</v>
          </cell>
          <cell r="CQ104" t="str">
            <v>M4: solar + DG + battery</v>
          </cell>
          <cell r="CR104">
            <v>0</v>
          </cell>
          <cell r="CS104">
            <v>42192</v>
          </cell>
          <cell r="CT104">
            <v>42152</v>
          </cell>
          <cell r="CU104" t="str">
            <v>BA0762</v>
          </cell>
          <cell r="DH104">
            <v>0</v>
          </cell>
          <cell r="DI104">
            <v>42202</v>
          </cell>
          <cell r="DK104">
            <v>42199</v>
          </cell>
          <cell r="DL104">
            <v>42181</v>
          </cell>
          <cell r="DM104">
            <v>42203</v>
          </cell>
          <cell r="DN104">
            <v>42185</v>
          </cell>
          <cell r="DO104">
            <v>0</v>
          </cell>
          <cell r="DP104">
            <v>42202</v>
          </cell>
          <cell r="DT104">
            <v>0</v>
          </cell>
          <cell r="DU104">
            <v>42217</v>
          </cell>
          <cell r="DW104">
            <v>0</v>
          </cell>
          <cell r="DY104">
            <v>42203</v>
          </cell>
          <cell r="DZ104">
            <v>42186</v>
          </cell>
          <cell r="EA104" t="str">
            <v>Leadcom</v>
          </cell>
          <cell r="ED104" t="str">
            <v>27Jul15 :Thiha.Kyaw: 27-7-15 Back filling  90% Done.
20Jul15 :Thiha.Kyaw: 17-7-15 Back filling in progress.
13Jul15 :Thiha.Kyaw: 13-7-15 Anchor bolt installation in progress.</v>
          </cell>
          <cell r="EJ104">
            <v>0</v>
          </cell>
          <cell r="EK104">
            <v>42225</v>
          </cell>
          <cell r="EL104">
            <v>42200</v>
          </cell>
          <cell r="EM104">
            <v>42226</v>
          </cell>
          <cell r="EN104">
            <v>42200</v>
          </cell>
          <cell r="EQ104">
            <v>42238</v>
          </cell>
          <cell r="EW104">
            <v>0</v>
          </cell>
          <cell r="EX104">
            <v>42271</v>
          </cell>
          <cell r="EZ104">
            <v>42248</v>
          </cell>
          <cell r="FB104">
            <v>42250</v>
          </cell>
          <cell r="FU104">
            <v>42252</v>
          </cell>
          <cell r="FW104">
            <v>42252</v>
          </cell>
          <cell r="FY104" t="str">
            <v>EM</v>
          </cell>
          <cell r="FZ104">
            <v>42201</v>
          </cell>
          <cell r="GA104">
            <v>42206</v>
          </cell>
          <cell r="GB104">
            <v>42208</v>
          </cell>
          <cell r="GE104">
            <v>42208</v>
          </cell>
          <cell r="GF104">
            <v>42208</v>
          </cell>
          <cell r="GI104">
            <v>42246</v>
          </cell>
          <cell r="GJ104">
            <v>0</v>
          </cell>
          <cell r="GN104" t="str">
            <v>ERICSSON</v>
          </cell>
          <cell r="GO104">
            <v>42159</v>
          </cell>
          <cell r="GP104">
            <v>42199</v>
          </cell>
          <cell r="GS104" t="str">
            <v>4/4/4</v>
          </cell>
          <cell r="GU104" t="str">
            <v xml:space="preserve">		</v>
          </cell>
          <cell r="HD104">
            <v>1</v>
          </cell>
        </row>
        <row r="105">
          <cell r="A105" t="str">
            <v>BA0763</v>
          </cell>
          <cell r="B105" t="str">
            <v>ACBA_0155</v>
          </cell>
          <cell r="C105" t="str">
            <v>Apollo</v>
          </cell>
          <cell r="D105" t="str">
            <v>Chris Thomson</v>
          </cell>
          <cell r="F105" t="str">
            <v>Phyo Wai Maung</v>
          </cell>
          <cell r="G105" t="str">
            <v>Cho Yee Thaung</v>
          </cell>
          <cell r="H105" t="str">
            <v>RED</v>
          </cell>
          <cell r="I105" t="str">
            <v>South</v>
          </cell>
          <cell r="J105" t="str">
            <v>95.40278</v>
          </cell>
          <cell r="K105" t="str">
            <v>18.843257</v>
          </cell>
          <cell r="L105" t="str">
            <v>Rural</v>
          </cell>
          <cell r="M105" t="str">
            <v>Bago West</v>
          </cell>
          <cell r="N105" t="str">
            <v>Pyay</v>
          </cell>
          <cell r="O105" t="str">
            <v>Pyay</v>
          </cell>
          <cell r="P105" t="str">
            <v>Bago West</v>
          </cell>
          <cell r="Q105" t="str">
            <v>20</v>
          </cell>
          <cell r="R105" t="str">
            <v>Pyay</v>
          </cell>
          <cell r="S105" t="str">
            <v>103</v>
          </cell>
          <cell r="T105" t="str">
            <v>GSM+UMTS</v>
          </cell>
          <cell r="W105" t="str">
            <v>Ph2-Priority</v>
          </cell>
          <cell r="X105" t="str">
            <v>45</v>
          </cell>
          <cell r="Y105" t="str">
            <v>47</v>
          </cell>
          <cell r="Z105" t="str">
            <v>GBT</v>
          </cell>
          <cell r="AA105" t="str">
            <v>250</v>
          </cell>
          <cell r="AB105" t="str">
            <v>Access</v>
          </cell>
          <cell r="AC105" t="str">
            <v>Class C</v>
          </cell>
          <cell r="BE105" t="str">
            <v>Route 1 Yangon - Mandalay</v>
          </cell>
          <cell r="BH105" t="str">
            <v>IENG</v>
          </cell>
          <cell r="BJ105">
            <v>42144</v>
          </cell>
          <cell r="BK105">
            <v>42125</v>
          </cell>
          <cell r="BL105">
            <v>42149</v>
          </cell>
          <cell r="BT105">
            <v>93</v>
          </cell>
          <cell r="BU105">
            <v>42251</v>
          </cell>
          <cell r="BV105">
            <v>42218</v>
          </cell>
          <cell r="BW105" t="str">
            <v>95.401173</v>
          </cell>
          <cell r="BX105" t="str">
            <v>18.844979</v>
          </cell>
          <cell r="BY105" t="str">
            <v>C5</v>
          </cell>
          <cell r="BZ105" t="str">
            <v>Chaung Khaung Village, Pauk Khaung Township,Bago Region.</v>
          </cell>
          <cell r="CA105" t="str">
            <v>U Tin Tun Aung</v>
          </cell>
          <cell r="CB105" t="str">
            <v>02 Aug 15 : C5 SAR sub(Cannot find Candidate with good ownership document as all are farmland category, reaon why we look candidate in the nearby village. Dist. From NP is 954m);28 May 15 : C1 TSSR app;27 May 15 : C1 TSSR sub;18 May 15 : C1 SAR app;15May15: C1 SAR Sub.</v>
          </cell>
          <cell r="CE105">
            <v>1</v>
          </cell>
          <cell r="CF105">
            <v>42252</v>
          </cell>
          <cell r="CG105">
            <v>42219</v>
          </cell>
          <cell r="CH105">
            <v>42254</v>
          </cell>
          <cell r="CJ105">
            <v>42226</v>
          </cell>
          <cell r="CK105" t="str">
            <v>45</v>
          </cell>
          <cell r="CL105" t="str">
            <v>47</v>
          </cell>
          <cell r="CM105" t="str">
            <v>50</v>
          </cell>
          <cell r="CN105">
            <v>9</v>
          </cell>
          <cell r="CO105">
            <v>42257</v>
          </cell>
          <cell r="CP105">
            <v>42228</v>
          </cell>
          <cell r="CQ105" t="str">
            <v>M1: grid power + battery</v>
          </cell>
          <cell r="CR105">
            <v>2</v>
          </cell>
          <cell r="CS105">
            <v>42258</v>
          </cell>
          <cell r="CT105">
            <v>42230</v>
          </cell>
          <cell r="CU105" t="str">
            <v>BA0763</v>
          </cell>
          <cell r="DH105">
            <v>3</v>
          </cell>
          <cell r="DI105">
            <v>42268</v>
          </cell>
          <cell r="DK105">
            <v>42265</v>
          </cell>
          <cell r="DL105">
            <v>42242</v>
          </cell>
          <cell r="DM105">
            <v>42269</v>
          </cell>
          <cell r="DO105">
            <v>0</v>
          </cell>
          <cell r="DP105">
            <v>42268</v>
          </cell>
          <cell r="DT105">
            <v>0</v>
          </cell>
          <cell r="DU105">
            <v>42283</v>
          </cell>
          <cell r="DW105">
            <v>0</v>
          </cell>
          <cell r="DY105">
            <v>42269</v>
          </cell>
          <cell r="DZ105">
            <v>42243</v>
          </cell>
          <cell r="EA105" t="str">
            <v>IENG</v>
          </cell>
          <cell r="EJ105">
            <v>0</v>
          </cell>
          <cell r="EK105">
            <v>42286</v>
          </cell>
          <cell r="EM105">
            <v>42287</v>
          </cell>
          <cell r="EQ105">
            <v>42296</v>
          </cell>
          <cell r="EW105">
            <v>0</v>
          </cell>
          <cell r="EX105">
            <v>42310</v>
          </cell>
          <cell r="EZ105">
            <v>42306</v>
          </cell>
          <cell r="FB105">
            <v>42308</v>
          </cell>
          <cell r="FU105">
            <v>42310</v>
          </cell>
          <cell r="FW105">
            <v>42310</v>
          </cell>
          <cell r="GJ105">
            <v>0</v>
          </cell>
          <cell r="GN105" t="str">
            <v>ERICSSON</v>
          </cell>
          <cell r="GO105">
            <v>42151</v>
          </cell>
          <cell r="GU105" t="str">
            <v xml:space="preserve">		</v>
          </cell>
          <cell r="HD105">
            <v>1</v>
          </cell>
        </row>
        <row r="106">
          <cell r="A106" t="str">
            <v>BA0769</v>
          </cell>
          <cell r="B106" t="str">
            <v>ACBA_0156</v>
          </cell>
          <cell r="C106" t="str">
            <v>Apollo</v>
          </cell>
          <cell r="D106" t="str">
            <v>Emilio Ruiz</v>
          </cell>
          <cell r="F106" t="str">
            <v>Phyo Wai Maung</v>
          </cell>
          <cell r="G106" t="str">
            <v>Cho Yee Thaung</v>
          </cell>
          <cell r="H106" t="str">
            <v>RED</v>
          </cell>
          <cell r="I106" t="str">
            <v>South</v>
          </cell>
          <cell r="J106" t="str">
            <v>95.7401</v>
          </cell>
          <cell r="K106" t="str">
            <v>17.7487</v>
          </cell>
          <cell r="L106" t="str">
            <v>Rural</v>
          </cell>
          <cell r="M106" t="str">
            <v>Bago West</v>
          </cell>
          <cell r="N106" t="str">
            <v>Letpadan</v>
          </cell>
          <cell r="O106" t="str">
            <v>Letpadan</v>
          </cell>
          <cell r="P106" t="str">
            <v>Bago West</v>
          </cell>
          <cell r="Q106" t="str">
            <v>20</v>
          </cell>
          <cell r="R106" t="str">
            <v>Letpadan</v>
          </cell>
          <cell r="S106" t="str">
            <v>110</v>
          </cell>
          <cell r="T106" t="str">
            <v>GSM+UMTS</v>
          </cell>
          <cell r="W106" t="str">
            <v>Ph2-Priority</v>
          </cell>
          <cell r="X106" t="str">
            <v>45</v>
          </cell>
          <cell r="Y106" t="str">
            <v>47</v>
          </cell>
          <cell r="Z106" t="str">
            <v>GBT</v>
          </cell>
          <cell r="AA106" t="str">
            <v>500</v>
          </cell>
          <cell r="AB106" t="str">
            <v>Access</v>
          </cell>
          <cell r="AC106" t="str">
            <v>Class C</v>
          </cell>
          <cell r="BE106" t="str">
            <v>Route 1 Yangon - Mandalay</v>
          </cell>
          <cell r="BH106" t="str">
            <v>IENG</v>
          </cell>
          <cell r="BJ106">
            <v>42167</v>
          </cell>
          <cell r="BK106">
            <v>42121</v>
          </cell>
          <cell r="BL106">
            <v>42172</v>
          </cell>
          <cell r="BM106">
            <v>42120</v>
          </cell>
          <cell r="BT106">
            <v>112</v>
          </cell>
          <cell r="BU106">
            <v>42183</v>
          </cell>
          <cell r="BV106">
            <v>42158</v>
          </cell>
          <cell r="BW106" t="str">
            <v>96.50288</v>
          </cell>
          <cell r="BX106" t="str">
            <v>18.83964</v>
          </cell>
          <cell r="BY106" t="str">
            <v>C2</v>
          </cell>
          <cell r="BZ106" t="str">
            <v>Htantabin Tarpyay Street, Sate Gyi Quarter,Htantabin Township, Taungoo Division, Bago Region.</v>
          </cell>
          <cell r="CA106" t="str">
            <v>MA KHIN LA PYAE WIN;Htantabin Tarpyay Street, Sate Gyi Quarter, Htantabin Township, Taungoo Division, Bago Region;09-252008184</v>
          </cell>
          <cell r="CB106" t="str">
            <v>3June15: C2 SAR Sub</v>
          </cell>
          <cell r="CC106" t="str">
            <v>Residential</v>
          </cell>
          <cell r="CE106">
            <v>0</v>
          </cell>
          <cell r="CF106">
            <v>42184</v>
          </cell>
          <cell r="CG106">
            <v>42158</v>
          </cell>
          <cell r="CH106">
            <v>42186</v>
          </cell>
          <cell r="CJ106">
            <v>42170</v>
          </cell>
          <cell r="CK106" t="str">
            <v>35</v>
          </cell>
          <cell r="CL106" t="str">
            <v>37</v>
          </cell>
          <cell r="CM106" t="str">
            <v>35</v>
          </cell>
          <cell r="CN106">
            <v>0</v>
          </cell>
          <cell r="CO106">
            <v>42189</v>
          </cell>
          <cell r="CP106">
            <v>42172</v>
          </cell>
          <cell r="CQ106" t="str">
            <v>M1: grid power + battery</v>
          </cell>
          <cell r="CR106">
            <v>0</v>
          </cell>
          <cell r="CS106">
            <v>42190</v>
          </cell>
          <cell r="CT106">
            <v>42173</v>
          </cell>
          <cell r="CU106" t="str">
            <v>BA0769</v>
          </cell>
          <cell r="DH106">
            <v>0</v>
          </cell>
          <cell r="DI106">
            <v>42200</v>
          </cell>
          <cell r="DK106">
            <v>42197</v>
          </cell>
          <cell r="DL106">
            <v>42189</v>
          </cell>
          <cell r="DM106">
            <v>42201</v>
          </cell>
          <cell r="DN106">
            <v>42189</v>
          </cell>
          <cell r="DO106">
            <v>0</v>
          </cell>
          <cell r="DP106">
            <v>42200</v>
          </cell>
          <cell r="DT106">
            <v>0</v>
          </cell>
          <cell r="DU106">
            <v>42215</v>
          </cell>
          <cell r="DW106">
            <v>0</v>
          </cell>
          <cell r="DY106">
            <v>42201</v>
          </cell>
          <cell r="DZ106">
            <v>42181</v>
          </cell>
          <cell r="EA106" t="str">
            <v>IENG</v>
          </cell>
          <cell r="EI106" t="str">
            <v>M5: grid power + DG + battery      </v>
          </cell>
          <cell r="EJ106">
            <v>0</v>
          </cell>
          <cell r="EK106">
            <v>42223</v>
          </cell>
          <cell r="EL106">
            <v>42199</v>
          </cell>
          <cell r="EM106">
            <v>42224</v>
          </cell>
          <cell r="EN106">
            <v>42202</v>
          </cell>
          <cell r="EQ106">
            <v>42236</v>
          </cell>
          <cell r="ER106">
            <v>42209</v>
          </cell>
          <cell r="ES106">
            <v>42206</v>
          </cell>
          <cell r="ET106">
            <v>42212</v>
          </cell>
          <cell r="EU106">
            <v>42212</v>
          </cell>
          <cell r="EW106">
            <v>0</v>
          </cell>
          <cell r="EX106">
            <v>42223</v>
          </cell>
          <cell r="EZ106">
            <v>42246</v>
          </cell>
          <cell r="FA106">
            <v>42208</v>
          </cell>
          <cell r="FB106">
            <v>42248</v>
          </cell>
          <cell r="FC106">
            <v>42214</v>
          </cell>
          <cell r="FE106">
            <v>42193</v>
          </cell>
          <cell r="FU106">
            <v>42250</v>
          </cell>
          <cell r="FW106">
            <v>42250</v>
          </cell>
          <cell r="FX106">
            <v>42214</v>
          </cell>
          <cell r="FY106" t="str">
            <v>UT</v>
          </cell>
          <cell r="FZ106">
            <v>42201</v>
          </cell>
          <cell r="GA106">
            <v>42205</v>
          </cell>
          <cell r="GB106">
            <v>42207</v>
          </cell>
          <cell r="GC106">
            <v>42215</v>
          </cell>
          <cell r="GD106">
            <v>42215</v>
          </cell>
          <cell r="GE106">
            <v>42207</v>
          </cell>
          <cell r="GF106">
            <v>42216</v>
          </cell>
          <cell r="GG106">
            <v>42216</v>
          </cell>
          <cell r="GH106">
            <v>42216</v>
          </cell>
          <cell r="GI106">
            <v>42216</v>
          </cell>
          <cell r="GJ106">
            <v>0</v>
          </cell>
          <cell r="GK106">
            <v>42216</v>
          </cell>
          <cell r="GN106" t="str">
            <v xml:space="preserve">ERICSSON </v>
          </cell>
          <cell r="GP106">
            <v>42206</v>
          </cell>
          <cell r="GS106" t="str">
            <v>4/4/4</v>
          </cell>
          <cell r="GU106" t="str">
            <v xml:space="preserve">		</v>
          </cell>
          <cell r="HD106">
            <v>1</v>
          </cell>
        </row>
        <row r="107">
          <cell r="A107" t="str">
            <v>BA0771</v>
          </cell>
          <cell r="B107" t="str">
            <v>ACBA_0157</v>
          </cell>
          <cell r="C107" t="str">
            <v>Apollo</v>
          </cell>
          <cell r="D107" t="str">
            <v>Emilio Ruiz</v>
          </cell>
          <cell r="F107" t="str">
            <v>Phyo Wai Maung</v>
          </cell>
          <cell r="G107" t="str">
            <v>Cho Yee Thaung</v>
          </cell>
          <cell r="H107" t="str">
            <v>YELLOW</v>
          </cell>
          <cell r="I107" t="str">
            <v>South</v>
          </cell>
          <cell r="J107" t="str">
            <v>95.7868</v>
          </cell>
          <cell r="K107" t="str">
            <v>17.7888</v>
          </cell>
          <cell r="L107" t="str">
            <v>Rural</v>
          </cell>
          <cell r="M107" t="str">
            <v>Bago West</v>
          </cell>
          <cell r="N107" t="str">
            <v>Letpadan</v>
          </cell>
          <cell r="O107" t="str">
            <v>Letpadan</v>
          </cell>
          <cell r="P107" t="str">
            <v>Bago West</v>
          </cell>
          <cell r="Q107" t="str">
            <v>20</v>
          </cell>
          <cell r="R107" t="str">
            <v>Letpadan</v>
          </cell>
          <cell r="S107" t="str">
            <v>110</v>
          </cell>
          <cell r="T107" t="str">
            <v>GSM+UMTS</v>
          </cell>
          <cell r="W107" t="str">
            <v>Ph2-Priority</v>
          </cell>
          <cell r="X107" t="str">
            <v>45</v>
          </cell>
          <cell r="Y107" t="str">
            <v>47</v>
          </cell>
          <cell r="Z107" t="str">
            <v>GBT</v>
          </cell>
          <cell r="AA107" t="str">
            <v>500</v>
          </cell>
          <cell r="AB107" t="str">
            <v>Access</v>
          </cell>
          <cell r="AC107" t="str">
            <v>Class C</v>
          </cell>
          <cell r="BE107" t="str">
            <v>Route 1 Yangon - Mandalay</v>
          </cell>
          <cell r="BH107" t="str">
            <v>IENG</v>
          </cell>
          <cell r="BJ107">
            <v>42144</v>
          </cell>
          <cell r="BK107">
            <v>42127</v>
          </cell>
          <cell r="BL107">
            <v>42149</v>
          </cell>
          <cell r="BM107">
            <v>42134</v>
          </cell>
          <cell r="BT107">
            <v>17</v>
          </cell>
          <cell r="BU107">
            <v>42241</v>
          </cell>
          <cell r="BV107">
            <v>42144</v>
          </cell>
          <cell r="BW107" t="str">
            <v>95.78694</v>
          </cell>
          <cell r="BX107" t="str">
            <v>17.78942</v>
          </cell>
          <cell r="BY107" t="str">
            <v>C1</v>
          </cell>
          <cell r="BZ107" t="str">
            <v>No.30,Shwe Naung Pin village,Gyobinsakan,Letpadan.</v>
          </cell>
          <cell r="CA107" t="str">
            <v>U Thaung Soe;Shwe Nyaung Pin Village,No(30)Gyobinsakan Group,Letpadan Township;09-452336413</v>
          </cell>
          <cell r="CB107" t="str">
            <v>20May15: C1 SAR Sub</v>
          </cell>
          <cell r="CC107" t="str">
            <v>Garden Land</v>
          </cell>
          <cell r="CE107">
            <v>1</v>
          </cell>
          <cell r="CF107">
            <v>42242</v>
          </cell>
          <cell r="CG107">
            <v>42145</v>
          </cell>
          <cell r="CH107">
            <v>42244</v>
          </cell>
          <cell r="CJ107">
            <v>42148</v>
          </cell>
          <cell r="CK107" t="str">
            <v>45</v>
          </cell>
          <cell r="CL107" t="str">
            <v>47</v>
          </cell>
          <cell r="CM107" t="str">
            <v>50</v>
          </cell>
          <cell r="CN107">
            <v>5</v>
          </cell>
          <cell r="CO107">
            <v>42247</v>
          </cell>
          <cell r="CP107">
            <v>42150</v>
          </cell>
          <cell r="CQ107" t="str">
            <v>M4: solar + DG + battery</v>
          </cell>
          <cell r="CR107">
            <v>1</v>
          </cell>
          <cell r="CS107">
            <v>42248</v>
          </cell>
          <cell r="CT107">
            <v>42151</v>
          </cell>
          <cell r="CU107" t="str">
            <v>BA0771</v>
          </cell>
          <cell r="DH107">
            <v>14</v>
          </cell>
          <cell r="DI107">
            <v>42258</v>
          </cell>
          <cell r="DJ107">
            <v>42165</v>
          </cell>
          <cell r="DK107">
            <v>42255</v>
          </cell>
          <cell r="DL107">
            <v>42172</v>
          </cell>
          <cell r="DM107">
            <v>42259</v>
          </cell>
          <cell r="DN107">
            <v>42172</v>
          </cell>
          <cell r="DO107">
            <v>0</v>
          </cell>
          <cell r="DP107">
            <v>42258</v>
          </cell>
          <cell r="DQ107">
            <v>42165</v>
          </cell>
          <cell r="DT107">
            <v>68</v>
          </cell>
          <cell r="DU107">
            <v>42273</v>
          </cell>
          <cell r="DW107">
            <v>0</v>
          </cell>
          <cell r="DY107">
            <v>42259</v>
          </cell>
          <cell r="DZ107">
            <v>42171</v>
          </cell>
          <cell r="EA107" t="str">
            <v>IEng</v>
          </cell>
          <cell r="EB107">
            <v>42213</v>
          </cell>
          <cell r="ED107" t="str">
            <v>30Jul15 :ChoYee.Thaung: 30/7/15 : backfilling done, tower erection will start tomorrow, prepare formwork and steel cutting for equ pad_x000D_
23/7/15 : Pedestal casted done (22/7/15)_x000D_
14/7/15 : Anchor bolt, nut and template install and setting done
13Jul15 :ChoYee.Thaung: 10/7/15 : Rebar work done, footing will cast today_x000D_
2/7/15 :  tomorrow will do lean concrete_x000D_
1/7/15 :  Pump on going ooze water and soil disposal from Excavated hole
24Jun15 :ChoYee.Thaung: 23/6/15 : Excavation done, Remove water and leveling from Excavated hole _x000D_
19/6/15 : Excavation on going</v>
          </cell>
          <cell r="EE107" t="str">
            <v xml:space="preserve">10 Aug 15:Flood affected_Hold-No access; 28-Jul-15:Area is flooded, Lease &amp; Ownership Pending,NOC								</v>
          </cell>
          <cell r="EF107" t="str">
            <v>The Sun Circle</v>
          </cell>
          <cell r="EJ107">
            <v>35</v>
          </cell>
          <cell r="EK107">
            <v>42276</v>
          </cell>
          <cell r="EL107">
            <v>42206</v>
          </cell>
          <cell r="EM107">
            <v>42277</v>
          </cell>
          <cell r="EN107">
            <v>42212</v>
          </cell>
          <cell r="EQ107">
            <v>42286</v>
          </cell>
          <cell r="ER107">
            <v>42233</v>
          </cell>
          <cell r="ES107">
            <v>42234</v>
          </cell>
          <cell r="ET107">
            <v>42236</v>
          </cell>
          <cell r="EU107">
            <v>42236</v>
          </cell>
          <cell r="EW107">
            <v>62</v>
          </cell>
          <cell r="EX107">
            <v>42289</v>
          </cell>
          <cell r="EZ107">
            <v>42296</v>
          </cell>
          <cell r="FA107">
            <v>42237</v>
          </cell>
          <cell r="FB107">
            <v>42298</v>
          </cell>
          <cell r="FC107">
            <v>42241</v>
          </cell>
          <cell r="FE107">
            <v>42193</v>
          </cell>
          <cell r="FU107">
            <v>42300</v>
          </cell>
          <cell r="FW107">
            <v>42300</v>
          </cell>
          <cell r="FX107">
            <v>42241</v>
          </cell>
          <cell r="FY107" t="str">
            <v>ABC</v>
          </cell>
          <cell r="FZ107">
            <v>42214</v>
          </cell>
          <cell r="GA107">
            <v>42215</v>
          </cell>
          <cell r="GB107">
            <v>42219</v>
          </cell>
          <cell r="GC107">
            <v>42240</v>
          </cell>
          <cell r="GD107">
            <v>42240</v>
          </cell>
          <cell r="GE107">
            <v>42219</v>
          </cell>
          <cell r="GF107">
            <v>42240</v>
          </cell>
          <cell r="GG107">
            <v>42240</v>
          </cell>
          <cell r="GH107">
            <v>42240</v>
          </cell>
          <cell r="GI107">
            <v>42246</v>
          </cell>
          <cell r="GJ107" t="str">
            <v>36-2015</v>
          </cell>
          <cell r="GK107">
            <v>42242</v>
          </cell>
          <cell r="GN107" t="str">
            <v xml:space="preserve">ERICSSON </v>
          </cell>
          <cell r="GO107">
            <v>42152</v>
          </cell>
          <cell r="GP107">
            <v>42178</v>
          </cell>
          <cell r="GU107" t="str">
            <v xml:space="preserve">		</v>
          </cell>
          <cell r="HD107">
            <v>1</v>
          </cell>
        </row>
        <row r="108">
          <cell r="A108" t="str">
            <v>BA0776</v>
          </cell>
          <cell r="B108" t="str">
            <v>ACBA_0158</v>
          </cell>
          <cell r="C108" t="str">
            <v>Apollo</v>
          </cell>
          <cell r="D108" t="str">
            <v>Robert</v>
          </cell>
          <cell r="F108" t="str">
            <v>Phyo Wai Maung</v>
          </cell>
          <cell r="G108" t="str">
            <v>Paing Thu Soe</v>
          </cell>
          <cell r="H108" t="str">
            <v>AMBER</v>
          </cell>
          <cell r="I108" t="str">
            <v>South</v>
          </cell>
          <cell r="J108" t="str">
            <v>96.5903</v>
          </cell>
          <cell r="K108" t="str">
            <v>18.1872</v>
          </cell>
          <cell r="L108" t="str">
            <v>Rural</v>
          </cell>
          <cell r="M108" t="str">
            <v>Bago East</v>
          </cell>
          <cell r="N108" t="str">
            <v>Kyauktaga</v>
          </cell>
          <cell r="O108" t="str">
            <v>Kyauktaga</v>
          </cell>
          <cell r="P108" t="str">
            <v>Bago East</v>
          </cell>
          <cell r="Q108" t="str">
            <v>19</v>
          </cell>
          <cell r="R108" t="str">
            <v>Kyauktaga</v>
          </cell>
          <cell r="S108" t="str">
            <v>94</v>
          </cell>
          <cell r="T108" t="str">
            <v>GSM+UMTS</v>
          </cell>
          <cell r="W108" t="str">
            <v>Ph2-Priority</v>
          </cell>
          <cell r="X108" t="str">
            <v>45</v>
          </cell>
          <cell r="Y108" t="str">
            <v>47</v>
          </cell>
          <cell r="Z108" t="str">
            <v>GBT</v>
          </cell>
          <cell r="AA108" t="str">
            <v>500</v>
          </cell>
          <cell r="AB108" t="str">
            <v>Access</v>
          </cell>
          <cell r="AC108" t="str">
            <v>Class C</v>
          </cell>
          <cell r="BE108" t="str">
            <v>Route 7 Bago - Pyawbwe</v>
          </cell>
          <cell r="BH108" t="str">
            <v>Leadcom</v>
          </cell>
          <cell r="BJ108">
            <v>42167</v>
          </cell>
          <cell r="BK108">
            <v>42168</v>
          </cell>
          <cell r="BL108">
            <v>42172</v>
          </cell>
          <cell r="BM108">
            <v>42175</v>
          </cell>
          <cell r="BT108">
            <v>20</v>
          </cell>
          <cell r="BU108">
            <v>42164</v>
          </cell>
          <cell r="BV108">
            <v>42188</v>
          </cell>
          <cell r="BW108" t="str">
            <v>96.58766</v>
          </cell>
          <cell r="BX108" t="str">
            <v>18.18482</v>
          </cell>
          <cell r="BY108" t="str">
            <v>C1</v>
          </cell>
          <cell r="BZ108" t="str">
            <v>Field No(54A),U Paing 22A,ChaukTaYar Village,Kyauk Ta Gar Tsp,Bago</v>
          </cell>
          <cell r="CA108" t="str">
            <v>Daw Yin Nwe,09-428038324 , 09-428038307</v>
          </cell>
          <cell r="CB108" t="str">
            <v>18 Aug 15 : C1 TSSR and SAR rev 1 app;20 July 15:C1-SAR Submission</v>
          </cell>
          <cell r="CC108" t="str">
            <v>VILLAGE LAND</v>
          </cell>
          <cell r="CE108">
            <v>4</v>
          </cell>
          <cell r="CF108">
            <v>42165</v>
          </cell>
          <cell r="CG108">
            <v>42192</v>
          </cell>
          <cell r="CH108">
            <v>42167</v>
          </cell>
          <cell r="CJ108">
            <v>42198</v>
          </cell>
          <cell r="CK108" t="str">
            <v>45</v>
          </cell>
          <cell r="CL108" t="str">
            <v>47</v>
          </cell>
          <cell r="CM108" t="str">
            <v>50</v>
          </cell>
          <cell r="CN108">
            <v>8</v>
          </cell>
          <cell r="CO108">
            <v>42170</v>
          </cell>
          <cell r="CP108">
            <v>42200</v>
          </cell>
          <cell r="CQ108" t="str">
            <v>M1: grid power + battery</v>
          </cell>
          <cell r="CR108">
            <v>1</v>
          </cell>
          <cell r="CS108">
            <v>42171</v>
          </cell>
          <cell r="CT108">
            <v>42201</v>
          </cell>
          <cell r="CU108" t="str">
            <v>BA0776</v>
          </cell>
          <cell r="DH108">
            <v>1</v>
          </cell>
          <cell r="DI108">
            <v>42181</v>
          </cell>
          <cell r="DJ108">
            <v>42202</v>
          </cell>
          <cell r="DK108">
            <v>42178</v>
          </cell>
          <cell r="DL108">
            <v>42242</v>
          </cell>
          <cell r="DM108">
            <v>42182</v>
          </cell>
          <cell r="DN108">
            <v>42212</v>
          </cell>
          <cell r="DO108">
            <v>0</v>
          </cell>
          <cell r="DP108">
            <v>42181</v>
          </cell>
          <cell r="DQ108">
            <v>42202</v>
          </cell>
          <cell r="DT108">
            <v>31</v>
          </cell>
          <cell r="DU108">
            <v>42196</v>
          </cell>
          <cell r="DW108">
            <v>0</v>
          </cell>
          <cell r="DY108">
            <v>42182</v>
          </cell>
          <cell r="DZ108">
            <v>42209</v>
          </cell>
          <cell r="EA108" t="str">
            <v>Leadcom</v>
          </cell>
          <cell r="EJ108">
            <v>24</v>
          </cell>
          <cell r="EK108">
            <v>42199</v>
          </cell>
          <cell r="EL108">
            <v>42237</v>
          </cell>
          <cell r="EM108">
            <v>42200</v>
          </cell>
          <cell r="EQ108">
            <v>42209</v>
          </cell>
          <cell r="ES108">
            <v>42247</v>
          </cell>
          <cell r="EW108">
            <v>24</v>
          </cell>
          <cell r="EX108">
            <v>42223</v>
          </cell>
          <cell r="EZ108">
            <v>42219</v>
          </cell>
          <cell r="FB108">
            <v>42221</v>
          </cell>
          <cell r="FU108">
            <v>42223</v>
          </cell>
          <cell r="FW108">
            <v>42223</v>
          </cell>
          <cell r="GI108">
            <v>42307</v>
          </cell>
          <cell r="GJ108" t="str">
            <v>44-2015</v>
          </cell>
          <cell r="GN108" t="str">
            <v>ERICSSON</v>
          </cell>
          <cell r="GO108">
            <v>42200</v>
          </cell>
          <cell r="GU108" t="str">
            <v xml:space="preserve">		</v>
          </cell>
          <cell r="HD108">
            <v>1</v>
          </cell>
        </row>
        <row r="109">
          <cell r="A109" t="str">
            <v>BA0781</v>
          </cell>
          <cell r="B109" t="str">
            <v>ACBA_0159</v>
          </cell>
          <cell r="C109" t="str">
            <v>Apollo</v>
          </cell>
          <cell r="D109" t="str">
            <v>Chris Thomson</v>
          </cell>
          <cell r="F109" t="str">
            <v>Phyo Wai Maung</v>
          </cell>
          <cell r="G109" t="str">
            <v>Cho Yee Thaung</v>
          </cell>
          <cell r="H109" t="str">
            <v>RED</v>
          </cell>
          <cell r="I109" t="str">
            <v>South</v>
          </cell>
          <cell r="J109" t="str">
            <v>95.5491</v>
          </cell>
          <cell r="K109" t="str">
            <v>18.4837</v>
          </cell>
          <cell r="L109" t="str">
            <v>Rural</v>
          </cell>
          <cell r="M109" t="str">
            <v>Bago West</v>
          </cell>
          <cell r="N109" t="str">
            <v>Paungde</v>
          </cell>
          <cell r="O109" t="str">
            <v>Paungde</v>
          </cell>
          <cell r="P109" t="str">
            <v>Bago West</v>
          </cell>
          <cell r="Q109" t="str">
            <v>20</v>
          </cell>
          <cell r="R109" t="str">
            <v>Paungde</v>
          </cell>
          <cell r="S109" t="str">
            <v>106</v>
          </cell>
          <cell r="T109" t="str">
            <v>GSM+UMTS</v>
          </cell>
          <cell r="W109" t="str">
            <v>Ph2-Priority</v>
          </cell>
          <cell r="X109" t="str">
            <v>45</v>
          </cell>
          <cell r="Y109" t="str">
            <v>47</v>
          </cell>
          <cell r="Z109" t="str">
            <v>GBT</v>
          </cell>
          <cell r="AA109" t="str">
            <v>500</v>
          </cell>
          <cell r="AB109" t="str">
            <v>Access</v>
          </cell>
          <cell r="AC109" t="str">
            <v>Class C</v>
          </cell>
          <cell r="BE109" t="str">
            <v>Route 1 Yangon - Mandalay</v>
          </cell>
          <cell r="BH109" t="str">
            <v>IENG</v>
          </cell>
          <cell r="BJ109">
            <v>42124</v>
          </cell>
          <cell r="BK109">
            <v>42121</v>
          </cell>
          <cell r="BL109">
            <v>42129</v>
          </cell>
          <cell r="BM109">
            <v>42121</v>
          </cell>
          <cell r="BT109">
            <v>57</v>
          </cell>
          <cell r="BU109">
            <v>42134</v>
          </cell>
          <cell r="BV109">
            <v>42178</v>
          </cell>
          <cell r="BW109" t="str">
            <v>95.55304</v>
          </cell>
          <cell r="BX109" t="str">
            <v>18.48391</v>
          </cell>
          <cell r="BY109" t="str">
            <v>C4</v>
          </cell>
          <cell r="BZ109" t="str">
            <v>Tha Pyay Gyi Village, Paungde Townshiip, Bago Division</v>
          </cell>
          <cell r="CA109" t="str">
            <v>U Myo Lwin 09 33478429</v>
          </cell>
          <cell r="CB109" t="str">
            <v>7May15: C1 SAR Sub</v>
          </cell>
          <cell r="CC109" t="str">
            <v>Garden Land</v>
          </cell>
          <cell r="CE109">
            <v>1</v>
          </cell>
          <cell r="CF109">
            <v>42135</v>
          </cell>
          <cell r="CG109">
            <v>42179</v>
          </cell>
          <cell r="CH109">
            <v>42160</v>
          </cell>
          <cell r="CJ109">
            <v>42203</v>
          </cell>
          <cell r="CK109" t="str">
            <v>45</v>
          </cell>
          <cell r="CL109" t="str">
            <v>47</v>
          </cell>
          <cell r="CM109" t="str">
            <v>60</v>
          </cell>
          <cell r="CN109">
            <v>26</v>
          </cell>
          <cell r="CO109">
            <v>42163</v>
          </cell>
          <cell r="CP109">
            <v>42205</v>
          </cell>
          <cell r="CQ109" t="str">
            <v>M4: solar + DG + battery</v>
          </cell>
          <cell r="CR109">
            <v>2</v>
          </cell>
          <cell r="CS109">
            <v>42164</v>
          </cell>
          <cell r="CT109">
            <v>42207</v>
          </cell>
          <cell r="CU109" t="str">
            <v>BA0781</v>
          </cell>
          <cell r="DH109">
            <v>26</v>
          </cell>
          <cell r="DI109">
            <v>42174</v>
          </cell>
          <cell r="DK109">
            <v>42171</v>
          </cell>
          <cell r="DL109">
            <v>42242</v>
          </cell>
          <cell r="DM109">
            <v>42175</v>
          </cell>
          <cell r="DN109">
            <v>42180</v>
          </cell>
          <cell r="DO109">
            <v>0</v>
          </cell>
          <cell r="DP109">
            <v>42174</v>
          </cell>
          <cell r="DT109">
            <v>0</v>
          </cell>
          <cell r="DU109">
            <v>42189</v>
          </cell>
          <cell r="DW109">
            <v>0</v>
          </cell>
          <cell r="DY109">
            <v>42175</v>
          </cell>
          <cell r="DZ109">
            <v>42240</v>
          </cell>
          <cell r="EA109" t="str">
            <v>IENG</v>
          </cell>
          <cell r="ED109" t="str">
            <v>10Aug15 :PaingThu.Soe: 7-8-15 Site On Air at 25.7.15.Fencing and Backfilling making in progress.
03Aug15 :PaingThu.Soe: 29-7-15 Site On Air at 25.7.15.
13Jul15 :PaingThu.Soe: 13-7-15 Column done.Backfilling done.Tower on site.Equipment pad making.
06Jul15 :PaingThu.Soe: Column done.Backfilling done.Waiting tower material delivery.
29Jun15 :PaingThu.Soe: Lean done.Rebar done.Footing done.Form work done.
22Jun15 :PaingThu.Soe: 18-6-15 Excavation done.</v>
          </cell>
          <cell r="EJ109">
            <v>0</v>
          </cell>
          <cell r="EK109">
            <v>42197</v>
          </cell>
          <cell r="EL109">
            <v>42186</v>
          </cell>
          <cell r="EM109">
            <v>42198</v>
          </cell>
          <cell r="EN109">
            <v>42198</v>
          </cell>
          <cell r="EQ109">
            <v>42210</v>
          </cell>
          <cell r="ER109">
            <v>42205</v>
          </cell>
          <cell r="ES109">
            <v>42199</v>
          </cell>
          <cell r="ET109">
            <v>42208</v>
          </cell>
          <cell r="EU109">
            <v>42208</v>
          </cell>
          <cell r="EW109">
            <v>0</v>
          </cell>
          <cell r="EX109">
            <v>42224</v>
          </cell>
          <cell r="EZ109">
            <v>42220</v>
          </cell>
          <cell r="FA109">
            <v>42207</v>
          </cell>
          <cell r="FB109">
            <v>42222</v>
          </cell>
          <cell r="FC109">
            <v>42209</v>
          </cell>
          <cell r="FE109">
            <v>42193</v>
          </cell>
          <cell r="FU109">
            <v>42224</v>
          </cell>
          <cell r="FW109">
            <v>42224</v>
          </cell>
          <cell r="FX109">
            <v>42211</v>
          </cell>
          <cell r="FY109" t="str">
            <v>AZM</v>
          </cell>
          <cell r="FZ109">
            <v>42199</v>
          </cell>
          <cell r="GA109">
            <v>42201</v>
          </cell>
          <cell r="GB109">
            <v>42201</v>
          </cell>
          <cell r="GC109">
            <v>42208</v>
          </cell>
          <cell r="GD109">
            <v>42208</v>
          </cell>
          <cell r="GE109">
            <v>42201</v>
          </cell>
          <cell r="GF109">
            <v>42201</v>
          </cell>
          <cell r="GG109">
            <v>42209</v>
          </cell>
          <cell r="GH109">
            <v>42210</v>
          </cell>
          <cell r="GI109">
            <v>42216</v>
          </cell>
          <cell r="GJ109">
            <v>0</v>
          </cell>
          <cell r="GK109">
            <v>42210</v>
          </cell>
          <cell r="GN109" t="str">
            <v xml:space="preserve">ERICSSON </v>
          </cell>
          <cell r="GO109">
            <v>42151</v>
          </cell>
          <cell r="GP109">
            <v>42186</v>
          </cell>
          <cell r="GU109" t="str">
            <v xml:space="preserve">		</v>
          </cell>
          <cell r="HD109">
            <v>1</v>
          </cell>
        </row>
        <row r="110">
          <cell r="A110" t="str">
            <v>BA0782</v>
          </cell>
          <cell r="B110" t="str">
            <v>ACBA_0160</v>
          </cell>
          <cell r="C110" t="str">
            <v>Apollo</v>
          </cell>
          <cell r="D110" t="str">
            <v>Chris Thomson</v>
          </cell>
          <cell r="F110" t="str">
            <v>Phyo Wai Maung</v>
          </cell>
          <cell r="G110" t="str">
            <v>Cho Yee Thaung</v>
          </cell>
          <cell r="H110" t="str">
            <v>YELLOW</v>
          </cell>
          <cell r="I110" t="str">
            <v>South</v>
          </cell>
          <cell r="J110" t="str">
            <v>95.518</v>
          </cell>
          <cell r="K110" t="str">
            <v>18.4484</v>
          </cell>
          <cell r="L110" t="str">
            <v>SubUrban</v>
          </cell>
          <cell r="M110" t="str">
            <v>Bago West</v>
          </cell>
          <cell r="N110" t="str">
            <v>Paungde</v>
          </cell>
          <cell r="O110" t="str">
            <v>Paungde</v>
          </cell>
          <cell r="P110" t="str">
            <v>Bago West</v>
          </cell>
          <cell r="Q110" t="str">
            <v>20</v>
          </cell>
          <cell r="R110" t="str">
            <v>Paungde</v>
          </cell>
          <cell r="S110" t="str">
            <v>106</v>
          </cell>
          <cell r="T110" t="str">
            <v>GSM+UMTS</v>
          </cell>
          <cell r="W110" t="str">
            <v>Ph2-Priority</v>
          </cell>
          <cell r="X110" t="str">
            <v>35</v>
          </cell>
          <cell r="Y110" t="str">
            <v>37</v>
          </cell>
          <cell r="Z110" t="str">
            <v>GBT</v>
          </cell>
          <cell r="AA110" t="str">
            <v>250</v>
          </cell>
          <cell r="AB110" t="str">
            <v>Access</v>
          </cell>
          <cell r="AC110" t="str">
            <v>Class B</v>
          </cell>
          <cell r="BE110" t="str">
            <v>Route 1 Yangon - Mandalay</v>
          </cell>
          <cell r="BH110" t="str">
            <v>IENG</v>
          </cell>
          <cell r="BJ110">
            <v>42124</v>
          </cell>
          <cell r="BK110">
            <v>42121</v>
          </cell>
          <cell r="BL110">
            <v>42129</v>
          </cell>
          <cell r="BM110">
            <v>42121</v>
          </cell>
          <cell r="BT110">
            <v>10</v>
          </cell>
          <cell r="BU110">
            <v>42134</v>
          </cell>
          <cell r="BV110">
            <v>42131</v>
          </cell>
          <cell r="BW110" t="str">
            <v>95.51819</v>
          </cell>
          <cell r="BX110" t="str">
            <v>18.44927</v>
          </cell>
          <cell r="BY110" t="str">
            <v>C1</v>
          </cell>
          <cell r="BZ110" t="str">
            <v>No.61, KhotKoKone village, MaKyeePin .</v>
          </cell>
          <cell r="CA110" t="str">
            <v>U Chit Han;No.61, KhotKoKone village, MaKyeePin village group, PaungDe township;09971721058, 09976879572</v>
          </cell>
          <cell r="CB110" t="str">
            <v>13 Aug 15 : C1 TSSR updated checklist given from E// because of changing link up sites information but the actual antenna height didn't change;7May15: C1 SAR Sub</v>
          </cell>
          <cell r="CC110" t="str">
            <v>Farm Land</v>
          </cell>
          <cell r="CE110">
            <v>5</v>
          </cell>
          <cell r="CF110">
            <v>42135</v>
          </cell>
          <cell r="CG110">
            <v>42136</v>
          </cell>
          <cell r="CH110">
            <v>42165</v>
          </cell>
          <cell r="CJ110">
            <v>42168</v>
          </cell>
          <cell r="CK110" t="str">
            <v>35</v>
          </cell>
          <cell r="CL110" t="str">
            <v>37</v>
          </cell>
          <cell r="CM110" t="str">
            <v>45</v>
          </cell>
          <cell r="CN110">
            <v>34</v>
          </cell>
          <cell r="CO110">
            <v>42168</v>
          </cell>
          <cell r="CP110">
            <v>42170</v>
          </cell>
          <cell r="CQ110" t="str">
            <v>M1: grid power + battery</v>
          </cell>
          <cell r="CR110">
            <v>1</v>
          </cell>
          <cell r="CS110">
            <v>42169</v>
          </cell>
          <cell r="CT110">
            <v>42171</v>
          </cell>
          <cell r="CU110" t="str">
            <v>BA0782</v>
          </cell>
          <cell r="DH110">
            <v>62</v>
          </cell>
          <cell r="DI110">
            <v>42179</v>
          </cell>
          <cell r="DJ110">
            <v>42150</v>
          </cell>
          <cell r="DK110">
            <v>42176</v>
          </cell>
          <cell r="DL110">
            <v>42182</v>
          </cell>
          <cell r="DM110">
            <v>42180</v>
          </cell>
          <cell r="DN110">
            <v>42186</v>
          </cell>
          <cell r="DO110">
            <v>0</v>
          </cell>
          <cell r="DP110">
            <v>42179</v>
          </cell>
          <cell r="DQ110">
            <v>42150</v>
          </cell>
          <cell r="DT110">
            <v>0</v>
          </cell>
          <cell r="DU110">
            <v>42194</v>
          </cell>
          <cell r="DW110">
            <v>0</v>
          </cell>
          <cell r="DY110">
            <v>42180</v>
          </cell>
          <cell r="DZ110">
            <v>42187</v>
          </cell>
          <cell r="EA110" t="str">
            <v>IENG</v>
          </cell>
          <cell r="ED110" t="str">
            <v>20Jul15 :Thiha.Kyaw: 17-7-15 Site on air .
13Jul15 :Thiha.Kyaw: 10-7-15 Telecom instllation in progress, Fencing making in progress.
06Jul15 :Thiha.Kyaw: 6-7-15 Tower erection in progress. Power on site.
06Jul15 :Thiha.Kyaw: 6-7-15 Tower erection in progress. Power on site.
26Jun15 :Thiha.Kyaw: 26-6-15 Tower erection in progress.
22Jun15 :Thiha.Kyaw: 22-6-15 Back filling Done. Equipment pad making in progress. Tower on site.
12Jun15 :Thiha.Kyaw: 12-6-15Footing making in progress.</v>
          </cell>
          <cell r="EE110" t="str">
            <v xml:space="preserve">10 Aug 15:Rain affected_Progress affected; 4-Aug-15: ACCESS PROBLEM IF CONTINUOUS RAIN (DIRT ROAD),tower pedestal casted, on going backfilling								</v>
          </cell>
          <cell r="EI110" t="str">
            <v>M5: grid power + DG + battery      </v>
          </cell>
          <cell r="EJ110">
            <v>34</v>
          </cell>
          <cell r="EK110">
            <v>42197</v>
          </cell>
          <cell r="EL110">
            <v>42221</v>
          </cell>
          <cell r="EM110">
            <v>42198</v>
          </cell>
          <cell r="EN110">
            <v>42227</v>
          </cell>
          <cell r="EQ110">
            <v>42207</v>
          </cell>
          <cell r="ER110">
            <v>42236</v>
          </cell>
          <cell r="ES110">
            <v>42236</v>
          </cell>
          <cell r="ET110">
            <v>42240</v>
          </cell>
          <cell r="EU110">
            <v>42240</v>
          </cell>
          <cell r="EW110">
            <v>46</v>
          </cell>
          <cell r="EX110">
            <v>42216</v>
          </cell>
          <cell r="EY110">
            <v>42201</v>
          </cell>
          <cell r="EZ110">
            <v>42217</v>
          </cell>
          <cell r="FA110">
            <v>42241</v>
          </cell>
          <cell r="FB110">
            <v>42219</v>
          </cell>
          <cell r="FC110">
            <v>42242</v>
          </cell>
          <cell r="FE110">
            <v>42160</v>
          </cell>
          <cell r="FG110">
            <v>42165</v>
          </cell>
          <cell r="FU110">
            <v>42221</v>
          </cell>
          <cell r="FV110">
            <v>42202</v>
          </cell>
          <cell r="FW110">
            <v>42221</v>
          </cell>
          <cell r="FX110">
            <v>42242</v>
          </cell>
          <cell r="FY110" t="str">
            <v>TN</v>
          </cell>
          <cell r="FZ110">
            <v>42228</v>
          </cell>
          <cell r="GA110">
            <v>42232</v>
          </cell>
          <cell r="GB110">
            <v>42242</v>
          </cell>
          <cell r="GC110">
            <v>42242</v>
          </cell>
          <cell r="GD110">
            <v>42242</v>
          </cell>
          <cell r="GE110">
            <v>42243</v>
          </cell>
          <cell r="GF110">
            <v>42243</v>
          </cell>
          <cell r="GG110">
            <v>42243</v>
          </cell>
          <cell r="GH110">
            <v>42243</v>
          </cell>
          <cell r="GI110">
            <v>42246</v>
          </cell>
          <cell r="GJ110" t="str">
            <v>40-2015</v>
          </cell>
          <cell r="GK110">
            <v>42243</v>
          </cell>
          <cell r="GL110" t="str">
            <v xml:space="preserve">Equipment Required :: </v>
          </cell>
          <cell r="GN110" t="str">
            <v xml:space="preserve">ERICSSON </v>
          </cell>
          <cell r="GO110">
            <v>42151</v>
          </cell>
          <cell r="GP110">
            <v>42198</v>
          </cell>
          <cell r="GQ110" t="str">
            <v xml:space="preserve">Equipment Not Delivered; </v>
          </cell>
          <cell r="GS110" t="str">
            <v>4/4/4</v>
          </cell>
          <cell r="GU110" t="str">
            <v xml:space="preserve">		</v>
          </cell>
          <cell r="HD110">
            <v>1</v>
          </cell>
        </row>
        <row r="111">
          <cell r="A111" t="str">
            <v>BA0783</v>
          </cell>
          <cell r="B111" t="str">
            <v>ACBA_0161</v>
          </cell>
          <cell r="C111" t="str">
            <v>Apollo</v>
          </cell>
          <cell r="D111" t="str">
            <v>Chris Thomson</v>
          </cell>
          <cell r="F111" t="str">
            <v>Phyo Wai Maung</v>
          </cell>
          <cell r="G111" t="str">
            <v>Cho Yee Thaung</v>
          </cell>
          <cell r="H111" t="str">
            <v>RED</v>
          </cell>
          <cell r="I111" t="str">
            <v>South</v>
          </cell>
          <cell r="J111" t="str">
            <v>95.4725</v>
          </cell>
          <cell r="K111" t="str">
            <v>18.4989</v>
          </cell>
          <cell r="L111" t="str">
            <v>SubUrban</v>
          </cell>
          <cell r="M111" t="str">
            <v>Bago West</v>
          </cell>
          <cell r="N111" t="str">
            <v>Paungde</v>
          </cell>
          <cell r="O111" t="str">
            <v>Paungde</v>
          </cell>
          <cell r="P111" t="str">
            <v>Bago West</v>
          </cell>
          <cell r="Q111" t="str">
            <v>20</v>
          </cell>
          <cell r="R111" t="str">
            <v>Paungde</v>
          </cell>
          <cell r="S111" t="str">
            <v>106</v>
          </cell>
          <cell r="T111" t="str">
            <v>GSM+UMTS</v>
          </cell>
          <cell r="W111" t="str">
            <v>Ph2-Priority</v>
          </cell>
          <cell r="X111" t="str">
            <v>35</v>
          </cell>
          <cell r="Y111" t="str">
            <v>37</v>
          </cell>
          <cell r="Z111" t="str">
            <v>GBT</v>
          </cell>
          <cell r="AA111" t="str">
            <v>250</v>
          </cell>
          <cell r="AB111" t="str">
            <v>Access</v>
          </cell>
          <cell r="AC111" t="str">
            <v>Class B</v>
          </cell>
          <cell r="BE111" t="str">
            <v>Route 1 Yangon - Mandalay</v>
          </cell>
          <cell r="BH111" t="str">
            <v>IENG</v>
          </cell>
          <cell r="BJ111">
            <v>42124</v>
          </cell>
          <cell r="BK111">
            <v>42121</v>
          </cell>
          <cell r="BL111">
            <v>42129</v>
          </cell>
          <cell r="BM111">
            <v>42121</v>
          </cell>
          <cell r="BT111">
            <v>112</v>
          </cell>
          <cell r="BU111">
            <v>42134</v>
          </cell>
          <cell r="BV111">
            <v>42181</v>
          </cell>
          <cell r="BW111" t="str">
            <v>95.667561</v>
          </cell>
          <cell r="BX111" t="str">
            <v>18.127872</v>
          </cell>
          <cell r="BY111" t="str">
            <v>Reject</v>
          </cell>
          <cell r="BZ111" t="str">
            <v>Myo Ma Quarter, Myo Ma (1) street,Okkpho Township,Bago Division.</v>
          </cell>
          <cell r="CA111" t="str">
            <v>Daw Nay Zar Lynn;Myo Ma Quarter, Myo Ma (1) street,Okkpho Township,Bago Division;09-794174299</v>
          </cell>
          <cell r="CB111" t="str">
            <v>13 Aug 15: C1 deactivate because of After legal Validation, site has been rejected due to paddy Land issue;03 Aug 15 : CW start date deleted(Owner rejected, Owner rejected as not ready to apply form 105); 29 Jun 15 : C1 TSSR app;26 Jun 15 : C1 TSSR sub;12 May 15 : C1 SAR app;7May15: C1 SAR Sub</v>
          </cell>
          <cell r="CC111" t="str">
            <v>VILLAGE LAND</v>
          </cell>
          <cell r="CE111">
            <v>0</v>
          </cell>
          <cell r="CF111">
            <v>42135</v>
          </cell>
          <cell r="CG111">
            <v>42184</v>
          </cell>
          <cell r="CH111">
            <v>42165</v>
          </cell>
          <cell r="CJ111">
            <v>42186</v>
          </cell>
          <cell r="CK111" t="str">
            <v>35</v>
          </cell>
          <cell r="CL111" t="str">
            <v>37</v>
          </cell>
          <cell r="CM111" t="str">
            <v>35</v>
          </cell>
          <cell r="CN111">
            <v>0</v>
          </cell>
          <cell r="CO111">
            <v>42168</v>
          </cell>
          <cell r="CP111">
            <v>42188</v>
          </cell>
          <cell r="CQ111" t="str">
            <v>M1: grid power + battery</v>
          </cell>
          <cell r="CR111">
            <v>0</v>
          </cell>
          <cell r="CS111">
            <v>42169</v>
          </cell>
          <cell r="CT111">
            <v>42192</v>
          </cell>
          <cell r="CU111" t="str">
            <v>BA0783</v>
          </cell>
          <cell r="DH111">
            <v>0</v>
          </cell>
          <cell r="DI111">
            <v>42179</v>
          </cell>
          <cell r="DJ111">
            <v>42165</v>
          </cell>
          <cell r="DK111">
            <v>42176</v>
          </cell>
          <cell r="DL111">
            <v>42208</v>
          </cell>
          <cell r="DM111">
            <v>42180</v>
          </cell>
          <cell r="DO111">
            <v>0</v>
          </cell>
          <cell r="DP111">
            <v>42179</v>
          </cell>
          <cell r="DQ111">
            <v>42165</v>
          </cell>
          <cell r="DT111">
            <v>0</v>
          </cell>
          <cell r="DU111">
            <v>42194</v>
          </cell>
          <cell r="DW111">
            <v>0</v>
          </cell>
          <cell r="DY111">
            <v>42180</v>
          </cell>
          <cell r="DZ111">
            <v>42201</v>
          </cell>
          <cell r="EA111" t="str">
            <v>IENG</v>
          </cell>
          <cell r="EB111">
            <v>42216</v>
          </cell>
          <cell r="EE111" t="str">
            <v xml:space="preserve">10 Aug 15:Flood affected_Hold-No access; 31-Jul-15:  Site &amp; Area is flooded.								</v>
          </cell>
          <cell r="EJ111">
            <v>0</v>
          </cell>
          <cell r="EK111">
            <v>42197</v>
          </cell>
          <cell r="EM111">
            <v>42198</v>
          </cell>
          <cell r="EQ111">
            <v>42207</v>
          </cell>
          <cell r="EW111">
            <v>0</v>
          </cell>
          <cell r="EX111">
            <v>42216</v>
          </cell>
          <cell r="EZ111">
            <v>42217</v>
          </cell>
          <cell r="FB111">
            <v>42219</v>
          </cell>
          <cell r="FU111">
            <v>42221</v>
          </cell>
          <cell r="FW111">
            <v>42221</v>
          </cell>
          <cell r="GJ111">
            <v>0</v>
          </cell>
          <cell r="GN111" t="str">
            <v>ERICSSON</v>
          </cell>
          <cell r="GO111">
            <v>42151</v>
          </cell>
          <cell r="GU111" t="str">
            <v xml:space="preserve">		</v>
          </cell>
          <cell r="HD111">
            <v>1</v>
          </cell>
        </row>
        <row r="112">
          <cell r="A112" t="str">
            <v>BA0793</v>
          </cell>
          <cell r="B112" t="str">
            <v>ACBA_0162</v>
          </cell>
          <cell r="C112" t="str">
            <v>Apollo</v>
          </cell>
          <cell r="D112" t="str">
            <v>Chris Thomson</v>
          </cell>
          <cell r="F112" t="str">
            <v>Phyo Wai Maung</v>
          </cell>
          <cell r="G112" t="str">
            <v>Cho Yee Thaung</v>
          </cell>
          <cell r="H112" t="str">
            <v>RED</v>
          </cell>
          <cell r="I112" t="str">
            <v>South</v>
          </cell>
          <cell r="J112" t="str">
            <v>95.111415</v>
          </cell>
          <cell r="K112" t="str">
            <v>18.637602</v>
          </cell>
          <cell r="L112" t="str">
            <v>Rural</v>
          </cell>
          <cell r="M112" t="str">
            <v>Bago West</v>
          </cell>
          <cell r="N112" t="str">
            <v>Shwedaung</v>
          </cell>
          <cell r="O112" t="str">
            <v>Shwedaung</v>
          </cell>
          <cell r="P112" t="str">
            <v>Bago West</v>
          </cell>
          <cell r="Q112" t="str">
            <v>20</v>
          </cell>
          <cell r="R112" t="str">
            <v>Shwedaung</v>
          </cell>
          <cell r="S112" t="str">
            <v>108</v>
          </cell>
          <cell r="T112" t="str">
            <v>GSM+UMTS</v>
          </cell>
          <cell r="W112" t="str">
            <v>Ph2-Priority</v>
          </cell>
          <cell r="X112" t="str">
            <v>45</v>
          </cell>
          <cell r="Y112" t="str">
            <v>47</v>
          </cell>
          <cell r="Z112" t="str">
            <v>GBT</v>
          </cell>
          <cell r="AA112" t="str">
            <v>500</v>
          </cell>
          <cell r="AB112" t="str">
            <v>Access</v>
          </cell>
          <cell r="AC112" t="str">
            <v>Class C</v>
          </cell>
          <cell r="BE112" t="str">
            <v>Route 11 Pyay - Pathein</v>
          </cell>
          <cell r="BH112" t="str">
            <v>IENG</v>
          </cell>
          <cell r="BJ112">
            <v>42144</v>
          </cell>
          <cell r="BK112">
            <v>42132</v>
          </cell>
          <cell r="BL112">
            <v>42149</v>
          </cell>
          <cell r="BT112">
            <v>86</v>
          </cell>
          <cell r="BU112">
            <v>42251</v>
          </cell>
          <cell r="BV112">
            <v>42218</v>
          </cell>
          <cell r="BW112" t="str">
            <v>95.11462</v>
          </cell>
          <cell r="BX112" t="str">
            <v>18.64343</v>
          </cell>
          <cell r="BY112" t="str">
            <v>C4</v>
          </cell>
          <cell r="BZ112" t="str">
            <v>N0(51),KyeeThae_ShweNatTaung Street,MyoukPainInn Quarter,Shwe Taung Tsp. Bago Division</v>
          </cell>
          <cell r="CA112" t="str">
            <v>U Myint Oo</v>
          </cell>
          <cell r="CB112" t="str">
            <v>02 Aug 15 : C4 SAR sub(C1, C2, C3 are all Paddy Land C04 candidate is a residential with a dist of 726 m from nominal);5 Jun 15 : C2 TSSR app;2 Jun 15 : C2 TSSR sub;26 May 15 : C2 SAR app;25May15: C2 SAR Sub</v>
          </cell>
          <cell r="CC112" t="str">
            <v>Residential</v>
          </cell>
          <cell r="CE112">
            <v>3</v>
          </cell>
          <cell r="CF112">
            <v>42252</v>
          </cell>
          <cell r="CG112">
            <v>42221</v>
          </cell>
          <cell r="CH112">
            <v>42254</v>
          </cell>
          <cell r="CJ112">
            <v>42247</v>
          </cell>
          <cell r="CK112" t="str">
            <v>45</v>
          </cell>
          <cell r="CL112" t="str">
            <v>47</v>
          </cell>
          <cell r="CM112" t="str">
            <v>50</v>
          </cell>
          <cell r="CN112">
            <v>12</v>
          </cell>
          <cell r="CO112">
            <v>42257</v>
          </cell>
          <cell r="CP112">
            <v>42249</v>
          </cell>
          <cell r="CQ112" t="str">
            <v>M4: solar + DG + battery</v>
          </cell>
          <cell r="CR112">
            <v>0</v>
          </cell>
          <cell r="CS112">
            <v>42258</v>
          </cell>
          <cell r="CT112">
            <v>42250</v>
          </cell>
          <cell r="CU112" t="str">
            <v>BA0793</v>
          </cell>
          <cell r="DH112">
            <v>0</v>
          </cell>
          <cell r="DI112">
            <v>42268</v>
          </cell>
          <cell r="DK112">
            <v>42265</v>
          </cell>
          <cell r="DM112">
            <v>42269</v>
          </cell>
          <cell r="DO112">
            <v>0</v>
          </cell>
          <cell r="DP112">
            <v>42268</v>
          </cell>
          <cell r="DT112">
            <v>0</v>
          </cell>
          <cell r="DU112">
            <v>42283</v>
          </cell>
          <cell r="DW112">
            <v>0</v>
          </cell>
          <cell r="DY112">
            <v>42269</v>
          </cell>
          <cell r="EA112" t="str">
            <v>IENG</v>
          </cell>
          <cell r="EJ112">
            <v>0</v>
          </cell>
          <cell r="EK112">
            <v>42286</v>
          </cell>
          <cell r="EM112">
            <v>42287</v>
          </cell>
          <cell r="EQ112">
            <v>42296</v>
          </cell>
          <cell r="EW112">
            <v>0</v>
          </cell>
          <cell r="EX112">
            <v>42310</v>
          </cell>
          <cell r="EZ112">
            <v>42306</v>
          </cell>
          <cell r="FB112">
            <v>42308</v>
          </cell>
          <cell r="FU112">
            <v>42310</v>
          </cell>
          <cell r="FW112">
            <v>42310</v>
          </cell>
          <cell r="GJ112">
            <v>0</v>
          </cell>
          <cell r="GN112" t="str">
            <v>ERICSSON</v>
          </cell>
          <cell r="GS112" t="str">
            <v>4/4/4</v>
          </cell>
          <cell r="GU112" t="str">
            <v xml:space="preserve">		</v>
          </cell>
          <cell r="HD112">
            <v>1</v>
          </cell>
        </row>
        <row r="113">
          <cell r="A113" t="str">
            <v>BA0796</v>
          </cell>
          <cell r="B113" t="str">
            <v>ACBA_0163</v>
          </cell>
          <cell r="C113" t="str">
            <v>Apollo</v>
          </cell>
          <cell r="D113" t="str">
            <v>Robert</v>
          </cell>
          <cell r="F113" t="str">
            <v>Phyo Wai Maung</v>
          </cell>
          <cell r="G113" t="str">
            <v>Saw Pyie Zin Nyein</v>
          </cell>
          <cell r="H113" t="str">
            <v>RED</v>
          </cell>
          <cell r="I113" t="str">
            <v>South</v>
          </cell>
          <cell r="J113" t="str">
            <v>96.6857</v>
          </cell>
          <cell r="K113" t="str">
            <v>17.9297</v>
          </cell>
          <cell r="L113" t="str">
            <v>Rural</v>
          </cell>
          <cell r="M113" t="str">
            <v>Bago East</v>
          </cell>
          <cell r="N113" t="str">
            <v>Nyaunglebin</v>
          </cell>
          <cell r="O113" t="str">
            <v>Nyaunglebin</v>
          </cell>
          <cell r="P113" t="str">
            <v>Bago East</v>
          </cell>
          <cell r="Q113" t="str">
            <v>19</v>
          </cell>
          <cell r="R113" t="str">
            <v>Nyaunglebin</v>
          </cell>
          <cell r="S113" t="str">
            <v>93</v>
          </cell>
          <cell r="T113" t="str">
            <v>GSM+UMTS</v>
          </cell>
          <cell r="W113" t="str">
            <v>Ph2-Priority</v>
          </cell>
          <cell r="X113" t="str">
            <v>45</v>
          </cell>
          <cell r="Y113" t="str">
            <v>47</v>
          </cell>
          <cell r="Z113" t="str">
            <v>GBT</v>
          </cell>
          <cell r="AA113" t="str">
            <v>500</v>
          </cell>
          <cell r="AB113" t="str">
            <v>Access</v>
          </cell>
          <cell r="AC113" t="str">
            <v>Class C</v>
          </cell>
          <cell r="BE113" t="str">
            <v>Route 7 Bago - Pyawbwe</v>
          </cell>
          <cell r="BH113" t="str">
            <v>Leadcom</v>
          </cell>
          <cell r="BJ113">
            <v>42167</v>
          </cell>
          <cell r="BK113">
            <v>42168</v>
          </cell>
          <cell r="BL113">
            <v>42172</v>
          </cell>
          <cell r="BM113">
            <v>42175</v>
          </cell>
          <cell r="BT113">
            <v>65</v>
          </cell>
          <cell r="BU113">
            <v>42164</v>
          </cell>
          <cell r="BV113">
            <v>42241</v>
          </cell>
          <cell r="BW113" t="str">
            <v>96.68547</v>
          </cell>
          <cell r="BX113" t="str">
            <v>17.93133</v>
          </cell>
          <cell r="BY113" t="str">
            <v>C1</v>
          </cell>
          <cell r="BZ113" t="str">
            <v>Kyun Taw Kone Village,Myaing Kalay,Hpa An Township</v>
          </cell>
          <cell r="CA113" t="str">
            <v>U Saw Ngwe Kyi,09 425036361,09 255743268</v>
          </cell>
          <cell r="CB113" t="str">
            <v>25 Aug 15: C1 SAR sub</v>
          </cell>
          <cell r="CC113" t="str">
            <v>Village Land</v>
          </cell>
          <cell r="CE113">
            <v>0</v>
          </cell>
          <cell r="CF113">
            <v>42165</v>
          </cell>
          <cell r="CG113">
            <v>42242</v>
          </cell>
          <cell r="CH113">
            <v>42167</v>
          </cell>
          <cell r="CJ113">
            <v>42218</v>
          </cell>
          <cell r="CK113" t="str">
            <v>45</v>
          </cell>
          <cell r="CL113" t="str">
            <v>47</v>
          </cell>
          <cell r="CM113" t="str">
            <v>50</v>
          </cell>
          <cell r="CN113">
            <v>0</v>
          </cell>
          <cell r="CO113">
            <v>42170</v>
          </cell>
          <cell r="CP113">
            <v>42220</v>
          </cell>
          <cell r="CQ113" t="str">
            <v>M4: solar + DG + battery</v>
          </cell>
          <cell r="CR113">
            <v>0</v>
          </cell>
          <cell r="CS113">
            <v>42171</v>
          </cell>
          <cell r="CT113">
            <v>42221</v>
          </cell>
          <cell r="CU113" t="str">
            <v>BA0796</v>
          </cell>
          <cell r="DH113">
            <v>0</v>
          </cell>
          <cell r="DI113">
            <v>42181</v>
          </cell>
          <cell r="DK113">
            <v>42178</v>
          </cell>
          <cell r="DM113">
            <v>42182</v>
          </cell>
          <cell r="DO113">
            <v>0</v>
          </cell>
          <cell r="DP113">
            <v>42181</v>
          </cell>
          <cell r="DT113">
            <v>0</v>
          </cell>
          <cell r="DU113">
            <v>42196</v>
          </cell>
          <cell r="DW113">
            <v>0</v>
          </cell>
          <cell r="DY113">
            <v>42182</v>
          </cell>
          <cell r="EA113" t="str">
            <v>Leadcom</v>
          </cell>
          <cell r="EJ113">
            <v>0</v>
          </cell>
          <cell r="EK113">
            <v>42199</v>
          </cell>
          <cell r="EM113">
            <v>42200</v>
          </cell>
          <cell r="EQ113">
            <v>42209</v>
          </cell>
          <cell r="EW113">
            <v>0</v>
          </cell>
          <cell r="EX113">
            <v>42223</v>
          </cell>
          <cell r="EZ113">
            <v>42219</v>
          </cell>
          <cell r="FB113">
            <v>42221</v>
          </cell>
          <cell r="FU113">
            <v>42223</v>
          </cell>
          <cell r="FW113">
            <v>42223</v>
          </cell>
          <cell r="GJ113">
            <v>0</v>
          </cell>
          <cell r="GN113" t="str">
            <v>ERICSSON</v>
          </cell>
          <cell r="GS113" t="str">
            <v>4/4/4</v>
          </cell>
          <cell r="GU113" t="str">
            <v xml:space="preserve">		</v>
          </cell>
          <cell r="HD113">
            <v>1</v>
          </cell>
        </row>
        <row r="114">
          <cell r="A114" t="str">
            <v>BA0798</v>
          </cell>
          <cell r="B114" t="str">
            <v>ACBA_0164</v>
          </cell>
          <cell r="C114" t="str">
            <v>Apollo</v>
          </cell>
          <cell r="D114" t="str">
            <v>Robert</v>
          </cell>
          <cell r="F114" t="str">
            <v>Phyo Wai Maung</v>
          </cell>
          <cell r="G114" t="str">
            <v>Saw Pyie Zin Nyein</v>
          </cell>
          <cell r="H114" t="str">
            <v>RED</v>
          </cell>
          <cell r="I114" t="str">
            <v>South</v>
          </cell>
          <cell r="J114" t="str">
            <v>96.714</v>
          </cell>
          <cell r="K114" t="str">
            <v>17.9155</v>
          </cell>
          <cell r="L114" t="str">
            <v>Rural</v>
          </cell>
          <cell r="M114" t="str">
            <v>Bago East</v>
          </cell>
          <cell r="N114" t="str">
            <v>Nyaunglebin</v>
          </cell>
          <cell r="O114" t="str">
            <v>Nyaunglebin</v>
          </cell>
          <cell r="P114" t="str">
            <v>Bago East</v>
          </cell>
          <cell r="Q114" t="str">
            <v>19</v>
          </cell>
          <cell r="R114" t="str">
            <v>Nyaunglebin</v>
          </cell>
          <cell r="S114" t="str">
            <v>93</v>
          </cell>
          <cell r="T114" t="str">
            <v>GSM+UMTS</v>
          </cell>
          <cell r="W114" t="str">
            <v>Ph2-Priority</v>
          </cell>
          <cell r="X114" t="str">
            <v>45</v>
          </cell>
          <cell r="Y114" t="str">
            <v>47</v>
          </cell>
          <cell r="Z114" t="str">
            <v>GBT</v>
          </cell>
          <cell r="AA114" t="str">
            <v>500</v>
          </cell>
          <cell r="AB114" t="str">
            <v>Access</v>
          </cell>
          <cell r="AC114" t="str">
            <v>Class C</v>
          </cell>
          <cell r="BE114" t="str">
            <v>Route 7 Bago - Pyawbwe</v>
          </cell>
          <cell r="BH114" t="str">
            <v>Leadcom</v>
          </cell>
          <cell r="BJ114">
            <v>42167</v>
          </cell>
          <cell r="BK114">
            <v>42168</v>
          </cell>
          <cell r="BL114">
            <v>42172</v>
          </cell>
          <cell r="BM114">
            <v>42175</v>
          </cell>
          <cell r="BT114">
            <v>45</v>
          </cell>
          <cell r="BU114">
            <v>42164</v>
          </cell>
          <cell r="BV114">
            <v>42213</v>
          </cell>
          <cell r="BW114" t="str">
            <v>96.71478</v>
          </cell>
          <cell r="BX114" t="str">
            <v>17.9172</v>
          </cell>
          <cell r="BY114" t="str">
            <v>C1</v>
          </cell>
          <cell r="BZ114" t="str">
            <v>Field No. 224(A), U Py No. (77/1A) Alal Village Nyaung Lay Bin Tsp, Bago.</v>
          </cell>
          <cell r="CA114" t="str">
            <v>U Aung Ko Ko,09 428205357, 09 250547970</v>
          </cell>
          <cell r="CB114" t="str">
            <v>28 July 15 : C1 SAR sub</v>
          </cell>
          <cell r="CE114">
            <v>1</v>
          </cell>
          <cell r="CF114">
            <v>42165</v>
          </cell>
          <cell r="CG114">
            <v>42214</v>
          </cell>
          <cell r="CH114">
            <v>42167</v>
          </cell>
          <cell r="CJ114">
            <v>42233</v>
          </cell>
          <cell r="CK114" t="str">
            <v>45</v>
          </cell>
          <cell r="CL114" t="str">
            <v>47</v>
          </cell>
          <cell r="CM114" t="str">
            <v>50</v>
          </cell>
          <cell r="CN114">
            <v>19</v>
          </cell>
          <cell r="CO114">
            <v>42170</v>
          </cell>
          <cell r="CP114">
            <v>42235</v>
          </cell>
          <cell r="CQ114" t="str">
            <v>M1: grid power + battery</v>
          </cell>
          <cell r="CR114">
            <v>0</v>
          </cell>
          <cell r="CS114">
            <v>42171</v>
          </cell>
          <cell r="CT114">
            <v>42236</v>
          </cell>
          <cell r="CU114" t="str">
            <v>BA0798</v>
          </cell>
          <cell r="DH114">
            <v>0</v>
          </cell>
          <cell r="DI114">
            <v>42181</v>
          </cell>
          <cell r="DK114">
            <v>42178</v>
          </cell>
          <cell r="DM114">
            <v>42182</v>
          </cell>
          <cell r="DO114">
            <v>0</v>
          </cell>
          <cell r="DP114">
            <v>42181</v>
          </cell>
          <cell r="DT114">
            <v>0</v>
          </cell>
          <cell r="DU114">
            <v>42196</v>
          </cell>
          <cell r="DW114">
            <v>0</v>
          </cell>
          <cell r="DY114">
            <v>42182</v>
          </cell>
          <cell r="EA114" t="str">
            <v>Leadcom</v>
          </cell>
          <cell r="EJ114">
            <v>0</v>
          </cell>
          <cell r="EK114">
            <v>42199</v>
          </cell>
          <cell r="EM114">
            <v>42200</v>
          </cell>
          <cell r="EQ114">
            <v>42209</v>
          </cell>
          <cell r="EW114">
            <v>0</v>
          </cell>
          <cell r="EX114">
            <v>42223</v>
          </cell>
          <cell r="EZ114">
            <v>42219</v>
          </cell>
          <cell r="FB114">
            <v>42221</v>
          </cell>
          <cell r="FU114">
            <v>42223</v>
          </cell>
          <cell r="FW114">
            <v>42223</v>
          </cell>
          <cell r="GJ114">
            <v>0</v>
          </cell>
          <cell r="GN114" t="str">
            <v>ERICSSON</v>
          </cell>
          <cell r="GS114" t="str">
            <v>4/4/4</v>
          </cell>
          <cell r="GU114" t="str">
            <v xml:space="preserve">		</v>
          </cell>
          <cell r="HD114">
            <v>1</v>
          </cell>
        </row>
        <row r="115">
          <cell r="A115" t="str">
            <v>BA0799</v>
          </cell>
          <cell r="B115" t="str">
            <v>ACBA_0165</v>
          </cell>
          <cell r="C115" t="str">
            <v>Apollo</v>
          </cell>
          <cell r="D115" t="str">
            <v>Robert</v>
          </cell>
          <cell r="F115" t="str">
            <v>Phyo Wai Maung</v>
          </cell>
          <cell r="G115" t="str">
            <v>Saw Pyie Zin Nyein</v>
          </cell>
          <cell r="H115" t="str">
            <v>RED</v>
          </cell>
          <cell r="I115" t="str">
            <v>South</v>
          </cell>
          <cell r="J115" t="str">
            <v>96.7264</v>
          </cell>
          <cell r="K115" t="str">
            <v>17.9785</v>
          </cell>
          <cell r="L115" t="str">
            <v>Rural</v>
          </cell>
          <cell r="M115" t="str">
            <v>Bago East</v>
          </cell>
          <cell r="N115" t="str">
            <v>Nyaunglebin</v>
          </cell>
          <cell r="O115" t="str">
            <v>Nyaunglebin</v>
          </cell>
          <cell r="P115" t="str">
            <v>Bago East</v>
          </cell>
          <cell r="Q115" t="str">
            <v>19</v>
          </cell>
          <cell r="R115" t="str">
            <v>Nyaunglebin</v>
          </cell>
          <cell r="S115" t="str">
            <v>93</v>
          </cell>
          <cell r="T115" t="str">
            <v>GSM+UMTS</v>
          </cell>
          <cell r="W115" t="str">
            <v>Ph2-Priority</v>
          </cell>
          <cell r="X115" t="str">
            <v>45</v>
          </cell>
          <cell r="Y115" t="str">
            <v>47</v>
          </cell>
          <cell r="Z115" t="str">
            <v>GBT</v>
          </cell>
          <cell r="AA115" t="str">
            <v>500</v>
          </cell>
          <cell r="AB115" t="str">
            <v>Access</v>
          </cell>
          <cell r="AC115" t="str">
            <v>Class C</v>
          </cell>
          <cell r="BE115" t="str">
            <v>Route 7 Bago - Pyawbwe</v>
          </cell>
          <cell r="BH115" t="str">
            <v>Leadcom</v>
          </cell>
          <cell r="BJ115">
            <v>42153</v>
          </cell>
          <cell r="BK115">
            <v>42168</v>
          </cell>
          <cell r="BL115">
            <v>42158</v>
          </cell>
          <cell r="BM115">
            <v>42175</v>
          </cell>
          <cell r="BT115">
            <v>65</v>
          </cell>
          <cell r="BU115">
            <v>42211</v>
          </cell>
          <cell r="BV115">
            <v>42248</v>
          </cell>
          <cell r="BW115" t="str">
            <v>96.72668</v>
          </cell>
          <cell r="BX115" t="str">
            <v>17.97795</v>
          </cell>
          <cell r="BY115" t="str">
            <v>C4</v>
          </cell>
          <cell r="BZ115" t="str">
            <v>Paukhaung Township,Bago.</v>
          </cell>
          <cell r="CA115" t="str">
            <v>Daw Aye Aye Myint;No(146)3 quarter,Pyay -Taugoo Road,Pauk Kaung Township,Bago;09 423726699,09254361927</v>
          </cell>
          <cell r="CB115" t="str">
            <v>1 Sept 15: C4 SAR sub(C1,C2,C3: Rejected due to Paddy Land)</v>
          </cell>
          <cell r="CC115" t="str">
            <v>Garden Land</v>
          </cell>
          <cell r="CE115">
            <v>0</v>
          </cell>
          <cell r="CF115">
            <v>42212</v>
          </cell>
          <cell r="CG115">
            <v>42249</v>
          </cell>
          <cell r="CH115">
            <v>42214</v>
          </cell>
          <cell r="CJ115">
            <v>42149</v>
          </cell>
          <cell r="CK115">
            <v>45</v>
          </cell>
          <cell r="CL115">
            <v>47</v>
          </cell>
          <cell r="CM115">
            <v>60</v>
          </cell>
          <cell r="CN115">
            <v>0</v>
          </cell>
          <cell r="CO115">
            <v>42217</v>
          </cell>
          <cell r="CP115">
            <v>42151</v>
          </cell>
          <cell r="CQ115" t="str">
            <v>M4: solar + DG + battery</v>
          </cell>
          <cell r="CR115">
            <v>0</v>
          </cell>
          <cell r="CS115">
            <v>42218</v>
          </cell>
          <cell r="CT115">
            <v>42151</v>
          </cell>
          <cell r="CU115" t="str">
            <v>BA0799</v>
          </cell>
          <cell r="DH115">
            <v>0</v>
          </cell>
          <cell r="DI115">
            <v>42228</v>
          </cell>
          <cell r="DK115">
            <v>42225</v>
          </cell>
          <cell r="DM115">
            <v>42229</v>
          </cell>
          <cell r="DO115">
            <v>0</v>
          </cell>
          <cell r="DP115">
            <v>42228</v>
          </cell>
          <cell r="DT115">
            <v>0</v>
          </cell>
          <cell r="DU115">
            <v>42243</v>
          </cell>
          <cell r="DW115">
            <v>0</v>
          </cell>
          <cell r="DY115">
            <v>42229</v>
          </cell>
          <cell r="EA115" t="str">
            <v>Leadcom</v>
          </cell>
          <cell r="EJ115">
            <v>0</v>
          </cell>
          <cell r="EK115">
            <v>42246</v>
          </cell>
          <cell r="EM115">
            <v>42247</v>
          </cell>
          <cell r="EQ115">
            <v>42256</v>
          </cell>
          <cell r="EW115">
            <v>0</v>
          </cell>
          <cell r="EX115">
            <v>42224</v>
          </cell>
          <cell r="EZ115">
            <v>42266</v>
          </cell>
          <cell r="FB115">
            <v>42268</v>
          </cell>
          <cell r="FU115">
            <v>42270</v>
          </cell>
          <cell r="FW115">
            <v>42270</v>
          </cell>
          <cell r="GJ115">
            <v>0</v>
          </cell>
          <cell r="GN115" t="str">
            <v>ERICSSON</v>
          </cell>
          <cell r="GS115" t="str">
            <v>4/4/4</v>
          </cell>
          <cell r="GU115" t="str">
            <v xml:space="preserve">		</v>
          </cell>
          <cell r="HD115">
            <v>1</v>
          </cell>
        </row>
        <row r="116">
          <cell r="A116" t="str">
            <v>BA0801</v>
          </cell>
          <cell r="B116" t="str">
            <v>ACBA_0166</v>
          </cell>
          <cell r="C116" t="str">
            <v>Apollo</v>
          </cell>
          <cell r="D116" t="str">
            <v>Chris Thomson</v>
          </cell>
          <cell r="F116" t="str">
            <v>Phyo Wai Maung</v>
          </cell>
          <cell r="G116" t="str">
            <v>Cho Yee Thaung</v>
          </cell>
          <cell r="H116" t="str">
            <v>GREEN</v>
          </cell>
          <cell r="I116" t="str">
            <v>South</v>
          </cell>
          <cell r="J116" t="str">
            <v>95.5437</v>
          </cell>
          <cell r="K116" t="str">
            <v>18.909</v>
          </cell>
          <cell r="L116" t="str">
            <v>Rural</v>
          </cell>
          <cell r="M116" t="str">
            <v>Bago West</v>
          </cell>
          <cell r="N116" t="str">
            <v>Paukkhaung</v>
          </cell>
          <cell r="O116" t="str">
            <v>Paukkhaung</v>
          </cell>
          <cell r="P116" t="str">
            <v>Bago West</v>
          </cell>
          <cell r="Q116" t="str">
            <v>20</v>
          </cell>
          <cell r="R116" t="str">
            <v>Paukkhaung</v>
          </cell>
          <cell r="S116" t="str">
            <v>104</v>
          </cell>
          <cell r="T116" t="str">
            <v>GSM+UMTS</v>
          </cell>
          <cell r="W116" t="str">
            <v>Ph2-Priority</v>
          </cell>
          <cell r="X116" t="str">
            <v>45</v>
          </cell>
          <cell r="Y116" t="str">
            <v>47</v>
          </cell>
          <cell r="Z116" t="str">
            <v>GBT</v>
          </cell>
          <cell r="AA116" t="str">
            <v>500</v>
          </cell>
          <cell r="AB116" t="str">
            <v>Access</v>
          </cell>
          <cell r="AC116" t="str">
            <v>Class C</v>
          </cell>
          <cell r="BE116" t="str">
            <v>Route 1 Yangon - Mandalay</v>
          </cell>
          <cell r="BH116" t="str">
            <v>IENG</v>
          </cell>
          <cell r="BJ116">
            <v>42116</v>
          </cell>
          <cell r="BK116">
            <v>42121</v>
          </cell>
          <cell r="BL116">
            <v>42121</v>
          </cell>
          <cell r="BM116">
            <v>42121</v>
          </cell>
          <cell r="BT116">
            <v>10</v>
          </cell>
          <cell r="BU116">
            <v>42134</v>
          </cell>
          <cell r="BV116">
            <v>42131</v>
          </cell>
          <cell r="BW116" t="str">
            <v>95.54206</v>
          </cell>
          <cell r="BX116" t="str">
            <v>18.90928</v>
          </cell>
          <cell r="BY116" t="str">
            <v>C1</v>
          </cell>
          <cell r="BZ116" t="str">
            <v>Paukhaung Township,Bago.</v>
          </cell>
          <cell r="CA116" t="str">
            <v>Daw Aye Aye Myint;No(146)3 quarter,Pyay -Taugoo Road,Pauk Kaung Township,Bago;09 423726699,09254361927</v>
          </cell>
          <cell r="CB116" t="str">
            <v>7May15: C1 SAR Sub.</v>
          </cell>
          <cell r="CE116">
            <v>5</v>
          </cell>
          <cell r="CF116">
            <v>42135</v>
          </cell>
          <cell r="CG116">
            <v>42136</v>
          </cell>
          <cell r="CH116">
            <v>42137</v>
          </cell>
          <cell r="CJ116">
            <v>42149</v>
          </cell>
          <cell r="CK116" t="str">
            <v>45</v>
          </cell>
          <cell r="CL116" t="str">
            <v>47</v>
          </cell>
          <cell r="CM116" t="str">
            <v>60</v>
          </cell>
          <cell r="CN116">
            <v>15</v>
          </cell>
          <cell r="CO116">
            <v>42140</v>
          </cell>
          <cell r="CP116">
            <v>42151</v>
          </cell>
          <cell r="CQ116" t="str">
            <v>M1: grid power + battery</v>
          </cell>
          <cell r="CR116">
            <v>0</v>
          </cell>
          <cell r="CS116">
            <v>42141</v>
          </cell>
          <cell r="CT116">
            <v>42151</v>
          </cell>
          <cell r="CU116" t="str">
            <v>BA0801</v>
          </cell>
          <cell r="DH116">
            <v>82</v>
          </cell>
          <cell r="DI116">
            <v>42163</v>
          </cell>
          <cell r="DK116">
            <v>42160</v>
          </cell>
          <cell r="DL116">
            <v>42172</v>
          </cell>
          <cell r="DM116">
            <v>42164</v>
          </cell>
          <cell r="DN116">
            <v>42172</v>
          </cell>
          <cell r="DO116">
            <v>0</v>
          </cell>
          <cell r="DP116">
            <v>42163</v>
          </cell>
          <cell r="DT116">
            <v>0</v>
          </cell>
          <cell r="DU116">
            <v>42178</v>
          </cell>
          <cell r="DW116">
            <v>0</v>
          </cell>
          <cell r="DY116">
            <v>42164</v>
          </cell>
          <cell r="DZ116">
            <v>42188</v>
          </cell>
          <cell r="EA116" t="str">
            <v>IENG</v>
          </cell>
          <cell r="ED116" t="str">
            <v>31Jul15 :ChoYee.Thaung: 30/7/15 : backfilling done, Equ pad done_x000D_
23/7/15 : Backfilling on going and today will done, waiting for tower
15Jul15 :ChoYee.Thaung: 9/7/15 : Excavation done, Lean done, prepare steel cutting for rebar work_x000D_
14/7/15 : Rebar work done, Footing casted today, waiting for anchor bolt,nut and template</v>
          </cell>
          <cell r="EE116" t="str">
            <v xml:space="preserve">10 Aug 15:Rain affected_Progress affected; 4-Aug-15:  ACCESS PROBLEM IF CONTINUOUS RAIN (DIRT ROAD),on going tower erection,Power-Due to flooded area materials cannot reach site by truck, arranging manpower for delivery today.
Installation on going expected completion by today.								</v>
          </cell>
          <cell r="EI116" t="str">
            <v>M7: 2DG + battery      </v>
          </cell>
          <cell r="EJ116">
            <v>16</v>
          </cell>
          <cell r="EK116">
            <v>42186</v>
          </cell>
          <cell r="EL116">
            <v>42204</v>
          </cell>
          <cell r="EM116">
            <v>42187</v>
          </cell>
          <cell r="EN116">
            <v>42214</v>
          </cell>
          <cell r="EQ116">
            <v>42199</v>
          </cell>
          <cell r="ER116">
            <v>42229</v>
          </cell>
          <cell r="ES116">
            <v>42211</v>
          </cell>
          <cell r="ET116">
            <v>42230</v>
          </cell>
          <cell r="EU116">
            <v>42230</v>
          </cell>
          <cell r="EW116">
            <v>45</v>
          </cell>
          <cell r="EX116">
            <v>42213</v>
          </cell>
          <cell r="EZ116">
            <v>42209</v>
          </cell>
          <cell r="FA116">
            <v>42219</v>
          </cell>
          <cell r="FB116">
            <v>42211</v>
          </cell>
          <cell r="FC116">
            <v>42221</v>
          </cell>
          <cell r="FU116">
            <v>42213</v>
          </cell>
          <cell r="FW116">
            <v>42213</v>
          </cell>
          <cell r="FX116">
            <v>42230</v>
          </cell>
          <cell r="GI116">
            <v>42246</v>
          </cell>
          <cell r="GJ116" t="str">
            <v>44-2015</v>
          </cell>
          <cell r="GL116" t="str">
            <v>Upstream Dependency :: BA0801_R (Reapeter Reqd.)</v>
          </cell>
          <cell r="GN116" t="str">
            <v xml:space="preserve">ERICSSON </v>
          </cell>
          <cell r="GO116">
            <v>42151</v>
          </cell>
          <cell r="GP116">
            <v>42199</v>
          </cell>
          <cell r="GQ116" t="str">
            <v xml:space="preserve">Upstream Dependency; </v>
          </cell>
          <cell r="GS116" t="str">
            <v>4/4/4</v>
          </cell>
          <cell r="GU116" t="str">
            <v xml:space="preserve">		</v>
          </cell>
          <cell r="HD116">
            <v>1</v>
          </cell>
        </row>
        <row r="117">
          <cell r="A117" t="str">
            <v>BA0802</v>
          </cell>
          <cell r="B117" t="str">
            <v>ACBA_0167</v>
          </cell>
          <cell r="C117" t="str">
            <v>Apollo</v>
          </cell>
          <cell r="D117" t="str">
            <v>Chris Thomson</v>
          </cell>
          <cell r="F117" t="str">
            <v>Phyo Wai Maung</v>
          </cell>
          <cell r="G117" t="str">
            <v>Cho Yee Thaung</v>
          </cell>
          <cell r="H117" t="str">
            <v>GREEN</v>
          </cell>
          <cell r="I117" t="str">
            <v>South</v>
          </cell>
          <cell r="J117" t="str">
            <v>95.569</v>
          </cell>
          <cell r="K117" t="str">
            <v>18.9177</v>
          </cell>
          <cell r="L117" t="str">
            <v>Rural</v>
          </cell>
          <cell r="M117" t="str">
            <v>Bago West</v>
          </cell>
          <cell r="N117" t="str">
            <v>Paukkhaung</v>
          </cell>
          <cell r="O117" t="str">
            <v>Paukkhaung</v>
          </cell>
          <cell r="P117" t="str">
            <v>Bago West</v>
          </cell>
          <cell r="Q117" t="str">
            <v>20</v>
          </cell>
          <cell r="R117" t="str">
            <v>Paukkhaung</v>
          </cell>
          <cell r="S117" t="str">
            <v>104</v>
          </cell>
          <cell r="T117" t="str">
            <v>GSM+UMTS</v>
          </cell>
          <cell r="W117" t="str">
            <v>Ph2-Priority</v>
          </cell>
          <cell r="X117" t="str">
            <v>45</v>
          </cell>
          <cell r="Y117" t="str">
            <v>45</v>
          </cell>
          <cell r="Z117" t="str">
            <v>GBT</v>
          </cell>
          <cell r="AA117" t="str">
            <v>250</v>
          </cell>
          <cell r="AB117" t="str">
            <v>Access</v>
          </cell>
          <cell r="AC117" t="str">
            <v>Class C</v>
          </cell>
          <cell r="BE117" t="str">
            <v>Route 1 Yangon - Mandalay</v>
          </cell>
          <cell r="BH117" t="str">
            <v>IENG</v>
          </cell>
          <cell r="BJ117">
            <v>42116</v>
          </cell>
          <cell r="BK117">
            <v>42121</v>
          </cell>
          <cell r="BL117">
            <v>42121</v>
          </cell>
          <cell r="BM117">
            <v>42121</v>
          </cell>
          <cell r="BT117">
            <v>10</v>
          </cell>
          <cell r="BU117">
            <v>42139</v>
          </cell>
          <cell r="BV117">
            <v>42131</v>
          </cell>
          <cell r="BW117" t="str">
            <v>95.56874</v>
          </cell>
          <cell r="BX117" t="str">
            <v>18.91818</v>
          </cell>
          <cell r="BY117" t="str">
            <v>C1</v>
          </cell>
          <cell r="BZ117" t="str">
            <v>Paukaung Township, Bago Division.</v>
          </cell>
          <cell r="CA117" t="str">
            <v>U Zaw Win;No(4),YatThit Village,Yat Thit Village Group,Pauk Khaung Township,Bago;09 250816296,09254783473</v>
          </cell>
          <cell r="CB117" t="str">
            <v>7May15: C1 SAR Sub.</v>
          </cell>
          <cell r="CE117">
            <v>5</v>
          </cell>
          <cell r="CF117">
            <v>42140</v>
          </cell>
          <cell r="CG117">
            <v>42136</v>
          </cell>
          <cell r="CH117">
            <v>42142</v>
          </cell>
          <cell r="CJ117">
            <v>42149</v>
          </cell>
          <cell r="CK117" t="str">
            <v>45</v>
          </cell>
          <cell r="CL117" t="str">
            <v>47</v>
          </cell>
          <cell r="CM117" t="str">
            <v>45</v>
          </cell>
          <cell r="CN117">
            <v>15</v>
          </cell>
          <cell r="CO117">
            <v>42145</v>
          </cell>
          <cell r="CP117">
            <v>42151</v>
          </cell>
          <cell r="CQ117" t="str">
            <v>M4: solar + DG + battery</v>
          </cell>
          <cell r="CR117">
            <v>0</v>
          </cell>
          <cell r="CS117">
            <v>42146</v>
          </cell>
          <cell r="CT117">
            <v>42151</v>
          </cell>
          <cell r="CU117" t="str">
            <v>BA0802</v>
          </cell>
          <cell r="DH117">
            <v>82</v>
          </cell>
          <cell r="DI117">
            <v>42163</v>
          </cell>
          <cell r="DK117">
            <v>42160</v>
          </cell>
          <cell r="DL117">
            <v>42172</v>
          </cell>
          <cell r="DM117">
            <v>42164</v>
          </cell>
          <cell r="DN117">
            <v>42172</v>
          </cell>
          <cell r="DO117">
            <v>0</v>
          </cell>
          <cell r="DP117">
            <v>42163</v>
          </cell>
          <cell r="DT117">
            <v>0</v>
          </cell>
          <cell r="DU117">
            <v>42178</v>
          </cell>
          <cell r="DW117">
            <v>0</v>
          </cell>
          <cell r="DY117">
            <v>42164</v>
          </cell>
          <cell r="DZ117">
            <v>42188</v>
          </cell>
          <cell r="EA117" t="str">
            <v>IENG</v>
          </cell>
          <cell r="ED117" t="str">
            <v>31Jul15 :ChoYee.Thaung: 30/7/15 : Tower erection on going, Equ pad done, grounding done but bus bar not yet install_x000D_
23/7/15 : Backfilling on going, grounding done, tower on site
15Jul15 :ChoYee.Thaung: 14/7/15 : Rebar work done, Footing casted today, waiting for anchor bolt,nut and template_x000D_
9/7/15 : Excavation on going (90%)</v>
          </cell>
          <cell r="EI117" t="str">
            <v>M7: 2DG + battery      </v>
          </cell>
          <cell r="EJ117">
            <v>16</v>
          </cell>
          <cell r="EK117">
            <v>42181</v>
          </cell>
          <cell r="EL117">
            <v>42204</v>
          </cell>
          <cell r="EM117">
            <v>42182</v>
          </cell>
          <cell r="EN117">
            <v>42210</v>
          </cell>
          <cell r="EQ117">
            <v>42191</v>
          </cell>
          <cell r="ER117">
            <v>42219</v>
          </cell>
          <cell r="ES117">
            <v>42211</v>
          </cell>
          <cell r="ET117">
            <v>42222</v>
          </cell>
          <cell r="EU117">
            <v>42222</v>
          </cell>
          <cell r="EW117">
            <v>45</v>
          </cell>
          <cell r="EX117">
            <v>42205</v>
          </cell>
          <cell r="EZ117">
            <v>42201</v>
          </cell>
          <cell r="FA117">
            <v>42219</v>
          </cell>
          <cell r="FB117">
            <v>42203</v>
          </cell>
          <cell r="FC117">
            <v>42221</v>
          </cell>
          <cell r="FU117">
            <v>42205</v>
          </cell>
          <cell r="FW117">
            <v>42205</v>
          </cell>
          <cell r="FX117">
            <v>42222</v>
          </cell>
          <cell r="FY117" t="str">
            <v>UT</v>
          </cell>
          <cell r="FZ117">
            <v>42201</v>
          </cell>
          <cell r="GA117">
            <v>42205</v>
          </cell>
          <cell r="GB117">
            <v>42205</v>
          </cell>
          <cell r="GC117">
            <v>42208</v>
          </cell>
          <cell r="GD117">
            <v>42209</v>
          </cell>
          <cell r="GE117">
            <v>42205</v>
          </cell>
          <cell r="GF117">
            <v>42213</v>
          </cell>
          <cell r="GG117">
            <v>42213</v>
          </cell>
          <cell r="GH117">
            <v>42213</v>
          </cell>
          <cell r="GI117">
            <v>42246</v>
          </cell>
          <cell r="GJ117" t="str">
            <v>44-2015</v>
          </cell>
          <cell r="GK117">
            <v>42213</v>
          </cell>
          <cell r="GL117" t="str">
            <v>Upstream Dependency :: FE BA0801 (BA0801_R Reapeter Reqd.)</v>
          </cell>
          <cell r="GN117" t="str">
            <v xml:space="preserve">ERICSSON </v>
          </cell>
          <cell r="GO117">
            <v>42151</v>
          </cell>
          <cell r="GP117">
            <v>42199</v>
          </cell>
          <cell r="GQ117" t="str">
            <v xml:space="preserve">Upstream Dependency; </v>
          </cell>
          <cell r="GS117" t="str">
            <v>4/4/4</v>
          </cell>
          <cell r="GU117" t="str">
            <v xml:space="preserve">		</v>
          </cell>
          <cell r="HD117">
            <v>1</v>
          </cell>
        </row>
        <row r="118">
          <cell r="A118" t="str">
            <v>BA0811</v>
          </cell>
          <cell r="B118" t="str">
            <v>ACBA_0168</v>
          </cell>
          <cell r="C118" t="str">
            <v>Apollo</v>
          </cell>
          <cell r="D118" t="str">
            <v>Chris Thomson</v>
          </cell>
          <cell r="F118" t="str">
            <v>Phyo Wai Maung</v>
          </cell>
          <cell r="G118" t="str">
            <v>Paing Thu Soe</v>
          </cell>
          <cell r="H118" t="str">
            <v>RED</v>
          </cell>
          <cell r="I118" t="str">
            <v>South</v>
          </cell>
          <cell r="J118" t="str">
            <v>96.5215</v>
          </cell>
          <cell r="K118" t="str">
            <v>18.7554</v>
          </cell>
          <cell r="L118" t="str">
            <v>Rural</v>
          </cell>
          <cell r="M118" t="str">
            <v>Bago East</v>
          </cell>
          <cell r="N118" t="str">
            <v>Htantabin</v>
          </cell>
          <cell r="O118" t="str">
            <v>Htantabin</v>
          </cell>
          <cell r="P118" t="str">
            <v>Bago East</v>
          </cell>
          <cell r="Q118" t="str">
            <v>19</v>
          </cell>
          <cell r="R118" t="str">
            <v>Htantabin</v>
          </cell>
          <cell r="S118" t="str">
            <v>102</v>
          </cell>
          <cell r="T118" t="str">
            <v>GSM+UMTS</v>
          </cell>
          <cell r="W118" t="str">
            <v>Ph2-Priority</v>
          </cell>
          <cell r="X118" t="str">
            <v>45</v>
          </cell>
          <cell r="Y118" t="str">
            <v>47</v>
          </cell>
          <cell r="Z118" t="str">
            <v>GBT</v>
          </cell>
          <cell r="AA118" t="str">
            <v>250</v>
          </cell>
          <cell r="AB118" t="str">
            <v>Access</v>
          </cell>
          <cell r="AC118" t="str">
            <v>Class C</v>
          </cell>
          <cell r="BE118" t="str">
            <v>Route 7 Bago - Pyawbwe</v>
          </cell>
          <cell r="BH118" t="str">
            <v>Leadcom</v>
          </cell>
          <cell r="BJ118">
            <v>42153</v>
          </cell>
          <cell r="BK118">
            <v>42170</v>
          </cell>
          <cell r="BL118">
            <v>42158</v>
          </cell>
          <cell r="BM118">
            <v>42177</v>
          </cell>
          <cell r="BT118">
            <v>29</v>
          </cell>
          <cell r="BU118">
            <v>42202</v>
          </cell>
          <cell r="BV118">
            <v>42199</v>
          </cell>
          <cell r="BW118" t="str">
            <v>96.52161</v>
          </cell>
          <cell r="BX118" t="str">
            <v>18.755</v>
          </cell>
          <cell r="BY118" t="str">
            <v>C2</v>
          </cell>
          <cell r="BZ118" t="str">
            <v>U Tar Baw Street, Nit Tan Gue Village, Htan Da Pin TSp., Bago</v>
          </cell>
          <cell r="CA118" t="str">
            <v>U Khon San Pwint 09253016960</v>
          </cell>
          <cell r="CB118" t="str">
            <v>29 July 15: C2 SAR updated technical info released because  Tower height reduce to 35 M as per Apollo request.</v>
          </cell>
          <cell r="CC118" t="str">
            <v>RESIDENTIAL</v>
          </cell>
          <cell r="CE118">
            <v>1</v>
          </cell>
          <cell r="CF118">
            <v>42203</v>
          </cell>
          <cell r="CG118">
            <v>42200</v>
          </cell>
          <cell r="CH118">
            <v>42205</v>
          </cell>
          <cell r="CJ118">
            <v>42203</v>
          </cell>
          <cell r="CK118" t="str">
            <v>45</v>
          </cell>
          <cell r="CL118" t="str">
            <v>47</v>
          </cell>
          <cell r="CM118" t="str">
            <v>50</v>
          </cell>
          <cell r="CN118">
            <v>5</v>
          </cell>
          <cell r="CO118">
            <v>42208</v>
          </cell>
          <cell r="CP118">
            <v>42205</v>
          </cell>
          <cell r="CQ118" t="str">
            <v>M1: grid power + battery</v>
          </cell>
          <cell r="CR118">
            <v>2</v>
          </cell>
          <cell r="CS118">
            <v>42209</v>
          </cell>
          <cell r="CT118">
            <v>42207</v>
          </cell>
          <cell r="CU118" t="str">
            <v>BA0811</v>
          </cell>
          <cell r="DH118">
            <v>26</v>
          </cell>
          <cell r="DI118">
            <v>42219</v>
          </cell>
          <cell r="DK118">
            <v>42216</v>
          </cell>
          <cell r="DL118">
            <v>42242</v>
          </cell>
          <cell r="DM118">
            <v>42220</v>
          </cell>
          <cell r="DO118">
            <v>0</v>
          </cell>
          <cell r="DP118">
            <v>42219</v>
          </cell>
          <cell r="DT118">
            <v>0</v>
          </cell>
          <cell r="DU118">
            <v>42234</v>
          </cell>
          <cell r="DW118">
            <v>0</v>
          </cell>
          <cell r="DY118">
            <v>42220</v>
          </cell>
          <cell r="DZ118">
            <v>42238</v>
          </cell>
          <cell r="EA118" t="str">
            <v>Leadcom</v>
          </cell>
          <cell r="EJ118">
            <v>0</v>
          </cell>
          <cell r="EK118">
            <v>42237</v>
          </cell>
          <cell r="EL118">
            <v>42250</v>
          </cell>
          <cell r="EM118">
            <v>42238</v>
          </cell>
          <cell r="EQ118">
            <v>42247</v>
          </cell>
          <cell r="EW118">
            <v>0</v>
          </cell>
          <cell r="EX118">
            <v>42261</v>
          </cell>
          <cell r="EZ118">
            <v>42257</v>
          </cell>
          <cell r="FB118">
            <v>42259</v>
          </cell>
          <cell r="FU118">
            <v>42261</v>
          </cell>
          <cell r="FW118">
            <v>42261</v>
          </cell>
          <cell r="GJ118">
            <v>0</v>
          </cell>
          <cell r="GN118" t="str">
            <v>ERICSSON</v>
          </cell>
          <cell r="GU118" t="str">
            <v xml:space="preserve">		</v>
          </cell>
          <cell r="HD118">
            <v>1</v>
          </cell>
        </row>
        <row r="119">
          <cell r="A119" t="str">
            <v>BA0812</v>
          </cell>
          <cell r="B119" t="str">
            <v>ACBA_0169</v>
          </cell>
          <cell r="C119" t="str">
            <v>Apollo</v>
          </cell>
          <cell r="D119" t="str">
            <v>Chris Thomson</v>
          </cell>
          <cell r="F119" t="str">
            <v>Phyo Wai Maung</v>
          </cell>
          <cell r="G119" t="str">
            <v>Paing Thu Soe</v>
          </cell>
          <cell r="H119" t="str">
            <v>RED</v>
          </cell>
          <cell r="I119" t="str">
            <v>South</v>
          </cell>
          <cell r="J119" t="str">
            <v>96.5301</v>
          </cell>
          <cell r="K119" t="str">
            <v>18.7182</v>
          </cell>
          <cell r="L119" t="str">
            <v>Rural</v>
          </cell>
          <cell r="M119" t="str">
            <v>Bago East</v>
          </cell>
          <cell r="N119" t="str">
            <v>Htantabin</v>
          </cell>
          <cell r="O119" t="str">
            <v>Htantabin</v>
          </cell>
          <cell r="P119" t="str">
            <v>Bago East</v>
          </cell>
          <cell r="Q119" t="str">
            <v>19</v>
          </cell>
          <cell r="R119" t="str">
            <v>Htantabin</v>
          </cell>
          <cell r="S119" t="str">
            <v>102</v>
          </cell>
          <cell r="T119" t="str">
            <v>GSM+UMTS</v>
          </cell>
          <cell r="W119" t="str">
            <v>Ph2-Priority</v>
          </cell>
          <cell r="X119" t="str">
            <v>45</v>
          </cell>
          <cell r="Y119" t="str">
            <v>47</v>
          </cell>
          <cell r="Z119" t="str">
            <v>GBT</v>
          </cell>
          <cell r="AA119" t="str">
            <v>500</v>
          </cell>
          <cell r="AB119" t="str">
            <v>Access</v>
          </cell>
          <cell r="AC119" t="str">
            <v>Class C</v>
          </cell>
          <cell r="BE119" t="str">
            <v>Route 7 Bago - Pyawbwe</v>
          </cell>
          <cell r="BH119" t="str">
            <v>Leadcom</v>
          </cell>
          <cell r="BJ119">
            <v>42154</v>
          </cell>
          <cell r="BK119">
            <v>42170</v>
          </cell>
          <cell r="BL119">
            <v>42159</v>
          </cell>
          <cell r="BM119">
            <v>42177</v>
          </cell>
          <cell r="BT119">
            <v>27</v>
          </cell>
          <cell r="BU119">
            <v>42202</v>
          </cell>
          <cell r="BV119">
            <v>42197</v>
          </cell>
          <cell r="BW119" t="str">
            <v>96.53379</v>
          </cell>
          <cell r="BX119" t="str">
            <v>18.71663</v>
          </cell>
          <cell r="BY119" t="str">
            <v>C2</v>
          </cell>
          <cell r="BZ119" t="str">
            <v>Ar Sa Yea Street, Khoune Par Block,
Zayatkyi, Htan Ta Pin Tsp, Taungoo, Bago</v>
          </cell>
          <cell r="CA119" t="str">
            <v>U AYE LWIN</v>
          </cell>
          <cell r="CB119" t="str">
            <v>15 July 15 :C1-SAR submission</v>
          </cell>
          <cell r="CC119" t="str">
            <v>Residential</v>
          </cell>
          <cell r="CE119">
            <v>3</v>
          </cell>
          <cell r="CF119">
            <v>42203</v>
          </cell>
          <cell r="CG119">
            <v>42200</v>
          </cell>
          <cell r="CH119">
            <v>42205</v>
          </cell>
          <cell r="CJ119">
            <v>42205</v>
          </cell>
          <cell r="CK119" t="str">
            <v>45</v>
          </cell>
          <cell r="CL119" t="str">
            <v>47</v>
          </cell>
          <cell r="CM119" t="str">
            <v>50</v>
          </cell>
          <cell r="CN119">
            <v>7</v>
          </cell>
          <cell r="CO119">
            <v>42208</v>
          </cell>
          <cell r="CP119">
            <v>42207</v>
          </cell>
          <cell r="CQ119" t="str">
            <v>M1: grid power + battery</v>
          </cell>
          <cell r="CR119">
            <v>1</v>
          </cell>
          <cell r="CS119">
            <v>42209</v>
          </cell>
          <cell r="CT119">
            <v>42208</v>
          </cell>
          <cell r="CU119" t="str">
            <v>BA0812</v>
          </cell>
          <cell r="DH119">
            <v>25</v>
          </cell>
          <cell r="DI119">
            <v>42219</v>
          </cell>
          <cell r="DK119">
            <v>42216</v>
          </cell>
          <cell r="DL119">
            <v>42242</v>
          </cell>
          <cell r="DM119">
            <v>42220</v>
          </cell>
          <cell r="DO119">
            <v>0</v>
          </cell>
          <cell r="DP119">
            <v>42219</v>
          </cell>
          <cell r="DT119">
            <v>0</v>
          </cell>
          <cell r="DU119">
            <v>42234</v>
          </cell>
          <cell r="DW119">
            <v>0</v>
          </cell>
          <cell r="DY119">
            <v>42220</v>
          </cell>
          <cell r="DZ119">
            <v>42238</v>
          </cell>
          <cell r="EA119" t="str">
            <v>Leadcom</v>
          </cell>
          <cell r="EJ119">
            <v>0</v>
          </cell>
          <cell r="EK119">
            <v>42237</v>
          </cell>
          <cell r="EM119">
            <v>42238</v>
          </cell>
          <cell r="EQ119">
            <v>42247</v>
          </cell>
          <cell r="EW119">
            <v>0</v>
          </cell>
          <cell r="EX119">
            <v>42261</v>
          </cell>
          <cell r="EZ119">
            <v>42257</v>
          </cell>
          <cell r="FB119">
            <v>42259</v>
          </cell>
          <cell r="FU119">
            <v>42261</v>
          </cell>
          <cell r="FW119">
            <v>42261</v>
          </cell>
          <cell r="GJ119">
            <v>0</v>
          </cell>
          <cell r="GN119" t="str">
            <v>ERICSSON</v>
          </cell>
          <cell r="GU119" t="str">
            <v xml:space="preserve">		</v>
          </cell>
          <cell r="HD119">
            <v>1</v>
          </cell>
        </row>
        <row r="120">
          <cell r="A120" t="str">
            <v>BA0813</v>
          </cell>
          <cell r="B120" t="str">
            <v>ACBA_0170</v>
          </cell>
          <cell r="C120" t="str">
            <v>Apollo</v>
          </cell>
          <cell r="D120" t="str">
            <v>Robert</v>
          </cell>
          <cell r="F120" t="str">
            <v>Phyo Wai Maung</v>
          </cell>
          <cell r="G120" t="str">
            <v>Saw Pyie Zin Nyein</v>
          </cell>
          <cell r="H120" t="str">
            <v>WHITE</v>
          </cell>
          <cell r="I120" t="str">
            <v>South</v>
          </cell>
          <cell r="J120" t="str">
            <v>96.8679</v>
          </cell>
          <cell r="K120" t="str">
            <v>17.5187</v>
          </cell>
          <cell r="L120" t="str">
            <v>Rural</v>
          </cell>
          <cell r="M120" t="str">
            <v>Bago East</v>
          </cell>
          <cell r="N120" t="str">
            <v>Waw</v>
          </cell>
          <cell r="O120" t="str">
            <v>Waw</v>
          </cell>
          <cell r="P120" t="str">
            <v>Bago East</v>
          </cell>
          <cell r="Q120" t="str">
            <v>19</v>
          </cell>
          <cell r="R120" t="str">
            <v>Waw</v>
          </cell>
          <cell r="S120" t="str">
            <v>92</v>
          </cell>
          <cell r="T120" t="str">
            <v>GSM+UMTS</v>
          </cell>
          <cell r="W120" t="str">
            <v>Ph2-Priority</v>
          </cell>
          <cell r="X120" t="str">
            <v>45</v>
          </cell>
          <cell r="Y120" t="str">
            <v>45</v>
          </cell>
          <cell r="Z120" t="str">
            <v>GBT</v>
          </cell>
          <cell r="AA120" t="str">
            <v>250</v>
          </cell>
          <cell r="AB120" t="str">
            <v>Access</v>
          </cell>
          <cell r="AC120" t="str">
            <v>Class C</v>
          </cell>
          <cell r="BE120" t="str">
            <v>Route 2 Yangon -Mawlamyine</v>
          </cell>
          <cell r="BH120" t="str">
            <v>KTT</v>
          </cell>
          <cell r="BJ120">
            <v>42168</v>
          </cell>
          <cell r="BK120">
            <v>42130</v>
          </cell>
          <cell r="BL120">
            <v>42173</v>
          </cell>
          <cell r="BM120">
            <v>42147</v>
          </cell>
          <cell r="BT120">
            <v>27</v>
          </cell>
          <cell r="BU120">
            <v>42156</v>
          </cell>
          <cell r="BV120">
            <v>42157</v>
          </cell>
          <cell r="BW120" t="str">
            <v>96.86838</v>
          </cell>
          <cell r="BX120" t="str">
            <v>17.51853</v>
          </cell>
          <cell r="BY120" t="str">
            <v>C1</v>
          </cell>
          <cell r="BZ120" t="str">
            <v>No (139), Ywar Ma (2) Street, Kyaunt Nyat Village, Ta Naw Kyune Village Group, Waw Township, Bago Division.</v>
          </cell>
          <cell r="CA120" t="str">
            <v>U Myint Maung;No (139), Ywar Ma (2) Street, Kyaunt Nyat Village, Ta Naw Kyune Village Group, Waw Township, Bago Division;09-254902010</v>
          </cell>
          <cell r="CB120" t="str">
            <v>2Jun15: C1 SAR Sub.</v>
          </cell>
          <cell r="CE120">
            <v>0</v>
          </cell>
          <cell r="CF120">
            <v>42157</v>
          </cell>
          <cell r="CG120">
            <v>42157</v>
          </cell>
          <cell r="CH120">
            <v>42159</v>
          </cell>
          <cell r="CJ120">
            <v>42164</v>
          </cell>
          <cell r="CK120" t="str">
            <v>45</v>
          </cell>
          <cell r="CL120" t="str">
            <v>47</v>
          </cell>
          <cell r="CM120" t="str">
            <v>45</v>
          </cell>
          <cell r="CN120">
            <v>9</v>
          </cell>
          <cell r="CO120">
            <v>42162</v>
          </cell>
          <cell r="CP120">
            <v>42166</v>
          </cell>
          <cell r="CQ120" t="str">
            <v>M1: grid power + battery</v>
          </cell>
          <cell r="CR120">
            <v>0</v>
          </cell>
          <cell r="CS120">
            <v>42163</v>
          </cell>
          <cell r="CT120">
            <v>42166</v>
          </cell>
          <cell r="CU120" t="str">
            <v>BA0813</v>
          </cell>
          <cell r="DH120">
            <v>8</v>
          </cell>
          <cell r="DI120">
            <v>42173</v>
          </cell>
          <cell r="DJ120">
            <v>42174</v>
          </cell>
          <cell r="DK120">
            <v>42170</v>
          </cell>
          <cell r="DL120">
            <v>42164</v>
          </cell>
          <cell r="DM120">
            <v>42174</v>
          </cell>
          <cell r="DN120">
            <v>42164</v>
          </cell>
          <cell r="DO120">
            <v>0</v>
          </cell>
          <cell r="DP120">
            <v>42173</v>
          </cell>
          <cell r="DQ120">
            <v>42174</v>
          </cell>
          <cell r="DT120">
            <v>59</v>
          </cell>
          <cell r="DU120">
            <v>42188</v>
          </cell>
          <cell r="DW120">
            <v>0</v>
          </cell>
          <cell r="DY120">
            <v>42174</v>
          </cell>
          <cell r="DZ120">
            <v>42179</v>
          </cell>
          <cell r="EA120" t="str">
            <v>Leadcom</v>
          </cell>
          <cell r="EE120" t="str">
            <v xml:space="preserve">10 Aug 15:Rain affected_Progress affected; 3-Aug-15: Rain affected_ Site is progressing but rain is affecting the work every day.  Lean concrete done and rebars to proceed								</v>
          </cell>
          <cell r="EI120" t="str">
            <v>M5: grid power + DG + battery      </v>
          </cell>
          <cell r="EJ120">
            <v>14</v>
          </cell>
          <cell r="EK120">
            <v>42191</v>
          </cell>
          <cell r="EL120">
            <v>42193</v>
          </cell>
          <cell r="EM120">
            <v>42192</v>
          </cell>
          <cell r="EN120">
            <v>42199</v>
          </cell>
          <cell r="EQ120">
            <v>42201</v>
          </cell>
          <cell r="ER120">
            <v>42199</v>
          </cell>
          <cell r="ES120">
            <v>42202</v>
          </cell>
          <cell r="ET120">
            <v>42203</v>
          </cell>
          <cell r="EU120">
            <v>42204</v>
          </cell>
          <cell r="EW120">
            <v>54</v>
          </cell>
          <cell r="EX120">
            <v>42215</v>
          </cell>
          <cell r="EZ120">
            <v>42211</v>
          </cell>
          <cell r="FA120">
            <v>42207</v>
          </cell>
          <cell r="FB120">
            <v>42213</v>
          </cell>
          <cell r="FC120">
            <v>42207</v>
          </cell>
          <cell r="FE120">
            <v>42193</v>
          </cell>
          <cell r="FU120">
            <v>42215</v>
          </cell>
          <cell r="FV120">
            <v>42213</v>
          </cell>
          <cell r="FW120">
            <v>42215</v>
          </cell>
          <cell r="FX120">
            <v>42207</v>
          </cell>
          <cell r="FY120" t="str">
            <v>CFVL</v>
          </cell>
          <cell r="FZ120">
            <v>42196</v>
          </cell>
          <cell r="GA120">
            <v>42199</v>
          </cell>
          <cell r="GB120">
            <v>42200</v>
          </cell>
          <cell r="GC120">
            <v>42208</v>
          </cell>
          <cell r="GD120">
            <v>42209</v>
          </cell>
          <cell r="GE120">
            <v>42200</v>
          </cell>
          <cell r="GF120">
            <v>42200</v>
          </cell>
          <cell r="GG120">
            <v>42209</v>
          </cell>
          <cell r="GH120">
            <v>42210</v>
          </cell>
          <cell r="GI120">
            <v>42216</v>
          </cell>
          <cell r="GJ120" t="str">
            <v>30-2015</v>
          </cell>
          <cell r="GK120">
            <v>42210</v>
          </cell>
          <cell r="GN120" t="str">
            <v xml:space="preserve">ERICSSON </v>
          </cell>
          <cell r="GO120">
            <v>42185</v>
          </cell>
          <cell r="GU120" t="str">
            <v xml:space="preserve">		</v>
          </cell>
          <cell r="HD120">
            <v>1</v>
          </cell>
        </row>
        <row r="121">
          <cell r="A121" t="str">
            <v>BA0815</v>
          </cell>
          <cell r="B121" t="str">
            <v>ACBA_0171</v>
          </cell>
          <cell r="C121" t="str">
            <v>Apollo</v>
          </cell>
          <cell r="D121" t="str">
            <v>Chris Thomson</v>
          </cell>
          <cell r="F121" t="str">
            <v>Phyo Wai Maung</v>
          </cell>
          <cell r="G121" t="str">
            <v>Paing Thu Soe</v>
          </cell>
          <cell r="H121" t="str">
            <v>AMBER</v>
          </cell>
          <cell r="I121" t="str">
            <v>South</v>
          </cell>
          <cell r="J121" t="str">
            <v>96.412</v>
          </cell>
          <cell r="K121" t="str">
            <v>18.9209</v>
          </cell>
          <cell r="L121" t="str">
            <v>SubUrban</v>
          </cell>
          <cell r="M121" t="str">
            <v>Bago East</v>
          </cell>
          <cell r="N121" t="str">
            <v>Oktwin</v>
          </cell>
          <cell r="O121" t="str">
            <v>Oktwin</v>
          </cell>
          <cell r="P121" t="str">
            <v>Bago East</v>
          </cell>
          <cell r="Q121" t="str">
            <v>19</v>
          </cell>
          <cell r="R121" t="str">
            <v>Oktwin</v>
          </cell>
          <cell r="S121" t="str">
            <v>101</v>
          </cell>
          <cell r="T121" t="str">
            <v>GSM+UMTS</v>
          </cell>
          <cell r="W121" t="str">
            <v>Ph2-Priority</v>
          </cell>
          <cell r="X121" t="str">
            <v>35</v>
          </cell>
          <cell r="Y121" t="str">
            <v>35</v>
          </cell>
          <cell r="Z121" t="str">
            <v>GBT</v>
          </cell>
          <cell r="AA121" t="str">
            <v>250</v>
          </cell>
          <cell r="AB121" t="str">
            <v>Access</v>
          </cell>
          <cell r="AC121" t="str">
            <v>Class B</v>
          </cell>
          <cell r="BE121" t="str">
            <v>Route 7 Bago - Pyawbwe</v>
          </cell>
          <cell r="BH121" t="str">
            <v>KTT</v>
          </cell>
          <cell r="BJ121">
            <v>42152</v>
          </cell>
          <cell r="BK121">
            <v>42130</v>
          </cell>
          <cell r="BL121">
            <v>42157</v>
          </cell>
          <cell r="BM121">
            <v>42161</v>
          </cell>
          <cell r="BT121">
            <v>41</v>
          </cell>
          <cell r="BU121">
            <v>42184</v>
          </cell>
          <cell r="BV121">
            <v>42171</v>
          </cell>
          <cell r="BW121" t="str">
            <v>96.4119</v>
          </cell>
          <cell r="BX121" t="str">
            <v>18.92123</v>
          </cell>
          <cell r="BY121" t="str">
            <v>C3</v>
          </cell>
          <cell r="BZ121" t="str">
            <v>Kone Gyi Village, Wal Daunt Village Group, Oktwin Township, Bago</v>
          </cell>
          <cell r="CA121" t="str">
            <v>U Than Win;09-428154753, 09-37282</v>
          </cell>
          <cell r="CB121" t="str">
            <v>16Jun15: C3 SAR Sub</v>
          </cell>
          <cell r="CE121">
            <v>1</v>
          </cell>
          <cell r="CF121">
            <v>42185</v>
          </cell>
          <cell r="CG121">
            <v>42172</v>
          </cell>
          <cell r="CH121">
            <v>42187</v>
          </cell>
          <cell r="CJ121">
            <v>42179</v>
          </cell>
          <cell r="CK121" t="str">
            <v>35</v>
          </cell>
          <cell r="CL121" t="str">
            <v>37</v>
          </cell>
          <cell r="CM121" t="str">
            <v>35</v>
          </cell>
          <cell r="CN121">
            <v>9</v>
          </cell>
          <cell r="CO121">
            <v>42190</v>
          </cell>
          <cell r="CP121">
            <v>42181</v>
          </cell>
          <cell r="CQ121" t="str">
            <v>M4: solar + DG + battery</v>
          </cell>
          <cell r="CR121">
            <v>3</v>
          </cell>
          <cell r="CS121">
            <v>42191</v>
          </cell>
          <cell r="CT121">
            <v>42184</v>
          </cell>
          <cell r="CU121" t="str">
            <v>BA0815</v>
          </cell>
          <cell r="DH121">
            <v>49</v>
          </cell>
          <cell r="DI121">
            <v>42201</v>
          </cell>
          <cell r="DJ121">
            <v>42198</v>
          </cell>
          <cell r="DK121">
            <v>42198</v>
          </cell>
          <cell r="DL121">
            <v>42201</v>
          </cell>
          <cell r="DM121">
            <v>42202</v>
          </cell>
          <cell r="DN121">
            <v>42201</v>
          </cell>
          <cell r="DO121">
            <v>0</v>
          </cell>
          <cell r="DP121">
            <v>42201</v>
          </cell>
          <cell r="DQ121">
            <v>42198</v>
          </cell>
          <cell r="DT121">
            <v>0</v>
          </cell>
          <cell r="DU121">
            <v>42216</v>
          </cell>
          <cell r="DW121">
            <v>0</v>
          </cell>
          <cell r="DY121">
            <v>42202</v>
          </cell>
          <cell r="DZ121">
            <v>42185</v>
          </cell>
          <cell r="EA121" t="str">
            <v>Leadcom</v>
          </cell>
          <cell r="EJ121">
            <v>48</v>
          </cell>
          <cell r="EK121">
            <v>42217</v>
          </cell>
          <cell r="EL121">
            <v>42247</v>
          </cell>
          <cell r="EM121">
            <v>42218</v>
          </cell>
          <cell r="EN121">
            <v>42250</v>
          </cell>
          <cell r="EQ121">
            <v>42225</v>
          </cell>
          <cell r="EW121">
            <v>48</v>
          </cell>
          <cell r="EX121">
            <v>42212</v>
          </cell>
          <cell r="EZ121">
            <v>42235</v>
          </cell>
          <cell r="FB121">
            <v>42237</v>
          </cell>
          <cell r="FU121">
            <v>42239</v>
          </cell>
          <cell r="FW121">
            <v>42239</v>
          </cell>
          <cell r="GI121">
            <v>42277</v>
          </cell>
          <cell r="GJ121" t="str">
            <v>40-2015</v>
          </cell>
          <cell r="GN121" t="str">
            <v>ERICSSON</v>
          </cell>
          <cell r="GS121" t="str">
            <v>4/4/4</v>
          </cell>
          <cell r="GU121" t="str">
            <v xml:space="preserve">		</v>
          </cell>
          <cell r="HD121">
            <v>1</v>
          </cell>
        </row>
        <row r="122">
          <cell r="A122" t="str">
            <v>BA0816</v>
          </cell>
          <cell r="B122" t="str">
            <v>ACBA_0137</v>
          </cell>
          <cell r="C122" t="str">
            <v>Apollo</v>
          </cell>
          <cell r="D122" t="str">
            <v>Chris Thomson</v>
          </cell>
          <cell r="F122" t="str">
            <v>Phyo Wai Maung</v>
          </cell>
          <cell r="G122" t="str">
            <v>Cho Yee Thaung</v>
          </cell>
          <cell r="H122" t="str">
            <v>AMBER</v>
          </cell>
          <cell r="I122" t="str">
            <v>South</v>
          </cell>
          <cell r="J122" t="str">
            <v>95.6239</v>
          </cell>
          <cell r="K122" t="str">
            <v>18.3491</v>
          </cell>
          <cell r="L122" t="str">
            <v>Rural</v>
          </cell>
          <cell r="M122" t="str">
            <v>Bago West</v>
          </cell>
          <cell r="N122" t="str">
            <v>Zigon</v>
          </cell>
          <cell r="O122" t="str">
            <v>Zigon</v>
          </cell>
          <cell r="P122" t="str">
            <v>Bago West</v>
          </cell>
          <cell r="Q122" t="str">
            <v>20</v>
          </cell>
          <cell r="R122" t="str">
            <v>Zigon</v>
          </cell>
          <cell r="S122" t="str">
            <v>113</v>
          </cell>
          <cell r="T122" t="str">
            <v>GSM+UMTS</v>
          </cell>
          <cell r="W122" t="str">
            <v>Ph2-Priority</v>
          </cell>
          <cell r="X122" t="str">
            <v>45</v>
          </cell>
          <cell r="Y122" t="str">
            <v>47</v>
          </cell>
          <cell r="Z122" t="str">
            <v>GBT</v>
          </cell>
          <cell r="AA122" t="str">
            <v>250</v>
          </cell>
          <cell r="AB122" t="str">
            <v>Access</v>
          </cell>
          <cell r="AC122" t="str">
            <v>Class C</v>
          </cell>
          <cell r="BE122" t="str">
            <v>Route 1 Yangon - Mandalay</v>
          </cell>
          <cell r="BH122" t="str">
            <v>IENG</v>
          </cell>
          <cell r="BJ122">
            <v>42165</v>
          </cell>
          <cell r="BK122">
            <v>42141</v>
          </cell>
          <cell r="BL122">
            <v>42170</v>
          </cell>
          <cell r="BM122">
            <v>42148</v>
          </cell>
          <cell r="BT122">
            <v>17</v>
          </cell>
          <cell r="BU122">
            <v>42241</v>
          </cell>
          <cell r="BV122">
            <v>42158</v>
          </cell>
          <cell r="BW122" t="str">
            <v>95.62318</v>
          </cell>
          <cell r="BX122" t="str">
            <v>18.34863</v>
          </cell>
          <cell r="BY122" t="str">
            <v>C2</v>
          </cell>
          <cell r="BZ122" t="str">
            <v>Coner of Bogyoke Street and  (11)Street,Zi gon.</v>
          </cell>
          <cell r="CA122" t="str">
            <v>Daw Aye Aye San;Cherry Myaing (1)Street,Zee Gone;09-973915324,</v>
          </cell>
          <cell r="CB122" t="str">
            <v>3June15: C2 SAR Sub</v>
          </cell>
          <cell r="CC122" t="str">
            <v> Cultivated / Residential</v>
          </cell>
          <cell r="CE122">
            <v>0</v>
          </cell>
          <cell r="CF122">
            <v>42242</v>
          </cell>
          <cell r="CG122">
            <v>42158</v>
          </cell>
          <cell r="CH122">
            <v>42244</v>
          </cell>
          <cell r="CJ122">
            <v>42168</v>
          </cell>
          <cell r="CK122" t="str">
            <v>45</v>
          </cell>
          <cell r="CL122" t="str">
            <v>47</v>
          </cell>
          <cell r="CM122" t="str">
            <v>50</v>
          </cell>
          <cell r="CN122">
            <v>12</v>
          </cell>
          <cell r="CO122">
            <v>42247</v>
          </cell>
          <cell r="CP122">
            <v>42170</v>
          </cell>
          <cell r="CQ122" t="str">
            <v>M1: grid power + battery</v>
          </cell>
          <cell r="CR122">
            <v>1</v>
          </cell>
          <cell r="CS122">
            <v>42248</v>
          </cell>
          <cell r="CT122">
            <v>42171</v>
          </cell>
          <cell r="CU122" t="str">
            <v>BA0816</v>
          </cell>
          <cell r="DH122">
            <v>62</v>
          </cell>
          <cell r="DI122">
            <v>42258</v>
          </cell>
          <cell r="DK122">
            <v>42255</v>
          </cell>
          <cell r="DL122">
            <v>42181</v>
          </cell>
          <cell r="DM122">
            <v>42259</v>
          </cell>
          <cell r="DN122">
            <v>42186</v>
          </cell>
          <cell r="DO122">
            <v>0</v>
          </cell>
          <cell r="DP122">
            <v>42258</v>
          </cell>
          <cell r="DT122">
            <v>0</v>
          </cell>
          <cell r="DU122">
            <v>42273</v>
          </cell>
          <cell r="DW122">
            <v>0</v>
          </cell>
          <cell r="DY122">
            <v>42259</v>
          </cell>
          <cell r="DZ122">
            <v>42187</v>
          </cell>
          <cell r="EA122" t="str">
            <v>IENG</v>
          </cell>
          <cell r="EB122">
            <v>42187</v>
          </cell>
          <cell r="ED122" t="str">
            <v xml:space="preserve">01Sep15 :ChoYee.Thaung: Excavation done, Rebar work on going
</v>
          </cell>
          <cell r="EE122" t="str">
            <v xml:space="preserve">10 Aug 15:Flood affected_Hold-No access; 2-Jul-15:NOC Issue,Flood affected unable to resolve.								</v>
          </cell>
          <cell r="EI122" t="str">
            <v>M5: grid power + DG + battery      </v>
          </cell>
          <cell r="EJ122">
            <v>46</v>
          </cell>
          <cell r="EK122">
            <v>42276</v>
          </cell>
          <cell r="EL122">
            <v>42198</v>
          </cell>
          <cell r="EM122">
            <v>42277</v>
          </cell>
          <cell r="EN122">
            <v>42200</v>
          </cell>
          <cell r="EQ122">
            <v>42286</v>
          </cell>
          <cell r="ER122">
            <v>42206</v>
          </cell>
          <cell r="ES122">
            <v>42213</v>
          </cell>
          <cell r="ET122">
            <v>42217</v>
          </cell>
          <cell r="EU122">
            <v>42217</v>
          </cell>
          <cell r="EW122">
            <v>46</v>
          </cell>
          <cell r="EX122">
            <v>42289</v>
          </cell>
          <cell r="EZ122">
            <v>42296</v>
          </cell>
          <cell r="FA122">
            <v>42209</v>
          </cell>
          <cell r="FB122">
            <v>42298</v>
          </cell>
          <cell r="FC122">
            <v>42217</v>
          </cell>
          <cell r="FE122">
            <v>42193</v>
          </cell>
          <cell r="FU122">
            <v>42300</v>
          </cell>
          <cell r="FW122">
            <v>42300</v>
          </cell>
          <cell r="FX122">
            <v>42217</v>
          </cell>
          <cell r="FY122" t="str">
            <v>UT</v>
          </cell>
          <cell r="FZ122">
            <v>42201</v>
          </cell>
          <cell r="GA122">
            <v>42205</v>
          </cell>
          <cell r="GB122">
            <v>42205</v>
          </cell>
          <cell r="GC122">
            <v>42207</v>
          </cell>
          <cell r="GD122">
            <v>42219</v>
          </cell>
          <cell r="GE122">
            <v>42205</v>
          </cell>
          <cell r="GF122">
            <v>42219</v>
          </cell>
          <cell r="GG122">
            <v>42219</v>
          </cell>
          <cell r="GH122">
            <v>42219</v>
          </cell>
          <cell r="GI122">
            <v>42277</v>
          </cell>
          <cell r="GJ122" t="str">
            <v>40-2015</v>
          </cell>
          <cell r="GK122">
            <v>42220</v>
          </cell>
          <cell r="GN122" t="str">
            <v xml:space="preserve">ERICSSON </v>
          </cell>
          <cell r="GP122">
            <v>42198</v>
          </cell>
          <cell r="GS122" t="str">
            <v>4/4/4</v>
          </cell>
          <cell r="GU122" t="str">
            <v xml:space="preserve">		</v>
          </cell>
          <cell r="HD122">
            <v>1</v>
          </cell>
        </row>
        <row r="123">
          <cell r="A123" t="str">
            <v>BA0818</v>
          </cell>
          <cell r="B123" t="str">
            <v>ACBA_0172</v>
          </cell>
          <cell r="C123" t="str">
            <v>Apollo</v>
          </cell>
          <cell r="D123" t="str">
            <v>Robert</v>
          </cell>
          <cell r="F123" t="str">
            <v>Phyo Wai Maung</v>
          </cell>
          <cell r="G123" t="str">
            <v>Saw Pyie Zin Nyein</v>
          </cell>
          <cell r="H123" t="str">
            <v>RED</v>
          </cell>
          <cell r="I123" t="str">
            <v>South</v>
          </cell>
          <cell r="J123" t="str">
            <v>96.5283</v>
          </cell>
          <cell r="K123" t="str">
            <v>17.9303</v>
          </cell>
          <cell r="L123" t="str">
            <v>Rural</v>
          </cell>
          <cell r="M123" t="str">
            <v>Bago East</v>
          </cell>
          <cell r="N123" t="str">
            <v>Daik-U</v>
          </cell>
          <cell r="O123" t="str">
            <v>Daik-U</v>
          </cell>
          <cell r="P123" t="str">
            <v>Bago East</v>
          </cell>
          <cell r="Q123" t="str">
            <v>19</v>
          </cell>
          <cell r="R123" t="str">
            <v>Daik-U</v>
          </cell>
          <cell r="S123" t="str">
            <v>95</v>
          </cell>
          <cell r="T123" t="str">
            <v>GSM+UMTS</v>
          </cell>
          <cell r="W123" t="str">
            <v>Ph2-Priority</v>
          </cell>
          <cell r="X123" t="str">
            <v>45</v>
          </cell>
          <cell r="Y123" t="str">
            <v>47</v>
          </cell>
          <cell r="Z123" t="str">
            <v>GBT</v>
          </cell>
          <cell r="AA123" t="str">
            <v>500</v>
          </cell>
          <cell r="AB123" t="str">
            <v>Access</v>
          </cell>
          <cell r="AC123" t="str">
            <v>Class C</v>
          </cell>
          <cell r="BE123" t="str">
            <v>Route 7 Bago - Pyawbwe</v>
          </cell>
          <cell r="BH123" t="str">
            <v>Camusat</v>
          </cell>
          <cell r="BJ123">
            <v>42154</v>
          </cell>
          <cell r="BK123">
            <v>42168</v>
          </cell>
          <cell r="BL123">
            <v>42159</v>
          </cell>
          <cell r="BM123">
            <v>42175</v>
          </cell>
          <cell r="BT123">
            <v>65</v>
          </cell>
          <cell r="BU123">
            <v>42211</v>
          </cell>
          <cell r="BY123" t="str">
            <v>Reject</v>
          </cell>
          <cell r="CB123" t="str">
            <v>7 Aug 15 : C1 SAR rejected(As per TM radio suggestion, RND rejected this site is 805m far from the nominal point and out of search ring. Please find the new candidate within the search ring and between 100 degree and 220 degree from nominal point);  5 Aug 15 :C1-SAR submission</v>
          </cell>
          <cell r="CE123">
            <v>0</v>
          </cell>
          <cell r="CF123">
            <v>42212</v>
          </cell>
          <cell r="CH123">
            <v>42214</v>
          </cell>
          <cell r="CN123">
            <v>0</v>
          </cell>
          <cell r="CO123">
            <v>42217</v>
          </cell>
          <cell r="CR123">
            <v>0</v>
          </cell>
          <cell r="CS123">
            <v>42218</v>
          </cell>
          <cell r="CU123" t="str">
            <v>BA0818</v>
          </cell>
          <cell r="DH123">
            <v>0</v>
          </cell>
          <cell r="DI123">
            <v>42228</v>
          </cell>
          <cell r="DK123">
            <v>42225</v>
          </cell>
          <cell r="DM123">
            <v>42229</v>
          </cell>
          <cell r="DO123">
            <v>0</v>
          </cell>
          <cell r="DP123">
            <v>42228</v>
          </cell>
          <cell r="DT123">
            <v>0</v>
          </cell>
          <cell r="DU123">
            <v>42243</v>
          </cell>
          <cell r="DW123">
            <v>0</v>
          </cell>
          <cell r="DY123">
            <v>42229</v>
          </cell>
          <cell r="EA123" t="str">
            <v>Leadcom</v>
          </cell>
          <cell r="EJ123">
            <v>0</v>
          </cell>
          <cell r="EK123">
            <v>42246</v>
          </cell>
          <cell r="EM123">
            <v>42247</v>
          </cell>
          <cell r="EQ123">
            <v>42256</v>
          </cell>
          <cell r="EW123">
            <v>0</v>
          </cell>
          <cell r="EX123">
            <v>42224</v>
          </cell>
          <cell r="EZ123">
            <v>42266</v>
          </cell>
          <cell r="FB123">
            <v>42268</v>
          </cell>
          <cell r="FU123">
            <v>42270</v>
          </cell>
          <cell r="FW123">
            <v>42270</v>
          </cell>
          <cell r="GJ123">
            <v>0</v>
          </cell>
          <cell r="GN123" t="str">
            <v>ERICSSON</v>
          </cell>
          <cell r="GU123" t="str">
            <v xml:space="preserve">		</v>
          </cell>
          <cell r="HD123">
            <v>1</v>
          </cell>
        </row>
        <row r="124">
          <cell r="A124" t="str">
            <v>BA0820</v>
          </cell>
          <cell r="B124" t="str">
            <v>ACBA_0173</v>
          </cell>
          <cell r="C124" t="str">
            <v>Apollo</v>
          </cell>
          <cell r="D124" t="str">
            <v>Robert</v>
          </cell>
          <cell r="F124" t="str">
            <v>Phyo Wai Maung</v>
          </cell>
          <cell r="G124" t="str">
            <v>Saw Pyie Zin Nyein</v>
          </cell>
          <cell r="H124" t="str">
            <v>RED</v>
          </cell>
          <cell r="I124" t="str">
            <v>South</v>
          </cell>
          <cell r="J124" t="str">
            <v>96.6737179999999</v>
          </cell>
          <cell r="K124" t="str">
            <v>17.473979</v>
          </cell>
          <cell r="L124" t="str">
            <v>Rural</v>
          </cell>
          <cell r="M124" t="str">
            <v>Bago East</v>
          </cell>
          <cell r="N124" t="str">
            <v>Waw</v>
          </cell>
          <cell r="O124" t="str">
            <v>Waw</v>
          </cell>
          <cell r="P124" t="str">
            <v>Bago East</v>
          </cell>
          <cell r="Q124" t="str">
            <v>19</v>
          </cell>
          <cell r="R124" t="str">
            <v>Waw</v>
          </cell>
          <cell r="S124" t="str">
            <v>92</v>
          </cell>
          <cell r="T124" t="str">
            <v>GSM+UMTS</v>
          </cell>
          <cell r="W124" t="str">
            <v>Ph2-Priority</v>
          </cell>
          <cell r="X124" t="str">
            <v>45</v>
          </cell>
          <cell r="Y124" t="str">
            <v>47</v>
          </cell>
          <cell r="Z124" t="str">
            <v>GBT</v>
          </cell>
          <cell r="AA124" t="str">
            <v>250</v>
          </cell>
          <cell r="AB124" t="str">
            <v>Access</v>
          </cell>
          <cell r="AC124" t="str">
            <v>Class C</v>
          </cell>
          <cell r="BE124" t="str">
            <v>Route 1 Yangon - Mandalay</v>
          </cell>
          <cell r="BH124" t="str">
            <v>Leadcom</v>
          </cell>
          <cell r="BJ124">
            <v>42154</v>
          </cell>
          <cell r="BK124">
            <v>42149</v>
          </cell>
          <cell r="BL124">
            <v>42159</v>
          </cell>
          <cell r="BM124">
            <v>42156</v>
          </cell>
          <cell r="BT124">
            <v>38</v>
          </cell>
          <cell r="BU124">
            <v>42202</v>
          </cell>
          <cell r="BV124">
            <v>42187</v>
          </cell>
          <cell r="BW124" t="str">
            <v>96.67265</v>
          </cell>
          <cell r="BX124" t="str">
            <v>17.46895</v>
          </cell>
          <cell r="BY124" t="str">
            <v>C5</v>
          </cell>
          <cell r="BZ124" t="str">
            <v>Sandar street,Ayechan Tharyar Village,Waw Township,Bago Division.</v>
          </cell>
          <cell r="CA124" t="str">
            <v>U Win Zaw,09-31214881,09-428190680</v>
          </cell>
          <cell r="CB124" t="str">
            <v>2 July 15 : C5 SAR sub;C1 SAR cancelled due to Proximity issue to MPT Tower;12 June 15: C1 SAR app</v>
          </cell>
          <cell r="CC124" t="str">
            <v>RESIDENTIAL</v>
          </cell>
          <cell r="CE124">
            <v>1</v>
          </cell>
          <cell r="CF124">
            <v>42203</v>
          </cell>
          <cell r="CG124">
            <v>42188</v>
          </cell>
          <cell r="CH124">
            <v>42205</v>
          </cell>
          <cell r="CJ124">
            <v>42198</v>
          </cell>
          <cell r="CK124" t="str">
            <v>45</v>
          </cell>
          <cell r="CL124" t="str">
            <v>47</v>
          </cell>
          <cell r="CM124" t="str">
            <v>50</v>
          </cell>
          <cell r="CN124">
            <v>12</v>
          </cell>
          <cell r="CO124">
            <v>42208</v>
          </cell>
          <cell r="CP124">
            <v>42200</v>
          </cell>
          <cell r="CQ124" t="str">
            <v>M1: grid power + battery</v>
          </cell>
          <cell r="CR124">
            <v>1</v>
          </cell>
          <cell r="CS124">
            <v>42209</v>
          </cell>
          <cell r="CT124">
            <v>42201</v>
          </cell>
          <cell r="CU124" t="str">
            <v>BA0820</v>
          </cell>
          <cell r="DH124">
            <v>32</v>
          </cell>
          <cell r="DI124">
            <v>42219</v>
          </cell>
          <cell r="DK124">
            <v>42216</v>
          </cell>
          <cell r="DL124">
            <v>42182</v>
          </cell>
          <cell r="DM124">
            <v>42220</v>
          </cell>
          <cell r="DN124">
            <v>42186</v>
          </cell>
          <cell r="DO124">
            <v>0</v>
          </cell>
          <cell r="DP124">
            <v>42219</v>
          </cell>
          <cell r="DT124">
            <v>0</v>
          </cell>
          <cell r="DU124">
            <v>42234</v>
          </cell>
          <cell r="DW124">
            <v>0</v>
          </cell>
          <cell r="DY124">
            <v>42220</v>
          </cell>
          <cell r="DZ124">
            <v>42187</v>
          </cell>
          <cell r="EA124" t="str">
            <v>Leadcom</v>
          </cell>
          <cell r="EB124">
            <v>42213</v>
          </cell>
          <cell r="EE124" t="str">
            <v xml:space="preserve">10 Aug 15:Flood affected_Hold-No access; 28-Jul-15:Area is flooded, Lease &amp; Ownership Pending_On hold till dry,NOC								</v>
          </cell>
          <cell r="EJ124">
            <v>0</v>
          </cell>
          <cell r="EK124">
            <v>42237</v>
          </cell>
          <cell r="EL124">
            <v>42221</v>
          </cell>
          <cell r="EM124">
            <v>42238</v>
          </cell>
          <cell r="EN124">
            <v>42227</v>
          </cell>
          <cell r="EQ124">
            <v>42247</v>
          </cell>
          <cell r="EW124">
            <v>0</v>
          </cell>
          <cell r="EX124">
            <v>42261</v>
          </cell>
          <cell r="EZ124">
            <v>42257</v>
          </cell>
          <cell r="FB124">
            <v>42259</v>
          </cell>
          <cell r="FU124">
            <v>42261</v>
          </cell>
          <cell r="FW124">
            <v>42261</v>
          </cell>
          <cell r="FY124" t="str">
            <v>TN</v>
          </cell>
          <cell r="FZ124">
            <v>42228</v>
          </cell>
          <cell r="GA124">
            <v>42232</v>
          </cell>
          <cell r="GI124">
            <v>42246</v>
          </cell>
          <cell r="GJ124">
            <v>0</v>
          </cell>
          <cell r="GN124" t="str">
            <v xml:space="preserve">ERICSSON </v>
          </cell>
          <cell r="GO124">
            <v>42151</v>
          </cell>
          <cell r="GP124">
            <v>42198</v>
          </cell>
          <cell r="GU124" t="str">
            <v xml:space="preserve">		</v>
          </cell>
          <cell r="HD124">
            <v>1</v>
          </cell>
        </row>
        <row r="125">
          <cell r="A125" t="str">
            <v>BA0821</v>
          </cell>
          <cell r="B125" t="str">
            <v>ACBA_0174</v>
          </cell>
          <cell r="C125" t="str">
            <v>Apollo</v>
          </cell>
          <cell r="D125" t="str">
            <v>Robert</v>
          </cell>
          <cell r="F125" t="str">
            <v>Phyo Wai Maung</v>
          </cell>
          <cell r="G125" t="str">
            <v>Saw Pyie Zin Nyein</v>
          </cell>
          <cell r="H125" t="str">
            <v>AMBER</v>
          </cell>
          <cell r="I125" t="str">
            <v>South</v>
          </cell>
          <cell r="J125" t="str">
            <v>96.7251168066499</v>
          </cell>
          <cell r="K125" t="str">
            <v>17.4464907466143</v>
          </cell>
          <cell r="L125" t="str">
            <v>Rural</v>
          </cell>
          <cell r="M125" t="str">
            <v>Bago East</v>
          </cell>
          <cell r="N125" t="str">
            <v>Waw</v>
          </cell>
          <cell r="O125" t="str">
            <v>Waw</v>
          </cell>
          <cell r="P125" t="str">
            <v>Bago East</v>
          </cell>
          <cell r="Q125" t="str">
            <v>19</v>
          </cell>
          <cell r="R125" t="str">
            <v>Waw</v>
          </cell>
          <cell r="S125" t="str">
            <v>92</v>
          </cell>
          <cell r="T125" t="str">
            <v>GSM+UMTS</v>
          </cell>
          <cell r="W125" t="str">
            <v>Ph2-Priority</v>
          </cell>
          <cell r="X125" t="str">
            <v>45</v>
          </cell>
          <cell r="Y125" t="str">
            <v>45</v>
          </cell>
          <cell r="Z125" t="str">
            <v>GBT</v>
          </cell>
          <cell r="AA125" t="str">
            <v>500</v>
          </cell>
          <cell r="AB125" t="str">
            <v>Access</v>
          </cell>
          <cell r="AC125" t="str">
            <v>Class C</v>
          </cell>
          <cell r="BE125" t="str">
            <v>Yangon South</v>
          </cell>
          <cell r="BH125" t="str">
            <v>KTT</v>
          </cell>
          <cell r="BJ125">
            <v>42152</v>
          </cell>
          <cell r="BK125">
            <v>42130</v>
          </cell>
          <cell r="BL125">
            <v>42157</v>
          </cell>
          <cell r="BM125">
            <v>42160</v>
          </cell>
          <cell r="BT125">
            <v>40</v>
          </cell>
          <cell r="BU125">
            <v>42187</v>
          </cell>
          <cell r="BV125">
            <v>42170</v>
          </cell>
          <cell r="BW125" t="str">
            <v>96.72557</v>
          </cell>
          <cell r="BX125" t="str">
            <v>17.44645</v>
          </cell>
          <cell r="BY125" t="str">
            <v>C1</v>
          </cell>
          <cell r="BZ125" t="str">
            <v>No.(26),Kyaung Street,Payarpyoe Village,Waw Township, Bago Division.</v>
          </cell>
          <cell r="CA125" t="str">
            <v>U Win Lwin;(Daw Nu;09-250158015, 09-428182727 in SAR pdf)</v>
          </cell>
          <cell r="CB125" t="str">
            <v>12 Aug 15 : C1 TSSR updated checklist given from E// because of updating link up site and MW antenna size but the actual antenna height  didn't change;24 Jun 15:C1 TSSR app;15Jun15: C1 SAR Sub</v>
          </cell>
          <cell r="CC125" t="str">
            <v>Farm Land</v>
          </cell>
          <cell r="CE125">
            <v>1</v>
          </cell>
          <cell r="CF125">
            <v>42188</v>
          </cell>
          <cell r="CG125">
            <v>42171</v>
          </cell>
          <cell r="CH125">
            <v>42190</v>
          </cell>
          <cell r="CJ125">
            <v>42176</v>
          </cell>
          <cell r="CK125" t="str">
            <v>45</v>
          </cell>
          <cell r="CL125" t="str">
            <v>47</v>
          </cell>
          <cell r="CM125" t="str">
            <v>45</v>
          </cell>
          <cell r="CN125">
            <v>7</v>
          </cell>
          <cell r="CO125">
            <v>42193</v>
          </cell>
          <cell r="CP125">
            <v>42178</v>
          </cell>
          <cell r="CQ125" t="str">
            <v>M1: grid power + battery</v>
          </cell>
          <cell r="CR125">
            <v>1</v>
          </cell>
          <cell r="CS125">
            <v>42194</v>
          </cell>
          <cell r="CT125">
            <v>42179</v>
          </cell>
          <cell r="CU125" t="str">
            <v>BA0821</v>
          </cell>
          <cell r="DH125">
            <v>7</v>
          </cell>
          <cell r="DI125">
            <v>42204</v>
          </cell>
          <cell r="DJ125">
            <v>42186</v>
          </cell>
          <cell r="DK125">
            <v>42201</v>
          </cell>
          <cell r="DL125">
            <v>42166</v>
          </cell>
          <cell r="DM125">
            <v>42205</v>
          </cell>
          <cell r="DN125">
            <v>42174</v>
          </cell>
          <cell r="DO125">
            <v>0</v>
          </cell>
          <cell r="DP125">
            <v>42204</v>
          </cell>
          <cell r="DQ125">
            <v>42186</v>
          </cell>
          <cell r="DT125">
            <v>47</v>
          </cell>
          <cell r="DU125">
            <v>42219</v>
          </cell>
          <cell r="DW125">
            <v>0</v>
          </cell>
          <cell r="DY125">
            <v>42205</v>
          </cell>
          <cell r="DZ125">
            <v>42203</v>
          </cell>
          <cell r="EA125" t="str">
            <v>Leadcom</v>
          </cell>
          <cell r="ED125" t="str">
            <v>27Jul15 :Thiha.Kyaw: 27-7-15 Back filling in progress 60% Done.
20Jul15 :Thiha.Kyaw: 17-7-15 Pedestal making in progress, Tower on site.
13Jul15 :Thiha.Kyaw: 13-7-15 Footing making  in progress.
06Jul15 :Thiha.Kyaw: 30-6-15 Excavation in progress.</v>
          </cell>
          <cell r="EE125" t="str">
            <v xml:space="preserve">10 Aug 15:Rain affected_Progress affected; 4-Aug-15: muddy access road -slow progress								</v>
          </cell>
          <cell r="EJ125">
            <v>30</v>
          </cell>
          <cell r="EK125">
            <v>42222</v>
          </cell>
          <cell r="EL125">
            <v>42233</v>
          </cell>
          <cell r="EM125">
            <v>42223</v>
          </cell>
          <cell r="EN125">
            <v>42223</v>
          </cell>
          <cell r="EQ125">
            <v>42232</v>
          </cell>
          <cell r="ER125">
            <v>42247</v>
          </cell>
          <cell r="ES125">
            <v>42241</v>
          </cell>
          <cell r="ET125">
            <v>42247</v>
          </cell>
          <cell r="EU125">
            <v>42247</v>
          </cell>
          <cell r="EW125">
            <v>30</v>
          </cell>
          <cell r="EX125">
            <v>42216</v>
          </cell>
          <cell r="EZ125">
            <v>42242</v>
          </cell>
          <cell r="FA125">
            <v>42246</v>
          </cell>
          <cell r="FB125">
            <v>42244</v>
          </cell>
          <cell r="FC125">
            <v>42247</v>
          </cell>
          <cell r="FE125">
            <v>42193</v>
          </cell>
          <cell r="FU125">
            <v>42246</v>
          </cell>
          <cell r="FW125">
            <v>42246</v>
          </cell>
          <cell r="FX125">
            <v>42249</v>
          </cell>
          <cell r="FY125" t="str">
            <v>RT</v>
          </cell>
          <cell r="FZ125">
            <v>42234</v>
          </cell>
          <cell r="GA125">
            <v>42236</v>
          </cell>
          <cell r="GB125">
            <v>42237</v>
          </cell>
          <cell r="GC125">
            <v>42249</v>
          </cell>
          <cell r="GD125">
            <v>42250</v>
          </cell>
          <cell r="GE125">
            <v>42236</v>
          </cell>
          <cell r="GF125">
            <v>42232</v>
          </cell>
          <cell r="GG125">
            <v>42232</v>
          </cell>
          <cell r="GH125">
            <v>42232</v>
          </cell>
          <cell r="GI125">
            <v>42246</v>
          </cell>
          <cell r="GJ125" t="str">
            <v>44-2015</v>
          </cell>
          <cell r="GK125">
            <v>42233</v>
          </cell>
          <cell r="GL125" t="str">
            <v>RT to UT</v>
          </cell>
          <cell r="GN125" t="str">
            <v xml:space="preserve">ERICSSON </v>
          </cell>
          <cell r="GO125">
            <v>42158</v>
          </cell>
          <cell r="GQ125">
            <v>0</v>
          </cell>
          <cell r="GS125" t="str">
            <v>4/4/4</v>
          </cell>
          <cell r="GU125" t="str">
            <v xml:space="preserve">		</v>
          </cell>
          <cell r="HD125">
            <v>1</v>
          </cell>
        </row>
        <row r="126">
          <cell r="A126" t="str">
            <v>BA0822</v>
          </cell>
          <cell r="B126" t="str">
            <v>ACBA_0175</v>
          </cell>
          <cell r="C126" t="str">
            <v>Apollo</v>
          </cell>
          <cell r="D126" t="str">
            <v>Robert</v>
          </cell>
          <cell r="F126" t="str">
            <v>Phyo Wai Maung</v>
          </cell>
          <cell r="G126" t="str">
            <v>Saw Pyie Zin Nyein</v>
          </cell>
          <cell r="H126" t="str">
            <v>AMBER</v>
          </cell>
          <cell r="I126" t="str">
            <v>South</v>
          </cell>
          <cell r="J126" t="str">
            <v>96.824025</v>
          </cell>
          <cell r="K126" t="str">
            <v>17.438263</v>
          </cell>
          <cell r="L126" t="str">
            <v>Rural</v>
          </cell>
          <cell r="M126" t="str">
            <v>Bago East</v>
          </cell>
          <cell r="N126" t="str">
            <v>Waw</v>
          </cell>
          <cell r="O126" t="str">
            <v>Waw</v>
          </cell>
          <cell r="P126" t="str">
            <v>Bago East</v>
          </cell>
          <cell r="Q126" t="str">
            <v>19</v>
          </cell>
          <cell r="R126" t="str">
            <v>Waw</v>
          </cell>
          <cell r="S126" t="str">
            <v>92</v>
          </cell>
          <cell r="T126" t="str">
            <v>GSM+UMTS</v>
          </cell>
          <cell r="W126" t="str">
            <v>Ph2-Priority</v>
          </cell>
          <cell r="X126" t="str">
            <v>45</v>
          </cell>
          <cell r="Y126" t="str">
            <v>45</v>
          </cell>
          <cell r="Z126" t="str">
            <v>GBT</v>
          </cell>
          <cell r="AA126" t="str">
            <v>500</v>
          </cell>
          <cell r="AB126" t="str">
            <v>Access</v>
          </cell>
          <cell r="AC126" t="str">
            <v>Class C</v>
          </cell>
          <cell r="BH126" t="str">
            <v>KTT</v>
          </cell>
          <cell r="BJ126">
            <v>42168</v>
          </cell>
          <cell r="BK126">
            <v>42130</v>
          </cell>
          <cell r="BL126">
            <v>42173</v>
          </cell>
          <cell r="BM126">
            <v>42157</v>
          </cell>
          <cell r="BT126">
            <v>37</v>
          </cell>
          <cell r="BU126">
            <v>42170</v>
          </cell>
          <cell r="BV126">
            <v>42167</v>
          </cell>
          <cell r="BW126" t="str">
            <v>96.82401</v>
          </cell>
          <cell r="BX126" t="str">
            <v>17.4369</v>
          </cell>
          <cell r="BY126" t="str">
            <v>C1</v>
          </cell>
          <cell r="BZ126" t="str">
            <v>No(154), (4) Street, Upper Pan Nyo Village, Pan Nyo Village Group, Waw Township, Bago.</v>
          </cell>
          <cell r="CA126" t="str">
            <v>U Khin Maung Yee;09-30479937, 09-31429765</v>
          </cell>
          <cell r="CB126" t="str">
            <v>12Jun15: C1 SAR Sub on Friday 8PM</v>
          </cell>
          <cell r="CE126">
            <v>3</v>
          </cell>
          <cell r="CF126">
            <v>42171</v>
          </cell>
          <cell r="CG126">
            <v>42170</v>
          </cell>
          <cell r="CH126">
            <v>42173</v>
          </cell>
          <cell r="CJ126">
            <v>42176</v>
          </cell>
          <cell r="CK126" t="str">
            <v>45</v>
          </cell>
          <cell r="CL126" t="str">
            <v>47</v>
          </cell>
          <cell r="CM126" t="str">
            <v>45</v>
          </cell>
          <cell r="CN126">
            <v>8</v>
          </cell>
          <cell r="CO126">
            <v>42176</v>
          </cell>
          <cell r="CP126">
            <v>42178</v>
          </cell>
          <cell r="CQ126" t="str">
            <v>M1: grid power + battery</v>
          </cell>
          <cell r="CR126">
            <v>1</v>
          </cell>
          <cell r="CS126">
            <v>42177</v>
          </cell>
          <cell r="CT126">
            <v>42179</v>
          </cell>
          <cell r="CU126" t="str">
            <v>BA0822</v>
          </cell>
          <cell r="DH126">
            <v>54</v>
          </cell>
          <cell r="DI126">
            <v>42187</v>
          </cell>
          <cell r="DK126">
            <v>42184</v>
          </cell>
          <cell r="DL126">
            <v>42242</v>
          </cell>
          <cell r="DM126">
            <v>42188</v>
          </cell>
          <cell r="DO126">
            <v>0</v>
          </cell>
          <cell r="DP126">
            <v>42187</v>
          </cell>
          <cell r="DT126">
            <v>0</v>
          </cell>
          <cell r="DU126">
            <v>42202</v>
          </cell>
          <cell r="DW126">
            <v>0</v>
          </cell>
          <cell r="DY126">
            <v>42188</v>
          </cell>
          <cell r="DZ126">
            <v>42226</v>
          </cell>
          <cell r="EA126" t="str">
            <v>Leadcom</v>
          </cell>
          <cell r="EB126">
            <v>42213</v>
          </cell>
          <cell r="EE126" t="str">
            <v xml:space="preserve">10 Aug 15:Flood affected_Hold-No access; 28-Jul-15:Area is flooded, Lease &amp; Ownership Pending,NOC								</v>
          </cell>
          <cell r="EJ126">
            <v>7</v>
          </cell>
          <cell r="EK126">
            <v>42205</v>
          </cell>
          <cell r="EL126">
            <v>42244</v>
          </cell>
          <cell r="EM126">
            <v>42206</v>
          </cell>
          <cell r="EQ126">
            <v>42215</v>
          </cell>
          <cell r="ES126">
            <v>42249</v>
          </cell>
          <cell r="EW126">
            <v>7</v>
          </cell>
          <cell r="EX126">
            <v>42229</v>
          </cell>
          <cell r="EZ126">
            <v>42225</v>
          </cell>
          <cell r="FB126">
            <v>42227</v>
          </cell>
          <cell r="FU126">
            <v>42229</v>
          </cell>
          <cell r="FW126">
            <v>42229</v>
          </cell>
          <cell r="GJ126">
            <v>0</v>
          </cell>
          <cell r="GN126" t="str">
            <v>ERICSSON</v>
          </cell>
          <cell r="GS126" t="str">
            <v>4/4/4</v>
          </cell>
          <cell r="GU126" t="str">
            <v xml:space="preserve">		</v>
          </cell>
          <cell r="HD126">
            <v>1</v>
          </cell>
        </row>
        <row r="127">
          <cell r="A127" t="str">
            <v>BA0823</v>
          </cell>
          <cell r="B127" t="str">
            <v>ACBA_0176</v>
          </cell>
          <cell r="C127" t="str">
            <v>Apollo</v>
          </cell>
          <cell r="D127" t="str">
            <v>Robert</v>
          </cell>
          <cell r="F127" t="str">
            <v>Phyo Wai Maung</v>
          </cell>
          <cell r="G127" t="str">
            <v>Saw Pyie Zin Nyein</v>
          </cell>
          <cell r="H127" t="str">
            <v>RED</v>
          </cell>
          <cell r="I127" t="str">
            <v>South</v>
          </cell>
          <cell r="J127" t="str">
            <v>96.7797</v>
          </cell>
          <cell r="K127" t="str">
            <v>17.1237</v>
          </cell>
          <cell r="L127" t="str">
            <v>Rural</v>
          </cell>
          <cell r="M127" t="str">
            <v>Bago East</v>
          </cell>
          <cell r="N127" t="str">
            <v>Kawa</v>
          </cell>
          <cell r="O127" t="str">
            <v>Kawa</v>
          </cell>
          <cell r="P127" t="str">
            <v>Bago East</v>
          </cell>
          <cell r="Q127" t="str">
            <v>19</v>
          </cell>
          <cell r="R127" t="str">
            <v>Kawa</v>
          </cell>
          <cell r="S127" t="str">
            <v>91</v>
          </cell>
          <cell r="T127" t="str">
            <v>GSM+UMTS</v>
          </cell>
          <cell r="W127" t="str">
            <v>Ph2-Priority</v>
          </cell>
          <cell r="X127" t="str">
            <v>55</v>
          </cell>
          <cell r="Y127" t="str">
            <v>57</v>
          </cell>
          <cell r="Z127" t="str">
            <v>GBT</v>
          </cell>
          <cell r="AA127" t="str">
            <v>500</v>
          </cell>
          <cell r="AB127" t="str">
            <v>Access</v>
          </cell>
          <cell r="AC127" t="str">
            <v>Class C</v>
          </cell>
          <cell r="BH127" t="str">
            <v>Leadcom</v>
          </cell>
          <cell r="BJ127">
            <v>42154</v>
          </cell>
          <cell r="BK127">
            <v>42168</v>
          </cell>
          <cell r="BL127">
            <v>42159</v>
          </cell>
          <cell r="BM127">
            <v>42175</v>
          </cell>
          <cell r="BT127">
            <v>65</v>
          </cell>
          <cell r="BU127">
            <v>42234</v>
          </cell>
          <cell r="BY127" t="str">
            <v>Reject</v>
          </cell>
          <cell r="CB127" t="str">
            <v>13 Aug 15: C1 deactivate because of Ownership doc issue, not available;20 May 15 : C1 TSSR app;19 May 15 : C1 TSSR sub;4 May 15 : C1 SAR sub;30 Apr 15:C1 revised SAR pdf sub</v>
          </cell>
          <cell r="CE127">
            <v>0</v>
          </cell>
          <cell r="CF127">
            <v>42235</v>
          </cell>
          <cell r="CH127">
            <v>42237</v>
          </cell>
          <cell r="CN127">
            <v>0</v>
          </cell>
          <cell r="CO127">
            <v>42240</v>
          </cell>
          <cell r="CQ127" t="str">
            <v>M4: solar + DG + battery</v>
          </cell>
          <cell r="CR127">
            <v>0</v>
          </cell>
          <cell r="CS127">
            <v>42241</v>
          </cell>
          <cell r="CU127" t="str">
            <v>BA0823</v>
          </cell>
          <cell r="DH127">
            <v>0</v>
          </cell>
          <cell r="DI127">
            <v>42251</v>
          </cell>
          <cell r="DK127">
            <v>42248</v>
          </cell>
          <cell r="DM127">
            <v>42252</v>
          </cell>
          <cell r="DO127">
            <v>0</v>
          </cell>
          <cell r="DP127">
            <v>42251</v>
          </cell>
          <cell r="DT127">
            <v>0</v>
          </cell>
          <cell r="DU127">
            <v>42266</v>
          </cell>
          <cell r="DW127">
            <v>0</v>
          </cell>
          <cell r="DY127">
            <v>42252</v>
          </cell>
          <cell r="EA127" t="str">
            <v>Leadcom</v>
          </cell>
          <cell r="EJ127">
            <v>0</v>
          </cell>
          <cell r="EK127">
            <v>42274</v>
          </cell>
          <cell r="EM127">
            <v>42275</v>
          </cell>
          <cell r="EQ127">
            <v>42287</v>
          </cell>
          <cell r="EW127">
            <v>0</v>
          </cell>
          <cell r="EX127">
            <v>42301</v>
          </cell>
          <cell r="EZ127">
            <v>42297</v>
          </cell>
          <cell r="FB127">
            <v>42299</v>
          </cell>
          <cell r="FU127">
            <v>42301</v>
          </cell>
          <cell r="FW127">
            <v>42301</v>
          </cell>
          <cell r="GJ127">
            <v>0</v>
          </cell>
          <cell r="GN127" t="str">
            <v>ERICSSON</v>
          </cell>
          <cell r="GO127">
            <v>42136</v>
          </cell>
          <cell r="GU127" t="str">
            <v xml:space="preserve">		</v>
          </cell>
          <cell r="HD127">
            <v>1</v>
          </cell>
        </row>
        <row r="128">
          <cell r="A128" t="str">
            <v>BA0824</v>
          </cell>
          <cell r="B128" t="str">
            <v>ACBA_0177</v>
          </cell>
          <cell r="C128" t="str">
            <v>Apollo</v>
          </cell>
          <cell r="D128" t="str">
            <v>Robert</v>
          </cell>
          <cell r="F128" t="str">
            <v>Phyo Wai Maung</v>
          </cell>
          <cell r="G128" t="str">
            <v>Saw Pyie Zin Nyein</v>
          </cell>
          <cell r="H128" t="str">
            <v>RED</v>
          </cell>
          <cell r="I128" t="str">
            <v>South</v>
          </cell>
          <cell r="J128" t="str">
            <v>96.774218</v>
          </cell>
          <cell r="K128" t="str">
            <v>17.253028</v>
          </cell>
          <cell r="L128" t="str">
            <v>Rural</v>
          </cell>
          <cell r="M128" t="str">
            <v>Bago East</v>
          </cell>
          <cell r="N128" t="str">
            <v>Thanatpin</v>
          </cell>
          <cell r="O128" t="str">
            <v>Thanatpin</v>
          </cell>
          <cell r="P128" t="str">
            <v>Bago East</v>
          </cell>
          <cell r="Q128" t="str">
            <v>19</v>
          </cell>
          <cell r="R128" t="str">
            <v>Thanatpin</v>
          </cell>
          <cell r="S128" t="str">
            <v>90</v>
          </cell>
          <cell r="T128" t="str">
            <v>GSM+UMTS</v>
          </cell>
          <cell r="W128" t="str">
            <v>Ph2-Priority</v>
          </cell>
          <cell r="X128" t="str">
            <v>55</v>
          </cell>
          <cell r="Y128" t="str">
            <v>57</v>
          </cell>
          <cell r="AA128" t="str">
            <v>500</v>
          </cell>
          <cell r="AB128" t="str">
            <v>Access</v>
          </cell>
          <cell r="AC128" t="str">
            <v>Class C</v>
          </cell>
          <cell r="BH128" t="str">
            <v>Leadcom</v>
          </cell>
          <cell r="BJ128">
            <v>42154</v>
          </cell>
          <cell r="BK128">
            <v>42166</v>
          </cell>
          <cell r="BL128">
            <v>42159</v>
          </cell>
          <cell r="BM128">
            <v>42173</v>
          </cell>
          <cell r="BT128">
            <v>67</v>
          </cell>
          <cell r="BU128">
            <v>42233</v>
          </cell>
          <cell r="CE128">
            <v>0</v>
          </cell>
          <cell r="CF128">
            <v>42234</v>
          </cell>
          <cell r="CH128">
            <v>42236</v>
          </cell>
          <cell r="CN128">
            <v>0</v>
          </cell>
          <cell r="CO128">
            <v>42239</v>
          </cell>
          <cell r="CR128">
            <v>0</v>
          </cell>
          <cell r="CS128">
            <v>42240</v>
          </cell>
          <cell r="CU128" t="str">
            <v>BA0824</v>
          </cell>
          <cell r="DH128">
            <v>0</v>
          </cell>
          <cell r="DI128">
            <v>42250</v>
          </cell>
          <cell r="DK128">
            <v>42247</v>
          </cell>
          <cell r="DM128">
            <v>42251</v>
          </cell>
          <cell r="DO128">
            <v>0</v>
          </cell>
          <cell r="DP128">
            <v>42250</v>
          </cell>
          <cell r="DT128">
            <v>0</v>
          </cell>
          <cell r="DU128">
            <v>42265</v>
          </cell>
          <cell r="DW128">
            <v>0</v>
          </cell>
          <cell r="DY128">
            <v>42251</v>
          </cell>
          <cell r="EA128" t="str">
            <v>Leadcom</v>
          </cell>
          <cell r="EJ128">
            <v>0</v>
          </cell>
          <cell r="EK128">
            <v>42273</v>
          </cell>
          <cell r="EM128">
            <v>42274</v>
          </cell>
          <cell r="EQ128">
            <v>42286</v>
          </cell>
          <cell r="EW128">
            <v>0</v>
          </cell>
          <cell r="EX128">
            <v>42300</v>
          </cell>
          <cell r="EZ128">
            <v>42296</v>
          </cell>
          <cell r="FB128">
            <v>42298</v>
          </cell>
          <cell r="FU128">
            <v>42300</v>
          </cell>
          <cell r="FW128">
            <v>42300</v>
          </cell>
          <cell r="GJ128">
            <v>0</v>
          </cell>
          <cell r="GN128" t="str">
            <v>ERICSSON</v>
          </cell>
          <cell r="GU128" t="str">
            <v xml:space="preserve">		</v>
          </cell>
          <cell r="HD128">
            <v>1</v>
          </cell>
        </row>
        <row r="129">
          <cell r="A129" t="str">
            <v>BA0825</v>
          </cell>
          <cell r="B129" t="str">
            <v>ACBA_0178</v>
          </cell>
          <cell r="C129" t="str">
            <v>Apollo</v>
          </cell>
          <cell r="D129" t="str">
            <v>Robert</v>
          </cell>
          <cell r="F129" t="str">
            <v>Phyo Wai Maung</v>
          </cell>
          <cell r="G129" t="str">
            <v>Saw Pyie Zin Nyein</v>
          </cell>
          <cell r="H129" t="str">
            <v>RED</v>
          </cell>
          <cell r="I129" t="str">
            <v>South</v>
          </cell>
          <cell r="J129" t="str">
            <v>96.8066139999999</v>
          </cell>
          <cell r="K129" t="str">
            <v>17.33607</v>
          </cell>
          <cell r="L129" t="str">
            <v>Rural</v>
          </cell>
          <cell r="M129" t="str">
            <v>Bago East</v>
          </cell>
          <cell r="N129" t="str">
            <v>Thanatpin</v>
          </cell>
          <cell r="O129" t="str">
            <v>Thanatpin</v>
          </cell>
          <cell r="P129" t="str">
            <v>Bago East</v>
          </cell>
          <cell r="Q129" t="str">
            <v>19</v>
          </cell>
          <cell r="R129" t="str">
            <v>Thanatpin</v>
          </cell>
          <cell r="S129" t="str">
            <v>90</v>
          </cell>
          <cell r="T129" t="str">
            <v>GSM+UMTS</v>
          </cell>
          <cell r="W129" t="str">
            <v>Ph2-Priority</v>
          </cell>
          <cell r="X129" t="str">
            <v>45</v>
          </cell>
          <cell r="Y129" t="str">
            <v>45</v>
          </cell>
          <cell r="Z129" t="str">
            <v>GBT</v>
          </cell>
          <cell r="AA129" t="str">
            <v>500</v>
          </cell>
          <cell r="AB129" t="str">
            <v>Access</v>
          </cell>
          <cell r="AC129" t="str">
            <v>Class C</v>
          </cell>
          <cell r="BE129" t="str">
            <v>Route 19 Myitkyina - Bhamo - Muse</v>
          </cell>
          <cell r="BH129" t="str">
            <v>KTT</v>
          </cell>
          <cell r="BJ129">
            <v>42168</v>
          </cell>
          <cell r="BK129">
            <v>42174</v>
          </cell>
          <cell r="BL129">
            <v>42173</v>
          </cell>
          <cell r="BM129">
            <v>42174</v>
          </cell>
          <cell r="BT129">
            <v>4</v>
          </cell>
          <cell r="BU129">
            <v>42170</v>
          </cell>
          <cell r="BV129">
            <v>42178</v>
          </cell>
          <cell r="BW129" t="str">
            <v>96.80359</v>
          </cell>
          <cell r="BX129" t="str">
            <v>17.33685</v>
          </cell>
          <cell r="BY129" t="str">
            <v>C1</v>
          </cell>
          <cell r="BZ129" t="str">
            <v>No(40), North Street, Kyee Pyin Su Villagae, Thanatpin Township, Bago.</v>
          </cell>
          <cell r="CA129" t="str">
            <v>U Aung Kyaw Moe,09-49819588, 09-428136916</v>
          </cell>
          <cell r="CE129">
            <v>1</v>
          </cell>
          <cell r="CF129">
            <v>42171</v>
          </cell>
          <cell r="CG129">
            <v>42179</v>
          </cell>
          <cell r="CH129">
            <v>42173</v>
          </cell>
          <cell r="CJ129">
            <v>42198</v>
          </cell>
          <cell r="CK129" t="str">
            <v>45</v>
          </cell>
          <cell r="CL129" t="str">
            <v>47</v>
          </cell>
          <cell r="CM129" t="str">
            <v>45</v>
          </cell>
          <cell r="CN129">
            <v>21</v>
          </cell>
          <cell r="CO129">
            <v>42176</v>
          </cell>
          <cell r="CP129">
            <v>42200</v>
          </cell>
          <cell r="CQ129" t="str">
            <v>M4: solar + DG + battery</v>
          </cell>
          <cell r="CR129">
            <v>2</v>
          </cell>
          <cell r="CS129">
            <v>42177</v>
          </cell>
          <cell r="CT129">
            <v>42202</v>
          </cell>
          <cell r="CU129" t="str">
            <v>BA0825</v>
          </cell>
          <cell r="DH129">
            <v>31</v>
          </cell>
          <cell r="DI129">
            <v>42187</v>
          </cell>
          <cell r="DK129">
            <v>42184</v>
          </cell>
          <cell r="DM129">
            <v>42188</v>
          </cell>
          <cell r="DO129">
            <v>0</v>
          </cell>
          <cell r="DP129">
            <v>42187</v>
          </cell>
          <cell r="DT129">
            <v>0</v>
          </cell>
          <cell r="DU129">
            <v>42202</v>
          </cell>
          <cell r="DW129">
            <v>0</v>
          </cell>
          <cell r="DY129">
            <v>42188</v>
          </cell>
          <cell r="EA129" t="str">
            <v>Leadcom</v>
          </cell>
          <cell r="EB129">
            <v>42213</v>
          </cell>
          <cell r="EE129" t="str">
            <v xml:space="preserve">10 Aug 15:Flood affected_Hold-No access; 28-Jul-15: BP complete_payment can be done  floods access  issues 								</v>
          </cell>
          <cell r="EJ129">
            <v>0</v>
          </cell>
          <cell r="EK129">
            <v>42205</v>
          </cell>
          <cell r="EM129">
            <v>42206</v>
          </cell>
          <cell r="EQ129">
            <v>42215</v>
          </cell>
          <cell r="EW129">
            <v>0</v>
          </cell>
          <cell r="EX129">
            <v>42229</v>
          </cell>
          <cell r="EZ129">
            <v>42225</v>
          </cell>
          <cell r="FB129">
            <v>42227</v>
          </cell>
          <cell r="FU129">
            <v>42229</v>
          </cell>
          <cell r="FW129">
            <v>42229</v>
          </cell>
          <cell r="GJ129">
            <v>0</v>
          </cell>
          <cell r="GN129" t="str">
            <v>ERICSSON</v>
          </cell>
          <cell r="GU129" t="str">
            <v xml:space="preserve">		</v>
          </cell>
          <cell r="HD129">
            <v>1</v>
          </cell>
        </row>
        <row r="130">
          <cell r="A130" t="str">
            <v>BA0826</v>
          </cell>
          <cell r="B130" t="str">
            <v>ACBA_0179</v>
          </cell>
          <cell r="C130" t="str">
            <v>Apollo</v>
          </cell>
          <cell r="D130" t="str">
            <v>Robert</v>
          </cell>
          <cell r="F130" t="str">
            <v>Phyo Wai Maung</v>
          </cell>
          <cell r="G130" t="str">
            <v>Saw Pyie Zin Nyein</v>
          </cell>
          <cell r="H130" t="str">
            <v>AMBER</v>
          </cell>
          <cell r="I130" t="str">
            <v>South</v>
          </cell>
          <cell r="J130" t="str">
            <v>96.724292</v>
          </cell>
          <cell r="K130" t="str">
            <v>17.567024</v>
          </cell>
          <cell r="L130" t="str">
            <v>Rural</v>
          </cell>
          <cell r="M130" t="str">
            <v>Bago East</v>
          </cell>
          <cell r="N130" t="str">
            <v>Waw</v>
          </cell>
          <cell r="O130" t="str">
            <v>Waw</v>
          </cell>
          <cell r="P130" t="str">
            <v>Bago East</v>
          </cell>
          <cell r="Q130" t="str">
            <v>19</v>
          </cell>
          <cell r="R130" t="str">
            <v>Waw</v>
          </cell>
          <cell r="S130" t="str">
            <v>92</v>
          </cell>
          <cell r="T130" t="str">
            <v>GSM+UMTS</v>
          </cell>
          <cell r="W130" t="str">
            <v>Ph2-Priority</v>
          </cell>
          <cell r="X130" t="str">
            <v>45</v>
          </cell>
          <cell r="Y130" t="str">
            <v>45</v>
          </cell>
          <cell r="Z130" t="str">
            <v>GBT</v>
          </cell>
          <cell r="AA130" t="str">
            <v>500</v>
          </cell>
          <cell r="AB130" t="str">
            <v>Access</v>
          </cell>
          <cell r="AC130" t="str">
            <v>Class C</v>
          </cell>
          <cell r="BE130" t="str">
            <v>Route 11 Pyay - Pathein</v>
          </cell>
          <cell r="BH130" t="str">
            <v>KTT</v>
          </cell>
          <cell r="BJ130">
            <v>42152</v>
          </cell>
          <cell r="BK130">
            <v>42130</v>
          </cell>
          <cell r="BL130">
            <v>42157</v>
          </cell>
          <cell r="BM130">
            <v>42157</v>
          </cell>
          <cell r="BT130">
            <v>37</v>
          </cell>
          <cell r="BU130">
            <v>42187</v>
          </cell>
          <cell r="BV130">
            <v>42167</v>
          </cell>
          <cell r="BW130" t="str">
            <v>96.72401</v>
          </cell>
          <cell r="BX130" t="str">
            <v>17.5667</v>
          </cell>
          <cell r="BY130" t="str">
            <v>C1</v>
          </cell>
          <cell r="BZ130" t="str">
            <v>Khin Tan Gyi Village, Waw Township, Bago.</v>
          </cell>
          <cell r="CA130" t="str">
            <v>Ma Yee win</v>
          </cell>
          <cell r="CB130" t="str">
            <v>12Jun15: C1 SAR Sub on Friday 8PM</v>
          </cell>
          <cell r="CE130">
            <v>3</v>
          </cell>
          <cell r="CF130">
            <v>42188</v>
          </cell>
          <cell r="CG130">
            <v>42170</v>
          </cell>
          <cell r="CH130">
            <v>42190</v>
          </cell>
          <cell r="CJ130">
            <v>42178</v>
          </cell>
          <cell r="CK130" t="str">
            <v>45</v>
          </cell>
          <cell r="CL130" t="str">
            <v>47</v>
          </cell>
          <cell r="CM130" t="str">
            <v>45</v>
          </cell>
          <cell r="CN130">
            <v>10</v>
          </cell>
          <cell r="CO130">
            <v>42193</v>
          </cell>
          <cell r="CP130">
            <v>42180</v>
          </cell>
          <cell r="CQ130" t="str">
            <v>M4: solar + DG + battery</v>
          </cell>
          <cell r="CR130">
            <v>1</v>
          </cell>
          <cell r="CS130">
            <v>42194</v>
          </cell>
          <cell r="CT130">
            <v>42181</v>
          </cell>
          <cell r="CU130" t="str">
            <v>BA0826</v>
          </cell>
          <cell r="DH130">
            <v>17</v>
          </cell>
          <cell r="DI130">
            <v>42204</v>
          </cell>
          <cell r="DJ130">
            <v>42198</v>
          </cell>
          <cell r="DK130">
            <v>42201</v>
          </cell>
          <cell r="DL130">
            <v>42199</v>
          </cell>
          <cell r="DM130">
            <v>42205</v>
          </cell>
          <cell r="DN130">
            <v>42199</v>
          </cell>
          <cell r="DO130">
            <v>0</v>
          </cell>
          <cell r="DP130">
            <v>42204</v>
          </cell>
          <cell r="DQ130">
            <v>42198</v>
          </cell>
          <cell r="DT130">
            <v>35</v>
          </cell>
          <cell r="DU130">
            <v>42219</v>
          </cell>
          <cell r="DW130">
            <v>0</v>
          </cell>
          <cell r="DY130">
            <v>42205</v>
          </cell>
          <cell r="DZ130">
            <v>42195</v>
          </cell>
          <cell r="EA130" t="str">
            <v>Leadcom</v>
          </cell>
          <cell r="EB130">
            <v>42206</v>
          </cell>
          <cell r="EE130" t="str">
            <v xml:space="preserve">10 Aug 15:Flood affected_Hold-No access; 21-Jul-15:Flood affceted site,to countinue CW Work.								</v>
          </cell>
          <cell r="EJ130">
            <v>38</v>
          </cell>
          <cell r="EK130">
            <v>42222</v>
          </cell>
          <cell r="EM130">
            <v>42223</v>
          </cell>
          <cell r="EQ130">
            <v>42232</v>
          </cell>
          <cell r="EW130">
            <v>38</v>
          </cell>
          <cell r="EX130">
            <v>42216</v>
          </cell>
          <cell r="EZ130">
            <v>42242</v>
          </cell>
          <cell r="FB130">
            <v>42244</v>
          </cell>
          <cell r="FU130">
            <v>42246</v>
          </cell>
          <cell r="FW130">
            <v>42246</v>
          </cell>
          <cell r="GI130">
            <v>42307</v>
          </cell>
          <cell r="GJ130" t="str">
            <v>44-2015</v>
          </cell>
          <cell r="GN130" t="str">
            <v>ERICSSON</v>
          </cell>
          <cell r="GU130" t="str">
            <v xml:space="preserve">		</v>
          </cell>
          <cell r="HD130">
            <v>1</v>
          </cell>
        </row>
        <row r="131">
          <cell r="A131" t="str">
            <v>BA0827</v>
          </cell>
          <cell r="B131" t="str">
            <v>ACBA_0180</v>
          </cell>
          <cell r="C131" t="str">
            <v>Apollo</v>
          </cell>
          <cell r="D131" t="str">
            <v>Robert</v>
          </cell>
          <cell r="F131" t="str">
            <v>Phyo Wai Maung</v>
          </cell>
          <cell r="G131" t="str">
            <v>Saw Pyie Zin Nyein</v>
          </cell>
          <cell r="H131" t="str">
            <v>RED</v>
          </cell>
          <cell r="I131" t="str">
            <v>South</v>
          </cell>
          <cell r="J131" t="str">
            <v>96.5903789999999</v>
          </cell>
          <cell r="K131" t="str">
            <v>17.703666</v>
          </cell>
          <cell r="L131" t="str">
            <v>Rural</v>
          </cell>
          <cell r="M131" t="str">
            <v>Bago East</v>
          </cell>
          <cell r="N131" t="str">
            <v>Daik-U</v>
          </cell>
          <cell r="O131" t="str">
            <v>Daik-U</v>
          </cell>
          <cell r="P131" t="str">
            <v>Bago East</v>
          </cell>
          <cell r="Q131" t="str">
            <v>19</v>
          </cell>
          <cell r="R131" t="str">
            <v>Daik-U</v>
          </cell>
          <cell r="S131" t="str">
            <v>95</v>
          </cell>
          <cell r="T131" t="str">
            <v>GSM+UMTS</v>
          </cell>
          <cell r="W131" t="str">
            <v>Ph2-Priority</v>
          </cell>
          <cell r="X131" t="str">
            <v>45</v>
          </cell>
          <cell r="Y131" t="str">
            <v>47</v>
          </cell>
          <cell r="Z131" t="str">
            <v>GBT</v>
          </cell>
          <cell r="AA131" t="str">
            <v>500</v>
          </cell>
          <cell r="AB131" t="str">
            <v>Access</v>
          </cell>
          <cell r="AC131" t="str">
            <v>Class C</v>
          </cell>
          <cell r="BE131" t="str">
            <v>Route 2 Yangon -Mawlamyine</v>
          </cell>
          <cell r="BH131" t="str">
            <v>Leadcom</v>
          </cell>
          <cell r="BJ131">
            <v>42154</v>
          </cell>
          <cell r="BK131">
            <v>42170</v>
          </cell>
          <cell r="BL131">
            <v>42159</v>
          </cell>
          <cell r="BM131">
            <v>42147</v>
          </cell>
          <cell r="BT131">
            <v>63</v>
          </cell>
          <cell r="BU131">
            <v>42202</v>
          </cell>
          <cell r="BV131">
            <v>42241</v>
          </cell>
          <cell r="BW131" t="str">
            <v>96.59192</v>
          </cell>
          <cell r="BX131" t="str">
            <v>17.70779</v>
          </cell>
          <cell r="BY131" t="str">
            <v>Reject</v>
          </cell>
          <cell r="BZ131" t="str">
            <v>No (139), Ywar Ma (2) Street, Kyaunt Nyat Village, Ta Naw Kyune Village Group, Waw Township, Bago Division.</v>
          </cell>
          <cell r="CA131" t="str">
            <v>U Myint Maung;No (139), Ywar Ma (2) Street, Kyaunt Nyat Village, Ta Naw Kyune Village Group, Waw Township, Bago Division;09-254902010</v>
          </cell>
          <cell r="CB131" t="str">
            <v>13 Aug 15: C1 deactivate because of  Near Highway,only  20mtr from Highway ;30 Jun 15 : C1 SAR app;29 Jun 15 : C1 SAR sub</v>
          </cell>
          <cell r="CC131" t="str">
            <v>Village Land</v>
          </cell>
          <cell r="CE131">
            <v>0</v>
          </cell>
          <cell r="CF131">
            <v>42203</v>
          </cell>
          <cell r="CG131">
            <v>42242</v>
          </cell>
          <cell r="CH131">
            <v>42205</v>
          </cell>
          <cell r="CJ131">
            <v>42164</v>
          </cell>
          <cell r="CK131" t="str">
            <v>45</v>
          </cell>
          <cell r="CL131" t="str">
            <v>47</v>
          </cell>
          <cell r="CM131" t="str">
            <v>45</v>
          </cell>
          <cell r="CN131">
            <v>0</v>
          </cell>
          <cell r="CO131">
            <v>42208</v>
          </cell>
          <cell r="CP131">
            <v>42166</v>
          </cell>
          <cell r="CQ131" t="str">
            <v>M1: grid power + battery</v>
          </cell>
          <cell r="CR131">
            <v>0</v>
          </cell>
          <cell r="CS131">
            <v>42209</v>
          </cell>
          <cell r="CT131">
            <v>42166</v>
          </cell>
          <cell r="CU131" t="str">
            <v>BA0827</v>
          </cell>
          <cell r="DH131">
            <v>0</v>
          </cell>
          <cell r="DI131">
            <v>42219</v>
          </cell>
          <cell r="DJ131">
            <v>42174</v>
          </cell>
          <cell r="DK131">
            <v>42216</v>
          </cell>
          <cell r="DL131">
            <v>42164</v>
          </cell>
          <cell r="DM131">
            <v>42220</v>
          </cell>
          <cell r="DN131">
            <v>42164</v>
          </cell>
          <cell r="DO131">
            <v>0</v>
          </cell>
          <cell r="DP131">
            <v>42219</v>
          </cell>
          <cell r="DQ131">
            <v>42174</v>
          </cell>
          <cell r="DT131">
            <v>0</v>
          </cell>
          <cell r="DU131">
            <v>42234</v>
          </cell>
          <cell r="DW131">
            <v>0</v>
          </cell>
          <cell r="DY131">
            <v>42220</v>
          </cell>
          <cell r="DZ131">
            <v>42179</v>
          </cell>
          <cell r="EA131" t="str">
            <v>Leadcom</v>
          </cell>
          <cell r="EI131" t="str">
            <v>M5: grid power + DG + battery      </v>
          </cell>
          <cell r="EJ131">
            <v>0</v>
          </cell>
          <cell r="EK131">
            <v>42237</v>
          </cell>
          <cell r="EL131">
            <v>42193</v>
          </cell>
          <cell r="EM131">
            <v>42238</v>
          </cell>
          <cell r="EN131">
            <v>42199</v>
          </cell>
          <cell r="EQ131">
            <v>42247</v>
          </cell>
          <cell r="ER131">
            <v>42199</v>
          </cell>
          <cell r="ES131">
            <v>42202</v>
          </cell>
          <cell r="ET131">
            <v>42203</v>
          </cell>
          <cell r="EU131">
            <v>42204</v>
          </cell>
          <cell r="EW131">
            <v>0</v>
          </cell>
          <cell r="EX131">
            <v>42261</v>
          </cell>
          <cell r="EZ131">
            <v>42257</v>
          </cell>
          <cell r="FA131">
            <v>42207</v>
          </cell>
          <cell r="FB131">
            <v>42259</v>
          </cell>
          <cell r="FC131">
            <v>42207</v>
          </cell>
          <cell r="FE131">
            <v>42193</v>
          </cell>
          <cell r="FU131">
            <v>42261</v>
          </cell>
          <cell r="FV131">
            <v>42213</v>
          </cell>
          <cell r="FW131">
            <v>42261</v>
          </cell>
          <cell r="FX131">
            <v>42207</v>
          </cell>
          <cell r="FY131" t="str">
            <v>CFVL</v>
          </cell>
          <cell r="FZ131">
            <v>42196</v>
          </cell>
          <cell r="GA131">
            <v>42199</v>
          </cell>
          <cell r="GB131">
            <v>42200</v>
          </cell>
          <cell r="GC131">
            <v>42208</v>
          </cell>
          <cell r="GD131">
            <v>42209</v>
          </cell>
          <cell r="GE131">
            <v>42200</v>
          </cell>
          <cell r="GF131">
            <v>42200</v>
          </cell>
          <cell r="GG131">
            <v>42209</v>
          </cell>
          <cell r="GH131">
            <v>42210</v>
          </cell>
          <cell r="GI131">
            <v>42216</v>
          </cell>
          <cell r="GJ131">
            <v>0</v>
          </cell>
          <cell r="GK131">
            <v>42210</v>
          </cell>
          <cell r="GN131" t="str">
            <v xml:space="preserve">ERICSSON </v>
          </cell>
          <cell r="GU131" t="str">
            <v xml:space="preserve">		</v>
          </cell>
          <cell r="HD131">
            <v>1</v>
          </cell>
        </row>
        <row r="132">
          <cell r="A132" t="str">
            <v>BA0828</v>
          </cell>
          <cell r="B132" t="str">
            <v>ACBA_0181</v>
          </cell>
          <cell r="C132" t="str">
            <v>Apollo</v>
          </cell>
          <cell r="D132" t="str">
            <v>Robert</v>
          </cell>
          <cell r="F132" t="str">
            <v>Phyo Wai Maung</v>
          </cell>
          <cell r="G132" t="str">
            <v>Saw Pyie Zin Nyein</v>
          </cell>
          <cell r="H132" t="str">
            <v>RED</v>
          </cell>
          <cell r="I132" t="str">
            <v>South</v>
          </cell>
          <cell r="J132" t="str">
            <v>96.802744</v>
          </cell>
          <cell r="K132" t="str">
            <v>17.685606</v>
          </cell>
          <cell r="L132" t="str">
            <v>Rural</v>
          </cell>
          <cell r="M132" t="str">
            <v>Bago East</v>
          </cell>
          <cell r="N132" t="str">
            <v>Daik-U</v>
          </cell>
          <cell r="O132" t="str">
            <v>Daik-U</v>
          </cell>
          <cell r="P132" t="str">
            <v>Bago East</v>
          </cell>
          <cell r="Q132" t="str">
            <v>19</v>
          </cell>
          <cell r="R132" t="str">
            <v>Daik-U</v>
          </cell>
          <cell r="S132" t="str">
            <v>95</v>
          </cell>
          <cell r="T132" t="str">
            <v>GSM+UMTS</v>
          </cell>
          <cell r="W132" t="str">
            <v>Ph2-Priority</v>
          </cell>
          <cell r="X132" t="str">
            <v>55</v>
          </cell>
          <cell r="Y132" t="str">
            <v>57</v>
          </cell>
          <cell r="Z132" t="str">
            <v>GBT</v>
          </cell>
          <cell r="AA132" t="str">
            <v>500</v>
          </cell>
          <cell r="AB132" t="str">
            <v>Access</v>
          </cell>
          <cell r="AC132" t="str">
            <v>Class C</v>
          </cell>
          <cell r="BE132" t="str">
            <v>Route 1 Yangon - Mandalay</v>
          </cell>
          <cell r="BH132" t="str">
            <v>Leadcom</v>
          </cell>
          <cell r="BJ132">
            <v>42154</v>
          </cell>
          <cell r="BK132">
            <v>42168</v>
          </cell>
          <cell r="BL132">
            <v>42159</v>
          </cell>
          <cell r="BM132">
            <v>42175</v>
          </cell>
          <cell r="BT132">
            <v>65</v>
          </cell>
          <cell r="BU132">
            <v>42233</v>
          </cell>
          <cell r="BV132">
            <v>42218</v>
          </cell>
          <cell r="BW132" t="str">
            <v>95.339902</v>
          </cell>
          <cell r="BX132" t="str">
            <v>18.533086</v>
          </cell>
          <cell r="BY132" t="str">
            <v>Reject</v>
          </cell>
          <cell r="CB132" t="str">
            <v>13 Aug 15: C1 deactivate because of No ownership documents, legal rights can not be proved; 30 Jun 15 : C1 SAR app;29 Jun 15 : C1 SAR sub</v>
          </cell>
          <cell r="CC132" t="str">
            <v>RESIDENTIAL</v>
          </cell>
          <cell r="CE132">
            <v>0</v>
          </cell>
          <cell r="CF132">
            <v>42234</v>
          </cell>
          <cell r="CG132">
            <v>42219</v>
          </cell>
          <cell r="CH132">
            <v>42236</v>
          </cell>
          <cell r="CN132">
            <v>0</v>
          </cell>
          <cell r="CO132">
            <v>42239</v>
          </cell>
          <cell r="CQ132" t="str">
            <v>M4: solar + DG + battery</v>
          </cell>
          <cell r="CR132">
            <v>0</v>
          </cell>
          <cell r="CS132">
            <v>42240</v>
          </cell>
          <cell r="CU132" t="str">
            <v>BA0828</v>
          </cell>
          <cell r="DH132">
            <v>0</v>
          </cell>
          <cell r="DI132">
            <v>42250</v>
          </cell>
          <cell r="DJ132">
            <v>42157</v>
          </cell>
          <cell r="DK132">
            <v>42247</v>
          </cell>
          <cell r="DM132">
            <v>42251</v>
          </cell>
          <cell r="DO132">
            <v>0</v>
          </cell>
          <cell r="DP132">
            <v>42250</v>
          </cell>
          <cell r="DQ132">
            <v>42157</v>
          </cell>
          <cell r="DT132">
            <v>0</v>
          </cell>
          <cell r="DU132">
            <v>42265</v>
          </cell>
          <cell r="DW132">
            <v>0</v>
          </cell>
          <cell r="DY132">
            <v>42251</v>
          </cell>
          <cell r="EA132" t="str">
            <v>Leadcom</v>
          </cell>
          <cell r="EJ132">
            <v>0</v>
          </cell>
          <cell r="EK132">
            <v>42273</v>
          </cell>
          <cell r="EM132">
            <v>42274</v>
          </cell>
          <cell r="EQ132">
            <v>42286</v>
          </cell>
          <cell r="EW132">
            <v>0</v>
          </cell>
          <cell r="EX132">
            <v>42300</v>
          </cell>
          <cell r="EZ132">
            <v>42296</v>
          </cell>
          <cell r="FB132">
            <v>42298</v>
          </cell>
          <cell r="FU132">
            <v>42300</v>
          </cell>
          <cell r="FW132">
            <v>42300</v>
          </cell>
          <cell r="GJ132">
            <v>0</v>
          </cell>
          <cell r="GN132" t="str">
            <v>ERICSSON</v>
          </cell>
          <cell r="GS132" t="str">
            <v>4/4/4</v>
          </cell>
          <cell r="GU132" t="str">
            <v xml:space="preserve">		</v>
          </cell>
          <cell r="HD132">
            <v>1</v>
          </cell>
        </row>
        <row r="133">
          <cell r="A133" t="str">
            <v>BA0829</v>
          </cell>
          <cell r="B133" t="str">
            <v>ACBA_0182</v>
          </cell>
          <cell r="C133" t="str">
            <v>Apollo</v>
          </cell>
          <cell r="D133" t="str">
            <v>Robert</v>
          </cell>
          <cell r="F133" t="str">
            <v>Phyo Wai Maung</v>
          </cell>
          <cell r="G133" t="str">
            <v>Saw Pyie Zin Nyein</v>
          </cell>
          <cell r="H133" t="str">
            <v>RED</v>
          </cell>
          <cell r="I133" t="str">
            <v>South</v>
          </cell>
          <cell r="J133" t="str">
            <v>96.611438</v>
          </cell>
          <cell r="K133" t="str">
            <v>17.833964</v>
          </cell>
          <cell r="L133" t="str">
            <v>Rural</v>
          </cell>
          <cell r="M133" t="str">
            <v>Bago East</v>
          </cell>
          <cell r="N133" t="str">
            <v>Daik-U</v>
          </cell>
          <cell r="O133" t="str">
            <v>Daik-U</v>
          </cell>
          <cell r="P133" t="str">
            <v>Bago East</v>
          </cell>
          <cell r="Q133" t="str">
            <v>19</v>
          </cell>
          <cell r="R133" t="str">
            <v>Daik-U</v>
          </cell>
          <cell r="S133" t="str">
            <v>95</v>
          </cell>
          <cell r="T133" t="str">
            <v>GSM+UMTS</v>
          </cell>
          <cell r="W133" t="str">
            <v>Ph2-Priority</v>
          </cell>
          <cell r="X133" t="str">
            <v>45</v>
          </cell>
          <cell r="Y133" t="str">
            <v>47</v>
          </cell>
          <cell r="Z133" t="str">
            <v>GBT</v>
          </cell>
          <cell r="AA133" t="str">
            <v>500</v>
          </cell>
          <cell r="AB133" t="str">
            <v>Access</v>
          </cell>
          <cell r="AC133" t="str">
            <v>Class C</v>
          </cell>
          <cell r="BE133" t="str">
            <v>Route 7 Bago - Pyawbwe</v>
          </cell>
          <cell r="BH133" t="str">
            <v>Leadcom</v>
          </cell>
          <cell r="BJ133">
            <v>42154</v>
          </cell>
          <cell r="BK133">
            <v>42166</v>
          </cell>
          <cell r="BL133">
            <v>42159</v>
          </cell>
          <cell r="BM133">
            <v>42173</v>
          </cell>
          <cell r="BT133">
            <v>57</v>
          </cell>
          <cell r="BU133">
            <v>42202</v>
          </cell>
          <cell r="BV133">
            <v>42223</v>
          </cell>
          <cell r="BW133" t="str">
            <v>96.60925</v>
          </cell>
          <cell r="BX133" t="str">
            <v>17.83347</v>
          </cell>
          <cell r="BY133" t="str">
            <v>C2</v>
          </cell>
          <cell r="BZ133" t="str">
            <v>No. 45, Pwint Ta Kaung Village,Daik OoTsp,Bago Division</v>
          </cell>
          <cell r="CA133" t="str">
            <v>DAW MYINT YI,O9428178123</v>
          </cell>
          <cell r="CB133" t="str">
            <v>14 Aug 15 : C2 TSSR sub;10 Aug 15 : C2 SAR app;7 Aug 15 : C2 SAR sub</v>
          </cell>
          <cell r="CC133" t="str">
            <v>RESIDENTIAL</v>
          </cell>
          <cell r="CE133">
            <v>3</v>
          </cell>
          <cell r="CF133">
            <v>42203</v>
          </cell>
          <cell r="CG133">
            <v>42226</v>
          </cell>
          <cell r="CH133">
            <v>42205</v>
          </cell>
          <cell r="CJ133">
            <v>42228</v>
          </cell>
          <cell r="CK133" t="str">
            <v>45</v>
          </cell>
          <cell r="CL133" t="str">
            <v>47</v>
          </cell>
          <cell r="CM133" t="str">
            <v>50</v>
          </cell>
          <cell r="CN133">
            <v>4</v>
          </cell>
          <cell r="CO133">
            <v>42208</v>
          </cell>
          <cell r="CP133">
            <v>42230</v>
          </cell>
          <cell r="CQ133" t="str">
            <v>M4: solar + DG + battery</v>
          </cell>
          <cell r="CR133">
            <v>3</v>
          </cell>
          <cell r="CS133">
            <v>42209</v>
          </cell>
          <cell r="CT133">
            <v>42233</v>
          </cell>
          <cell r="CU133" t="str">
            <v>BA0829</v>
          </cell>
          <cell r="DH133">
            <v>0</v>
          </cell>
          <cell r="DI133">
            <v>42219</v>
          </cell>
          <cell r="DK133">
            <v>42216</v>
          </cell>
          <cell r="DM133">
            <v>42220</v>
          </cell>
          <cell r="DO133">
            <v>0</v>
          </cell>
          <cell r="DP133">
            <v>42219</v>
          </cell>
          <cell r="DT133">
            <v>0</v>
          </cell>
          <cell r="DU133">
            <v>42234</v>
          </cell>
          <cell r="DW133">
            <v>0</v>
          </cell>
          <cell r="DY133">
            <v>42220</v>
          </cell>
          <cell r="EA133" t="str">
            <v>Leadcom</v>
          </cell>
          <cell r="EJ133">
            <v>0</v>
          </cell>
          <cell r="EK133">
            <v>42237</v>
          </cell>
          <cell r="EM133">
            <v>42238</v>
          </cell>
          <cell r="EQ133">
            <v>42247</v>
          </cell>
          <cell r="EW133">
            <v>0</v>
          </cell>
          <cell r="EX133">
            <v>42261</v>
          </cell>
          <cell r="EZ133">
            <v>42257</v>
          </cell>
          <cell r="FB133">
            <v>42259</v>
          </cell>
          <cell r="FU133">
            <v>42261</v>
          </cell>
          <cell r="FW133">
            <v>42261</v>
          </cell>
          <cell r="GJ133">
            <v>0</v>
          </cell>
          <cell r="GN133" t="str">
            <v>ERICSSON</v>
          </cell>
          <cell r="GU133" t="str">
            <v xml:space="preserve">		</v>
          </cell>
          <cell r="HD133">
            <v>1</v>
          </cell>
        </row>
        <row r="134">
          <cell r="A134" t="str">
            <v>BA0830</v>
          </cell>
          <cell r="B134" t="str">
            <v>ACBA_0183</v>
          </cell>
          <cell r="C134" t="str">
            <v>Apollo</v>
          </cell>
          <cell r="D134" t="str">
            <v>Robert</v>
          </cell>
          <cell r="F134" t="str">
            <v>Phyo Wai Maung</v>
          </cell>
          <cell r="G134" t="str">
            <v>Saw Pyie Zin Nyein</v>
          </cell>
          <cell r="H134" t="str">
            <v>RED</v>
          </cell>
          <cell r="I134" t="str">
            <v>South</v>
          </cell>
          <cell r="J134" t="str">
            <v>96.496737</v>
          </cell>
          <cell r="K134" t="str">
            <v>17.262783</v>
          </cell>
          <cell r="L134" t="str">
            <v>Rural</v>
          </cell>
          <cell r="M134" t="str">
            <v>Bago East</v>
          </cell>
          <cell r="N134" t="str">
            <v>Bago</v>
          </cell>
          <cell r="O134" t="str">
            <v>Bago</v>
          </cell>
          <cell r="P134" t="str">
            <v>Bago East</v>
          </cell>
          <cell r="Q134" t="str">
            <v>19</v>
          </cell>
          <cell r="R134" t="str">
            <v>Bago</v>
          </cell>
          <cell r="S134" t="str">
            <v>89</v>
          </cell>
          <cell r="T134" t="str">
            <v>GSM+UMTS</v>
          </cell>
          <cell r="W134" t="str">
            <v>Ph2-Priority</v>
          </cell>
          <cell r="X134" t="str">
            <v>45</v>
          </cell>
          <cell r="Y134" t="str">
            <v>45</v>
          </cell>
          <cell r="Z134" t="str">
            <v>GBT</v>
          </cell>
          <cell r="AA134" t="str">
            <v>500</v>
          </cell>
          <cell r="AB134" t="str">
            <v>Access</v>
          </cell>
          <cell r="AC134" t="str">
            <v>Class C</v>
          </cell>
          <cell r="BH134" t="str">
            <v>KTT</v>
          </cell>
          <cell r="BJ134">
            <v>42168</v>
          </cell>
          <cell r="BK134">
            <v>42173</v>
          </cell>
          <cell r="BL134">
            <v>42173</v>
          </cell>
          <cell r="BM134">
            <v>42149</v>
          </cell>
          <cell r="BT134">
            <v>60</v>
          </cell>
          <cell r="BU134">
            <v>42170</v>
          </cell>
          <cell r="BV134">
            <v>42243</v>
          </cell>
          <cell r="BW134" t="str">
            <v>96.49758</v>
          </cell>
          <cell r="BX134" t="str">
            <v>17.26488</v>
          </cell>
          <cell r="BY134" t="str">
            <v>Reject</v>
          </cell>
          <cell r="CB134" t="str">
            <v>13 Aug 15: C1 deactivate because of C1 candidate Village land rejected in TSS due to transformer issue;24 Jun 15 : C1 SAR app;23 Jun 15 : C1 SAR sub</v>
          </cell>
          <cell r="CC134" t="str">
            <v>Village Land</v>
          </cell>
          <cell r="CE134">
            <v>0</v>
          </cell>
          <cell r="CF134">
            <v>42171</v>
          </cell>
          <cell r="CG134">
            <v>42244</v>
          </cell>
          <cell r="CH134">
            <v>42173</v>
          </cell>
          <cell r="CJ134">
            <v>42231</v>
          </cell>
          <cell r="CK134" t="str">
            <v>45</v>
          </cell>
          <cell r="CL134" t="str">
            <v>47</v>
          </cell>
          <cell r="CM134" t="str">
            <v>50</v>
          </cell>
          <cell r="CN134">
            <v>0</v>
          </cell>
          <cell r="CO134">
            <v>42176</v>
          </cell>
          <cell r="CP134">
            <v>42233</v>
          </cell>
          <cell r="CQ134" t="str">
            <v>M1: grid power + battery</v>
          </cell>
          <cell r="CR134">
            <v>0</v>
          </cell>
          <cell r="CS134">
            <v>42177</v>
          </cell>
          <cell r="CT134">
            <v>42234</v>
          </cell>
          <cell r="CU134" t="str">
            <v>BA0830</v>
          </cell>
          <cell r="DH134">
            <v>0</v>
          </cell>
          <cell r="DI134">
            <v>42187</v>
          </cell>
          <cell r="DK134">
            <v>42184</v>
          </cell>
          <cell r="DM134">
            <v>42188</v>
          </cell>
          <cell r="DO134">
            <v>0</v>
          </cell>
          <cell r="DP134">
            <v>42187</v>
          </cell>
          <cell r="DT134">
            <v>0</v>
          </cell>
          <cell r="DU134">
            <v>42202</v>
          </cell>
          <cell r="DW134">
            <v>0</v>
          </cell>
          <cell r="DY134">
            <v>42188</v>
          </cell>
          <cell r="EA134" t="str">
            <v>Leadcom</v>
          </cell>
          <cell r="EJ134">
            <v>0</v>
          </cell>
          <cell r="EK134">
            <v>42205</v>
          </cell>
          <cell r="EM134">
            <v>42206</v>
          </cell>
          <cell r="EQ134">
            <v>42215</v>
          </cell>
          <cell r="EW134">
            <v>0</v>
          </cell>
          <cell r="EX134">
            <v>42229</v>
          </cell>
          <cell r="EZ134">
            <v>42225</v>
          </cell>
          <cell r="FB134">
            <v>42227</v>
          </cell>
          <cell r="FU134">
            <v>42229</v>
          </cell>
          <cell r="FW134">
            <v>42229</v>
          </cell>
          <cell r="GJ134">
            <v>0</v>
          </cell>
          <cell r="GN134" t="str">
            <v>ERICSSON</v>
          </cell>
          <cell r="GS134" t="str">
            <v>4/4/4</v>
          </cell>
          <cell r="GU134" t="str">
            <v xml:space="preserve">		</v>
          </cell>
          <cell r="HD134">
            <v>1</v>
          </cell>
        </row>
        <row r="135">
          <cell r="A135" t="str">
            <v>BA0831</v>
          </cell>
          <cell r="B135" t="str">
            <v>ACBA_0184</v>
          </cell>
          <cell r="C135" t="str">
            <v>Apollo</v>
          </cell>
          <cell r="D135" t="str">
            <v>Robert</v>
          </cell>
          <cell r="F135" t="str">
            <v>Phyo Wai Maung</v>
          </cell>
          <cell r="G135" t="str">
            <v>Paing Thu Soe</v>
          </cell>
          <cell r="H135" t="str">
            <v>AMBER</v>
          </cell>
          <cell r="I135" t="str">
            <v>South</v>
          </cell>
          <cell r="J135" t="str">
            <v>96.607317</v>
          </cell>
          <cell r="K135" t="str">
            <v>18.045061</v>
          </cell>
          <cell r="L135" t="str">
            <v>Rural</v>
          </cell>
          <cell r="M135" t="str">
            <v>Bago East</v>
          </cell>
          <cell r="N135" t="str">
            <v>Kyauktaga</v>
          </cell>
          <cell r="O135" t="str">
            <v>Kyauktaga</v>
          </cell>
          <cell r="P135" t="str">
            <v>Bago East</v>
          </cell>
          <cell r="Q135" t="str">
            <v>19</v>
          </cell>
          <cell r="R135" t="str">
            <v>Kyauktaga</v>
          </cell>
          <cell r="S135" t="str">
            <v>94</v>
          </cell>
          <cell r="T135" t="str">
            <v>GSM+UMTS</v>
          </cell>
          <cell r="W135" t="str">
            <v>Ph2-Priority</v>
          </cell>
          <cell r="X135" t="str">
            <v>45</v>
          </cell>
          <cell r="Y135" t="str">
            <v>45</v>
          </cell>
          <cell r="Z135" t="str">
            <v>GBT</v>
          </cell>
          <cell r="AA135" t="str">
            <v>500</v>
          </cell>
          <cell r="AB135" t="str">
            <v>Access</v>
          </cell>
          <cell r="AC135" t="str">
            <v>Class C</v>
          </cell>
          <cell r="BE135" t="str">
            <v>Route 1 Yangon - Mandalay</v>
          </cell>
          <cell r="BH135" t="str">
            <v>KTT</v>
          </cell>
          <cell r="BJ135">
            <v>42152</v>
          </cell>
          <cell r="BK135">
            <v>42130</v>
          </cell>
          <cell r="BL135">
            <v>42157</v>
          </cell>
          <cell r="BM135">
            <v>42157</v>
          </cell>
          <cell r="BT135">
            <v>70</v>
          </cell>
          <cell r="BU135">
            <v>42187</v>
          </cell>
          <cell r="BV135">
            <v>42200</v>
          </cell>
          <cell r="BW135" t="str">
            <v>96.61071</v>
          </cell>
          <cell r="BX135" t="str">
            <v>18.04483</v>
          </cell>
          <cell r="BY135" t="str">
            <v>C2</v>
          </cell>
          <cell r="BZ135" t="str">
            <v>No (Sa Ya Kha/142), Kyun Kone Pha To Myoe Chaung Street, Say Yoe Khin Village Group, Kyaunktaga Township, Bago</v>
          </cell>
          <cell r="CA135" t="str">
            <v>U Hla Thein, 09-79152279</v>
          </cell>
          <cell r="CB135" t="str">
            <v>19 Aug 15: C2 Foundation workdone date delete because wasn’t completed yet as per Gurwinder (19 Aug 15 )CW file; 5 Aug 15 :CW Start date removed from tracker as C1 has NOC issue(health &amp; hazard statements from radiation);29 Jul 15 : C2 TSSR app;28 Jul 15 : C2 TSSR sub;17 Jul 15:C1 SAR app;15 July 15 : C2 SAR sub(C1 CANCELED NOC ISSUE);24 June 15 : C1 TSSR app;15 June 15: C1 SAR app; 12Jun15: C1 SAR Sub on Friday 8PM</v>
          </cell>
          <cell r="CC135" t="str">
            <v>VILLAGE LAND</v>
          </cell>
          <cell r="CE135">
            <v>2</v>
          </cell>
          <cell r="CF135">
            <v>42188</v>
          </cell>
          <cell r="CG135">
            <v>42202</v>
          </cell>
          <cell r="CH135">
            <v>42190</v>
          </cell>
          <cell r="CJ135">
            <v>42211</v>
          </cell>
          <cell r="CK135" t="str">
            <v>45</v>
          </cell>
          <cell r="CL135" t="str">
            <v>47</v>
          </cell>
          <cell r="CM135" t="str">
            <v>45</v>
          </cell>
          <cell r="CN135">
            <v>11</v>
          </cell>
          <cell r="CO135">
            <v>42193</v>
          </cell>
          <cell r="CP135">
            <v>42213</v>
          </cell>
          <cell r="CQ135" t="str">
            <v>M1: grid power + battery</v>
          </cell>
          <cell r="CR135">
            <v>1</v>
          </cell>
          <cell r="CS135">
            <v>42194</v>
          </cell>
          <cell r="CT135">
            <v>42214</v>
          </cell>
          <cell r="CU135" t="str">
            <v>BA0831</v>
          </cell>
          <cell r="DH135">
            <v>3</v>
          </cell>
          <cell r="DI135">
            <v>42204</v>
          </cell>
          <cell r="DJ135">
            <v>42217</v>
          </cell>
          <cell r="DK135">
            <v>42201</v>
          </cell>
          <cell r="DL135">
            <v>42187</v>
          </cell>
          <cell r="DM135">
            <v>42205</v>
          </cell>
          <cell r="DN135">
            <v>42187</v>
          </cell>
          <cell r="DO135">
            <v>0</v>
          </cell>
          <cell r="DP135">
            <v>42204</v>
          </cell>
          <cell r="DQ135">
            <v>42217</v>
          </cell>
          <cell r="DT135">
            <v>16</v>
          </cell>
          <cell r="DU135">
            <v>42219</v>
          </cell>
          <cell r="DW135">
            <v>0</v>
          </cell>
          <cell r="DY135">
            <v>42205</v>
          </cell>
          <cell r="DZ135">
            <v>42224</v>
          </cell>
          <cell r="EA135" t="str">
            <v>Leadcom</v>
          </cell>
          <cell r="EB135">
            <v>42213</v>
          </cell>
          <cell r="EE135" t="str">
            <v xml:space="preserve">10 Aug 15:Flood affected_Hold-No access; 28-Jul-15: BP complete_payment can be done  floods access  issues 								</v>
          </cell>
          <cell r="EJ135">
            <v>9</v>
          </cell>
          <cell r="EK135">
            <v>42222</v>
          </cell>
          <cell r="EL135">
            <v>42237</v>
          </cell>
          <cell r="EM135">
            <v>42223</v>
          </cell>
          <cell r="EQ135">
            <v>42232</v>
          </cell>
          <cell r="ES135">
            <v>42250</v>
          </cell>
          <cell r="EW135">
            <v>9</v>
          </cell>
          <cell r="EX135">
            <v>42216</v>
          </cell>
          <cell r="EZ135">
            <v>42242</v>
          </cell>
          <cell r="FB135">
            <v>42244</v>
          </cell>
          <cell r="FU135">
            <v>42246</v>
          </cell>
          <cell r="FW135">
            <v>42246</v>
          </cell>
          <cell r="GI135">
            <v>42307</v>
          </cell>
          <cell r="GJ135" t="str">
            <v>44-2015</v>
          </cell>
          <cell r="GN135" t="str">
            <v>ERICSSON</v>
          </cell>
          <cell r="GO135">
            <v>42200</v>
          </cell>
          <cell r="GU135" t="str">
            <v xml:space="preserve">		</v>
          </cell>
          <cell r="HD135">
            <v>1</v>
          </cell>
        </row>
        <row r="136">
          <cell r="A136" t="str">
            <v>BA0832</v>
          </cell>
          <cell r="B136" t="str">
            <v>ACBA_0185</v>
          </cell>
          <cell r="C136" t="str">
            <v>Apollo</v>
          </cell>
          <cell r="D136" t="str">
            <v>Robert</v>
          </cell>
          <cell r="F136" t="str">
            <v>Phyo Wai Maung</v>
          </cell>
          <cell r="G136" t="str">
            <v>Paing Thu Soe</v>
          </cell>
          <cell r="H136" t="str">
            <v>RED</v>
          </cell>
          <cell r="I136" t="str">
            <v>South</v>
          </cell>
          <cell r="J136" t="str">
            <v>96.57428</v>
          </cell>
          <cell r="K136" t="str">
            <v>17.948926</v>
          </cell>
          <cell r="L136" t="str">
            <v>Rural</v>
          </cell>
          <cell r="M136" t="str">
            <v>Bago East</v>
          </cell>
          <cell r="N136" t="str">
            <v>Kyauktaga</v>
          </cell>
          <cell r="O136" t="str">
            <v>Kyauktaga</v>
          </cell>
          <cell r="P136" t="str">
            <v>Bago East</v>
          </cell>
          <cell r="Q136" t="str">
            <v>19</v>
          </cell>
          <cell r="R136" t="str">
            <v>Kyauktaga</v>
          </cell>
          <cell r="S136" t="str">
            <v>94</v>
          </cell>
          <cell r="T136" t="str">
            <v>GSM+UMTS</v>
          </cell>
          <cell r="W136" t="str">
            <v>Ph2-Priority</v>
          </cell>
          <cell r="X136" t="str">
            <v>45</v>
          </cell>
          <cell r="Y136" t="str">
            <v>45</v>
          </cell>
          <cell r="Z136" t="str">
            <v>GBT</v>
          </cell>
          <cell r="AA136" t="str">
            <v>500</v>
          </cell>
          <cell r="AB136" t="str">
            <v>Access</v>
          </cell>
          <cell r="AC136" t="str">
            <v>Class C</v>
          </cell>
          <cell r="BH136" t="str">
            <v>KTT</v>
          </cell>
          <cell r="BJ136">
            <v>42152</v>
          </cell>
          <cell r="BK136">
            <v>42130</v>
          </cell>
          <cell r="BL136">
            <v>42157</v>
          </cell>
          <cell r="BM136">
            <v>42161</v>
          </cell>
          <cell r="BT136">
            <v>57</v>
          </cell>
          <cell r="BU136">
            <v>42188</v>
          </cell>
          <cell r="BV136">
            <v>42187</v>
          </cell>
          <cell r="BW136" t="str">
            <v>96.57642</v>
          </cell>
          <cell r="BX136" t="str">
            <v>17.94992</v>
          </cell>
          <cell r="BY136" t="str">
            <v>C1</v>
          </cell>
          <cell r="BZ136" t="str">
            <v>No (58), Shan Doe Tan Village Group, Zee Taw Gyi Village, Kyauktaga Township, Bago.</v>
          </cell>
          <cell r="CA136" t="str">
            <v>U Phoe Saye, 09-428205600</v>
          </cell>
          <cell r="CB136" t="str">
            <v>2 July 15: C1 SAR sub;C3 SAR cancelled  due to Flooded site, no access over a river;17 June 15 : C3 SAR app</v>
          </cell>
          <cell r="CC136" t="str">
            <v>VILLAGE LAND</v>
          </cell>
          <cell r="CE136">
            <v>1</v>
          </cell>
          <cell r="CF136">
            <v>42189</v>
          </cell>
          <cell r="CG136">
            <v>42188</v>
          </cell>
          <cell r="CH136">
            <v>42191</v>
          </cell>
          <cell r="CJ136">
            <v>42198</v>
          </cell>
          <cell r="CK136" t="str">
            <v>45</v>
          </cell>
          <cell r="CL136" t="str">
            <v>47</v>
          </cell>
          <cell r="CM136" t="str">
            <v>45</v>
          </cell>
          <cell r="CN136">
            <v>12</v>
          </cell>
          <cell r="CO136">
            <v>42194</v>
          </cell>
          <cell r="CP136">
            <v>42200</v>
          </cell>
          <cell r="CQ136" t="str">
            <v>M4: solar + DG + battery</v>
          </cell>
          <cell r="CR136">
            <v>2</v>
          </cell>
          <cell r="CS136">
            <v>42195</v>
          </cell>
          <cell r="CT136">
            <v>42202</v>
          </cell>
          <cell r="CU136" t="str">
            <v>BA0832</v>
          </cell>
          <cell r="DH136">
            <v>15</v>
          </cell>
          <cell r="DI136">
            <v>42205</v>
          </cell>
          <cell r="DJ136">
            <v>42217</v>
          </cell>
          <cell r="DK136">
            <v>42202</v>
          </cell>
          <cell r="DL136">
            <v>42186</v>
          </cell>
          <cell r="DM136">
            <v>42206</v>
          </cell>
          <cell r="DN136">
            <v>42186</v>
          </cell>
          <cell r="DO136">
            <v>0</v>
          </cell>
          <cell r="DP136">
            <v>42205</v>
          </cell>
          <cell r="DQ136">
            <v>42217</v>
          </cell>
          <cell r="DT136">
            <v>16</v>
          </cell>
          <cell r="DU136">
            <v>42220</v>
          </cell>
          <cell r="DW136">
            <v>0</v>
          </cell>
          <cell r="DY136">
            <v>42206</v>
          </cell>
          <cell r="DZ136">
            <v>42187</v>
          </cell>
          <cell r="EA136" t="str">
            <v>Leadcom</v>
          </cell>
          <cell r="EB136">
            <v>42213</v>
          </cell>
          <cell r="ED136" t="str">
            <v xml:space="preserve">15Jul15 :ChoYee.Thaung: 9/7/15 : Excavation start (6.7.15) and Excavation will done today, tomorrow will do lean concrete
</v>
          </cell>
          <cell r="EE136" t="str">
            <v xml:space="preserve">10 Aug 15:Flood affected_Hold-No access; 28-Jul-15: BP complete_payment can be done  floods access  issues 								</v>
          </cell>
          <cell r="EJ136">
            <v>0</v>
          </cell>
          <cell r="EK136">
            <v>42223</v>
          </cell>
          <cell r="EL136">
            <v>42203</v>
          </cell>
          <cell r="EM136">
            <v>42224</v>
          </cell>
          <cell r="EQ136">
            <v>42233</v>
          </cell>
          <cell r="EW136">
            <v>0</v>
          </cell>
          <cell r="EX136">
            <v>42216</v>
          </cell>
          <cell r="EZ136">
            <v>42243</v>
          </cell>
          <cell r="FB136">
            <v>42245</v>
          </cell>
          <cell r="FU136">
            <v>42247</v>
          </cell>
          <cell r="FW136">
            <v>42247</v>
          </cell>
          <cell r="GI136">
            <v>42246</v>
          </cell>
          <cell r="GJ136">
            <v>0</v>
          </cell>
          <cell r="GL136" t="str">
            <v>SMR Ready</v>
          </cell>
          <cell r="GN136" t="str">
            <v xml:space="preserve">ERICSSON </v>
          </cell>
          <cell r="GP136">
            <v>42199</v>
          </cell>
          <cell r="GQ136" t="str">
            <v xml:space="preserve">SMR Pending; </v>
          </cell>
          <cell r="GS136" t="str">
            <v>4/4/4</v>
          </cell>
          <cell r="GU136" t="str">
            <v xml:space="preserve">		</v>
          </cell>
          <cell r="HD136">
            <v>1</v>
          </cell>
        </row>
        <row r="137">
          <cell r="A137" t="str">
            <v>BA0833</v>
          </cell>
          <cell r="B137" t="str">
            <v>ACBA_0186</v>
          </cell>
          <cell r="C137" t="str">
            <v>Apollo</v>
          </cell>
          <cell r="D137" t="str">
            <v>Robert</v>
          </cell>
          <cell r="F137" t="str">
            <v>Phyo Wai Maung</v>
          </cell>
          <cell r="G137" t="str">
            <v>Saw Pyie Zin Nyein</v>
          </cell>
          <cell r="H137" t="str">
            <v>AMBER</v>
          </cell>
          <cell r="I137" t="str">
            <v>South</v>
          </cell>
          <cell r="J137" t="str">
            <v>96.643744</v>
          </cell>
          <cell r="K137" t="str">
            <v>17.889751</v>
          </cell>
          <cell r="L137" t="str">
            <v>Rural</v>
          </cell>
          <cell r="M137" t="str">
            <v>Bago East</v>
          </cell>
          <cell r="N137" t="str">
            <v>Nyaunglebin</v>
          </cell>
          <cell r="O137" t="str">
            <v>Nyaunglebin</v>
          </cell>
          <cell r="P137" t="str">
            <v>Bago East</v>
          </cell>
          <cell r="Q137" t="str">
            <v>19</v>
          </cell>
          <cell r="R137" t="str">
            <v>Nyaunglebin</v>
          </cell>
          <cell r="S137" t="str">
            <v>93</v>
          </cell>
          <cell r="T137" t="str">
            <v>GSM+UMTS</v>
          </cell>
          <cell r="W137" t="str">
            <v>Ph2-Priority</v>
          </cell>
          <cell r="X137" t="str">
            <v>45</v>
          </cell>
          <cell r="Y137" t="str">
            <v>45</v>
          </cell>
          <cell r="Z137" t="str">
            <v>GBT</v>
          </cell>
          <cell r="AA137" t="str">
            <v>500</v>
          </cell>
          <cell r="AB137" t="str">
            <v>Access</v>
          </cell>
          <cell r="AC137" t="str">
            <v>Class C</v>
          </cell>
          <cell r="BE137" t="str">
            <v>Myitkyina - Bhamo - Muse</v>
          </cell>
          <cell r="BH137" t="str">
            <v>KTT</v>
          </cell>
          <cell r="BJ137">
            <v>42152</v>
          </cell>
          <cell r="BK137">
            <v>42130</v>
          </cell>
          <cell r="BL137">
            <v>42157</v>
          </cell>
          <cell r="BM137">
            <v>42161</v>
          </cell>
          <cell r="BT137">
            <v>41</v>
          </cell>
          <cell r="BU137">
            <v>42188</v>
          </cell>
          <cell r="BV137">
            <v>42171</v>
          </cell>
          <cell r="BW137" t="str">
            <v>96.64329</v>
          </cell>
          <cell r="BX137" t="str">
            <v>17.88793</v>
          </cell>
          <cell r="BY137" t="str">
            <v>C2</v>
          </cell>
          <cell r="BZ137" t="str">
            <v>Goe Pin Village Group, Goe Pin Village Naunglebin Township, Bago</v>
          </cell>
          <cell r="CA137" t="str">
            <v>U Tun Nyein;09-428140498</v>
          </cell>
          <cell r="CB137" t="str">
            <v>16Jun15: C2 SAR Sub. C1 rejected by AT.15Jun15: C1 SAR resubmitted as BA0835. 12Jun15: C1 SAR Sub on Friday 8PM</v>
          </cell>
          <cell r="CC137" t="str">
            <v>Town</v>
          </cell>
          <cell r="CE137">
            <v>1</v>
          </cell>
          <cell r="CF137">
            <v>42189</v>
          </cell>
          <cell r="CG137">
            <v>42172</v>
          </cell>
          <cell r="CH137">
            <v>42191</v>
          </cell>
          <cell r="CJ137">
            <v>42178</v>
          </cell>
          <cell r="CK137" t="str">
            <v>45</v>
          </cell>
          <cell r="CL137" t="str">
            <v>47</v>
          </cell>
          <cell r="CM137" t="str">
            <v>45</v>
          </cell>
          <cell r="CN137">
            <v>8</v>
          </cell>
          <cell r="CO137">
            <v>42194</v>
          </cell>
          <cell r="CP137">
            <v>42180</v>
          </cell>
          <cell r="CQ137" t="str">
            <v>M4: solar + DG + battery</v>
          </cell>
          <cell r="CR137">
            <v>1</v>
          </cell>
          <cell r="CS137">
            <v>42195</v>
          </cell>
          <cell r="CT137">
            <v>42181</v>
          </cell>
          <cell r="CU137" t="str">
            <v>BA0833</v>
          </cell>
          <cell r="DH137">
            <v>19</v>
          </cell>
          <cell r="DI137">
            <v>42205</v>
          </cell>
          <cell r="DJ137">
            <v>42200</v>
          </cell>
          <cell r="DK137">
            <v>42202</v>
          </cell>
          <cell r="DL137">
            <v>42205</v>
          </cell>
          <cell r="DM137">
            <v>42206</v>
          </cell>
          <cell r="DN137">
            <v>42205</v>
          </cell>
          <cell r="DO137">
            <v>0</v>
          </cell>
          <cell r="DP137">
            <v>42205</v>
          </cell>
          <cell r="DQ137">
            <v>42200</v>
          </cell>
          <cell r="DT137">
            <v>33</v>
          </cell>
          <cell r="DU137">
            <v>42220</v>
          </cell>
          <cell r="DW137">
            <v>0</v>
          </cell>
          <cell r="DY137">
            <v>42206</v>
          </cell>
          <cell r="DZ137">
            <v>42198</v>
          </cell>
          <cell r="EA137" t="str">
            <v>Leadcom</v>
          </cell>
          <cell r="EE137" t="str">
            <v xml:space="preserve">10 Aug 15:Rain affected_Progress affected; 4-Aug-15: muddy access road -slow progress								</v>
          </cell>
          <cell r="EJ137">
            <v>35</v>
          </cell>
          <cell r="EK137">
            <v>42223</v>
          </cell>
          <cell r="EL137">
            <v>42236</v>
          </cell>
          <cell r="EM137">
            <v>42224</v>
          </cell>
          <cell r="EN137">
            <v>42243</v>
          </cell>
          <cell r="EQ137">
            <v>42233</v>
          </cell>
          <cell r="ER137">
            <v>42247</v>
          </cell>
          <cell r="ES137">
            <v>42244</v>
          </cell>
          <cell r="ET137">
            <v>42247</v>
          </cell>
          <cell r="EU137">
            <v>42247</v>
          </cell>
          <cell r="EW137">
            <v>35</v>
          </cell>
          <cell r="EX137">
            <v>42216</v>
          </cell>
          <cell r="EZ137">
            <v>42243</v>
          </cell>
          <cell r="FA137">
            <v>42244</v>
          </cell>
          <cell r="FB137">
            <v>42245</v>
          </cell>
          <cell r="FU137">
            <v>42247</v>
          </cell>
          <cell r="FW137">
            <v>42247</v>
          </cell>
          <cell r="FY137" t="str">
            <v>UT</v>
          </cell>
          <cell r="FZ137">
            <v>42244</v>
          </cell>
          <cell r="GA137">
            <v>42247</v>
          </cell>
          <cell r="GB137">
            <v>42250</v>
          </cell>
          <cell r="GC137">
            <v>42250</v>
          </cell>
          <cell r="GD137">
            <v>42250</v>
          </cell>
          <cell r="GI137">
            <v>42307</v>
          </cell>
          <cell r="GJ137" t="str">
            <v>44-2015</v>
          </cell>
          <cell r="GN137" t="str">
            <v xml:space="preserve">ERICSSON </v>
          </cell>
          <cell r="GU137" t="str">
            <v xml:space="preserve">		</v>
          </cell>
          <cell r="HD137">
            <v>1</v>
          </cell>
        </row>
        <row r="138">
          <cell r="A138" t="str">
            <v>BA0834</v>
          </cell>
          <cell r="B138" t="str">
            <v>ACBA_0187</v>
          </cell>
          <cell r="C138" t="str">
            <v>Apollo</v>
          </cell>
          <cell r="D138" t="str">
            <v>Robert</v>
          </cell>
          <cell r="F138" t="str">
            <v>Phyo Wai Maung</v>
          </cell>
          <cell r="G138" t="str">
            <v>Saw Pyie Zin Nyein</v>
          </cell>
          <cell r="H138" t="str">
            <v>RED</v>
          </cell>
          <cell r="I138" t="str">
            <v>South</v>
          </cell>
          <cell r="J138" t="str">
            <v>96.777248</v>
          </cell>
          <cell r="K138" t="str">
            <v>17.893648</v>
          </cell>
          <cell r="L138" t="str">
            <v>Rural</v>
          </cell>
          <cell r="M138" t="str">
            <v>Bago East</v>
          </cell>
          <cell r="N138" t="str">
            <v>Nyaunglebin</v>
          </cell>
          <cell r="O138" t="str">
            <v>Nyaunglebin</v>
          </cell>
          <cell r="P138" t="str">
            <v>Bago East</v>
          </cell>
          <cell r="Q138" t="str">
            <v>19</v>
          </cell>
          <cell r="R138" t="str">
            <v>Nyaunglebin</v>
          </cell>
          <cell r="S138" t="str">
            <v>93</v>
          </cell>
          <cell r="T138" t="str">
            <v>GSM+UMTS</v>
          </cell>
          <cell r="W138" t="str">
            <v>Ph2-Priority</v>
          </cell>
          <cell r="X138" t="str">
            <v>55</v>
          </cell>
          <cell r="Y138" t="str">
            <v>57</v>
          </cell>
          <cell r="Z138" t="str">
            <v>GBT</v>
          </cell>
          <cell r="AA138" t="str">
            <v>500</v>
          </cell>
          <cell r="AB138" t="str">
            <v>Access</v>
          </cell>
          <cell r="AC138" t="str">
            <v>Class C</v>
          </cell>
          <cell r="BH138" t="str">
            <v>Leadcom</v>
          </cell>
          <cell r="BJ138">
            <v>42154</v>
          </cell>
          <cell r="BK138">
            <v>42170</v>
          </cell>
          <cell r="BL138">
            <v>42159</v>
          </cell>
          <cell r="BM138">
            <v>42177</v>
          </cell>
          <cell r="BT138">
            <v>49</v>
          </cell>
          <cell r="BU138">
            <v>42233</v>
          </cell>
          <cell r="BV138">
            <v>42248</v>
          </cell>
          <cell r="BW138" t="str">
            <v>97.27603</v>
          </cell>
          <cell r="BX138" t="str">
            <v>19.86488</v>
          </cell>
          <cell r="BY138" t="str">
            <v>C1</v>
          </cell>
          <cell r="CB138" t="str">
            <v>1 Sept 15: C1 SAR sub(As per the discussion with TN on 1-Sep-15)</v>
          </cell>
          <cell r="CC138" t="str">
            <v>Village Land</v>
          </cell>
          <cell r="CE138">
            <v>0</v>
          </cell>
          <cell r="CF138">
            <v>42234</v>
          </cell>
          <cell r="CG138">
            <v>42220</v>
          </cell>
          <cell r="CH138">
            <v>42236</v>
          </cell>
          <cell r="CN138">
            <v>0</v>
          </cell>
          <cell r="CO138">
            <v>42239</v>
          </cell>
          <cell r="CQ138" t="str">
            <v>M1: grid power + battery</v>
          </cell>
          <cell r="CR138">
            <v>0</v>
          </cell>
          <cell r="CS138">
            <v>42240</v>
          </cell>
          <cell r="CU138" t="str">
            <v>BA0834</v>
          </cell>
          <cell r="DH138">
            <v>0</v>
          </cell>
          <cell r="DI138">
            <v>42250</v>
          </cell>
          <cell r="DK138">
            <v>42247</v>
          </cell>
          <cell r="DM138">
            <v>42251</v>
          </cell>
          <cell r="DO138">
            <v>0</v>
          </cell>
          <cell r="DP138">
            <v>42250</v>
          </cell>
          <cell r="DT138">
            <v>0</v>
          </cell>
          <cell r="DU138">
            <v>42265</v>
          </cell>
          <cell r="DW138">
            <v>0</v>
          </cell>
          <cell r="DY138">
            <v>42251</v>
          </cell>
          <cell r="EA138" t="str">
            <v>Leadcom</v>
          </cell>
          <cell r="EJ138">
            <v>0</v>
          </cell>
          <cell r="EK138">
            <v>42273</v>
          </cell>
          <cell r="EM138">
            <v>42274</v>
          </cell>
          <cell r="EQ138">
            <v>42286</v>
          </cell>
          <cell r="EW138">
            <v>0</v>
          </cell>
          <cell r="EX138">
            <v>42300</v>
          </cell>
          <cell r="EZ138">
            <v>42296</v>
          </cell>
          <cell r="FB138">
            <v>42298</v>
          </cell>
          <cell r="FU138">
            <v>42300</v>
          </cell>
          <cell r="FW138">
            <v>42300</v>
          </cell>
          <cell r="GJ138">
            <v>0</v>
          </cell>
          <cell r="GN138" t="str">
            <v>ERICSSON</v>
          </cell>
          <cell r="GU138" t="str">
            <v xml:space="preserve">		</v>
          </cell>
          <cell r="HD138">
            <v>1</v>
          </cell>
        </row>
        <row r="139">
          <cell r="A139" t="str">
            <v>BA0835</v>
          </cell>
          <cell r="B139" t="str">
            <v>ACBA_0188</v>
          </cell>
          <cell r="C139" t="str">
            <v>Apollo</v>
          </cell>
          <cell r="D139" t="str">
            <v>Robert</v>
          </cell>
          <cell r="F139" t="str">
            <v>Phyo Wai Maung</v>
          </cell>
          <cell r="G139" t="str">
            <v>Saw Pyie Zin Nyein</v>
          </cell>
          <cell r="H139" t="str">
            <v>RED</v>
          </cell>
          <cell r="I139" t="str">
            <v>South</v>
          </cell>
          <cell r="J139" t="str">
            <v>96.781553887856</v>
          </cell>
          <cell r="K139" t="str">
            <v>18.0404699452741</v>
          </cell>
          <cell r="L139" t="str">
            <v>Rural</v>
          </cell>
          <cell r="M139" t="str">
            <v>Bago East</v>
          </cell>
          <cell r="N139" t="str">
            <v>Nyaunglebin</v>
          </cell>
          <cell r="O139" t="str">
            <v>Nyaunglebin</v>
          </cell>
          <cell r="P139" t="str">
            <v>Bago East</v>
          </cell>
          <cell r="Q139" t="str">
            <v>19</v>
          </cell>
          <cell r="R139" t="str">
            <v>Nyaunglebin</v>
          </cell>
          <cell r="S139" t="str">
            <v>93</v>
          </cell>
          <cell r="T139" t="str">
            <v>GSM+UMTS</v>
          </cell>
          <cell r="W139" t="str">
            <v>Ph2-Priority</v>
          </cell>
          <cell r="X139" t="str">
            <v>45</v>
          </cell>
          <cell r="Y139" t="str">
            <v>45</v>
          </cell>
          <cell r="Z139" t="str">
            <v>GBT</v>
          </cell>
          <cell r="AA139" t="str">
            <v>500</v>
          </cell>
          <cell r="AB139" t="str">
            <v>Access</v>
          </cell>
          <cell r="AC139" t="str">
            <v>Class C</v>
          </cell>
          <cell r="BH139" t="str">
            <v>KTT</v>
          </cell>
          <cell r="BJ139">
            <v>42152</v>
          </cell>
          <cell r="BK139">
            <v>42130</v>
          </cell>
          <cell r="BL139">
            <v>42157</v>
          </cell>
          <cell r="BM139">
            <v>42160</v>
          </cell>
          <cell r="BT139">
            <v>40</v>
          </cell>
          <cell r="BU139">
            <v>42188</v>
          </cell>
          <cell r="BV139">
            <v>42170</v>
          </cell>
          <cell r="BW139" t="str">
            <v>96.78263</v>
          </cell>
          <cell r="BX139" t="str">
            <v>18.04161</v>
          </cell>
          <cell r="BY139" t="str">
            <v>C1</v>
          </cell>
          <cell r="BZ139" t="str">
            <v>No.(76),Moe Khoe Village Group, Inn Kyint Village,Nyaunglaypin Township, Bago Division.</v>
          </cell>
          <cell r="CA139" t="str">
            <v>U Myint Aung;09-250213182</v>
          </cell>
          <cell r="CB139" t="str">
            <v>15Jun15: C1 SAR Sub.</v>
          </cell>
          <cell r="CC139" t="str">
            <v>Residential</v>
          </cell>
          <cell r="CE139">
            <v>1</v>
          </cell>
          <cell r="CF139">
            <v>42189</v>
          </cell>
          <cell r="CG139">
            <v>42171</v>
          </cell>
          <cell r="CH139">
            <v>42191</v>
          </cell>
          <cell r="CJ139">
            <v>42177</v>
          </cell>
          <cell r="CK139" t="str">
            <v>45</v>
          </cell>
          <cell r="CL139" t="str">
            <v>47</v>
          </cell>
          <cell r="CM139" t="str">
            <v>45</v>
          </cell>
          <cell r="CN139">
            <v>8</v>
          </cell>
          <cell r="CO139">
            <v>42194</v>
          </cell>
          <cell r="CP139">
            <v>42179</v>
          </cell>
          <cell r="CQ139" t="str">
            <v>M4: solar + DG + battery</v>
          </cell>
          <cell r="CR139">
            <v>1</v>
          </cell>
          <cell r="CS139">
            <v>42195</v>
          </cell>
          <cell r="CT139">
            <v>42180</v>
          </cell>
          <cell r="CU139" t="str">
            <v>BA0835</v>
          </cell>
          <cell r="DH139">
            <v>20</v>
          </cell>
          <cell r="DI139">
            <v>42205</v>
          </cell>
          <cell r="DJ139">
            <v>42200</v>
          </cell>
          <cell r="DK139">
            <v>42202</v>
          </cell>
          <cell r="DL139">
            <v>42205</v>
          </cell>
          <cell r="DM139">
            <v>42206</v>
          </cell>
          <cell r="DN139">
            <v>42205</v>
          </cell>
          <cell r="DO139">
            <v>0</v>
          </cell>
          <cell r="DP139">
            <v>42205</v>
          </cell>
          <cell r="DQ139">
            <v>42200</v>
          </cell>
          <cell r="DT139">
            <v>33</v>
          </cell>
          <cell r="DU139">
            <v>42220</v>
          </cell>
          <cell r="DW139">
            <v>0</v>
          </cell>
          <cell r="DY139">
            <v>42206</v>
          </cell>
          <cell r="DZ139">
            <v>42216</v>
          </cell>
          <cell r="EA139" t="str">
            <v>Leadcom</v>
          </cell>
          <cell r="EB139">
            <v>42213</v>
          </cell>
          <cell r="ED139" t="str">
            <v>10Aug15 :PaingThu.Soe: 7-8-15 Column done.Tower on site.Backfilling on going.
03Aug15 :PaingThu.Soe: 29-7-15 Excavation making in progress.</v>
          </cell>
          <cell r="EE139" t="str">
            <v xml:space="preserve">10 Aug 15:Flood affected_Hold-No access; 28-Jul-15: BP complete_payment can be done  floods access  issues 								</v>
          </cell>
          <cell r="EJ139">
            <v>0</v>
          </cell>
          <cell r="EK139">
            <v>42223</v>
          </cell>
          <cell r="EL139">
            <v>42222</v>
          </cell>
          <cell r="EM139">
            <v>42224</v>
          </cell>
          <cell r="EN139">
            <v>42219</v>
          </cell>
          <cell r="EQ139">
            <v>42233</v>
          </cell>
          <cell r="EW139">
            <v>0</v>
          </cell>
          <cell r="EX139">
            <v>42216</v>
          </cell>
          <cell r="EZ139">
            <v>42243</v>
          </cell>
          <cell r="FB139">
            <v>42245</v>
          </cell>
          <cell r="FU139">
            <v>42247</v>
          </cell>
          <cell r="FW139">
            <v>42247</v>
          </cell>
          <cell r="FY139" t="str">
            <v>UT</v>
          </cell>
          <cell r="FZ139">
            <v>42228</v>
          </cell>
          <cell r="GA139">
            <v>42229</v>
          </cell>
          <cell r="GB139">
            <v>42233</v>
          </cell>
          <cell r="GE139">
            <v>42233</v>
          </cell>
          <cell r="GI139">
            <v>42246</v>
          </cell>
          <cell r="GJ139">
            <v>0</v>
          </cell>
          <cell r="GN139" t="str">
            <v xml:space="preserve">ERICSSON </v>
          </cell>
          <cell r="GU139" t="str">
            <v xml:space="preserve">		</v>
          </cell>
          <cell r="HD139">
            <v>1</v>
          </cell>
        </row>
        <row r="140">
          <cell r="A140" t="str">
            <v>BA0836</v>
          </cell>
          <cell r="B140" t="str">
            <v>ACBA_0189</v>
          </cell>
          <cell r="C140" t="str">
            <v>Apollo</v>
          </cell>
          <cell r="D140" t="str">
            <v>Robert</v>
          </cell>
          <cell r="F140" t="str">
            <v>Phyo Wai Maung</v>
          </cell>
          <cell r="G140" t="str">
            <v>Saw Pyie Zin Nyein</v>
          </cell>
          <cell r="H140" t="str">
            <v>RED</v>
          </cell>
          <cell r="I140" t="str">
            <v>South</v>
          </cell>
          <cell r="J140" t="str">
            <v>96.434977</v>
          </cell>
          <cell r="K140" t="str">
            <v>17.320719</v>
          </cell>
          <cell r="L140" t="str">
            <v>Rural</v>
          </cell>
          <cell r="M140" t="str">
            <v>Bago East</v>
          </cell>
          <cell r="N140" t="str">
            <v>Bago</v>
          </cell>
          <cell r="O140" t="str">
            <v>Bago</v>
          </cell>
          <cell r="P140" t="str">
            <v>Bago East</v>
          </cell>
          <cell r="Q140" t="str">
            <v>19</v>
          </cell>
          <cell r="R140" t="str">
            <v>Bago</v>
          </cell>
          <cell r="S140" t="str">
            <v>89</v>
          </cell>
          <cell r="T140" t="str">
            <v>GSM+UMTS</v>
          </cell>
          <cell r="W140" t="str">
            <v>Ph2-Priority</v>
          </cell>
          <cell r="X140" t="str">
            <v>45</v>
          </cell>
          <cell r="Y140" t="str">
            <v>47</v>
          </cell>
          <cell r="Z140" t="str">
            <v>GBT</v>
          </cell>
          <cell r="AA140" t="str">
            <v>250</v>
          </cell>
          <cell r="AB140" t="str">
            <v>Access</v>
          </cell>
          <cell r="AC140" t="str">
            <v>Class C</v>
          </cell>
          <cell r="BH140" t="str">
            <v>Leadcom</v>
          </cell>
          <cell r="BJ140">
            <v>42154</v>
          </cell>
          <cell r="BK140">
            <v>42130</v>
          </cell>
          <cell r="BL140">
            <v>42159</v>
          </cell>
          <cell r="BM140">
            <v>42161</v>
          </cell>
          <cell r="BT140">
            <v>41</v>
          </cell>
          <cell r="BU140">
            <v>42211</v>
          </cell>
          <cell r="BV140">
            <v>42171</v>
          </cell>
          <cell r="BW140" t="str">
            <v>96.64329</v>
          </cell>
          <cell r="BX140" t="str">
            <v>17.88793</v>
          </cell>
          <cell r="BY140" t="str">
            <v>C2</v>
          </cell>
          <cell r="BZ140" t="str">
            <v>Goe Pin Village Group, Goe Pin Village Naunglebin Township, Bago</v>
          </cell>
          <cell r="CA140" t="str">
            <v>U Tun Nyein;09-428140498</v>
          </cell>
          <cell r="CB140" t="str">
            <v>16Jun15: C2 SAR Sub. C1 rejected by AT.15Jun15: C1 SAR resubmitted as BA0835. 12Jun15: C1 SAR Sub on Friday 8PM</v>
          </cell>
          <cell r="CE140">
            <v>0</v>
          </cell>
          <cell r="CF140">
            <v>42212</v>
          </cell>
          <cell r="CG140">
            <v>42172</v>
          </cell>
          <cell r="CH140">
            <v>42214</v>
          </cell>
          <cell r="CJ140">
            <v>42178</v>
          </cell>
          <cell r="CK140" t="str">
            <v>45</v>
          </cell>
          <cell r="CL140" t="str">
            <v>47</v>
          </cell>
          <cell r="CM140" t="str">
            <v>45</v>
          </cell>
          <cell r="CN140">
            <v>0</v>
          </cell>
          <cell r="CO140">
            <v>42217</v>
          </cell>
          <cell r="CP140">
            <v>42180</v>
          </cell>
          <cell r="CQ140" t="str">
            <v>M4: solar + DG + battery</v>
          </cell>
          <cell r="CR140">
            <v>0</v>
          </cell>
          <cell r="CS140">
            <v>42218</v>
          </cell>
          <cell r="CT140">
            <v>42181</v>
          </cell>
          <cell r="CU140" t="str">
            <v>BA0836</v>
          </cell>
          <cell r="DH140">
            <v>0</v>
          </cell>
          <cell r="DI140">
            <v>42228</v>
          </cell>
          <cell r="DJ140">
            <v>42200</v>
          </cell>
          <cell r="DK140">
            <v>42225</v>
          </cell>
          <cell r="DL140">
            <v>42205</v>
          </cell>
          <cell r="DM140">
            <v>42229</v>
          </cell>
          <cell r="DN140">
            <v>42205</v>
          </cell>
          <cell r="DO140">
            <v>0</v>
          </cell>
          <cell r="DP140">
            <v>42228</v>
          </cell>
          <cell r="DQ140">
            <v>42200</v>
          </cell>
          <cell r="DT140">
            <v>0</v>
          </cell>
          <cell r="DU140">
            <v>42243</v>
          </cell>
          <cell r="DW140">
            <v>0</v>
          </cell>
          <cell r="DY140">
            <v>42229</v>
          </cell>
          <cell r="DZ140">
            <v>42198</v>
          </cell>
          <cell r="EA140" t="str">
            <v>Leadcom</v>
          </cell>
          <cell r="EE140" t="str">
            <v xml:space="preserve">10 Aug 15:Rain affected_Progress affected; 4-Aug-15: muddy access road -slow progress								</v>
          </cell>
          <cell r="EJ140">
            <v>0</v>
          </cell>
          <cell r="EK140">
            <v>42246</v>
          </cell>
          <cell r="EM140">
            <v>42247</v>
          </cell>
          <cell r="EQ140">
            <v>42256</v>
          </cell>
          <cell r="EW140">
            <v>0</v>
          </cell>
          <cell r="EX140">
            <v>42224</v>
          </cell>
          <cell r="EZ140">
            <v>42266</v>
          </cell>
          <cell r="FB140">
            <v>42268</v>
          </cell>
          <cell r="FU140">
            <v>42270</v>
          </cell>
          <cell r="FW140">
            <v>42270</v>
          </cell>
          <cell r="GJ140">
            <v>0</v>
          </cell>
          <cell r="GN140" t="str">
            <v>ERICSSON</v>
          </cell>
          <cell r="GU140" t="str">
            <v xml:space="preserve">		</v>
          </cell>
          <cell r="HD140">
            <v>1</v>
          </cell>
        </row>
        <row r="141">
          <cell r="A141" t="str">
            <v>BA0837</v>
          </cell>
          <cell r="B141" t="str">
            <v>ACBA_0190</v>
          </cell>
          <cell r="C141" t="str">
            <v>Apollo</v>
          </cell>
          <cell r="D141" t="str">
            <v>Robert</v>
          </cell>
          <cell r="F141" t="str">
            <v>Phyo Wai Maung</v>
          </cell>
          <cell r="G141" t="str">
            <v>Saw Pyie Zin Nyein</v>
          </cell>
          <cell r="H141" t="str">
            <v>RED</v>
          </cell>
          <cell r="I141" t="str">
            <v>South</v>
          </cell>
          <cell r="J141" t="str">
            <v>96.779997</v>
          </cell>
          <cell r="K141" t="str">
            <v>17.034865</v>
          </cell>
          <cell r="L141" t="str">
            <v>Rural</v>
          </cell>
          <cell r="M141" t="str">
            <v>Bago East</v>
          </cell>
          <cell r="N141" t="str">
            <v>Kawa</v>
          </cell>
          <cell r="O141" t="str">
            <v>Kawa</v>
          </cell>
          <cell r="P141" t="str">
            <v>Bago East</v>
          </cell>
          <cell r="Q141" t="str">
            <v>19</v>
          </cell>
          <cell r="R141" t="str">
            <v>Kawa</v>
          </cell>
          <cell r="S141" t="str">
            <v>91</v>
          </cell>
          <cell r="T141" t="str">
            <v>GSM+UMTS</v>
          </cell>
          <cell r="W141" t="str">
            <v>Ph2-Priority</v>
          </cell>
          <cell r="X141" t="str">
            <v>55</v>
          </cell>
          <cell r="Y141" t="str">
            <v>57</v>
          </cell>
          <cell r="Z141" t="str">
            <v>GBT</v>
          </cell>
          <cell r="AA141" t="str">
            <v>500</v>
          </cell>
          <cell r="AB141" t="str">
            <v>Access</v>
          </cell>
          <cell r="AC141" t="str">
            <v>Class C</v>
          </cell>
          <cell r="BH141" t="str">
            <v>Leadcom</v>
          </cell>
          <cell r="BJ141">
            <v>42154</v>
          </cell>
          <cell r="BK141">
            <v>42121</v>
          </cell>
          <cell r="BL141">
            <v>42159</v>
          </cell>
          <cell r="BM141">
            <v>42114</v>
          </cell>
          <cell r="BT141">
            <v>3</v>
          </cell>
          <cell r="BU141">
            <v>42233</v>
          </cell>
          <cell r="BV141">
            <v>42124</v>
          </cell>
          <cell r="BW141" t="str">
            <v>95.84043</v>
          </cell>
          <cell r="BX141" t="str">
            <v>17.79243</v>
          </cell>
          <cell r="BY141" t="str">
            <v>C1</v>
          </cell>
          <cell r="BZ141" t="str">
            <v>No(100)Nat Sin Kone Village,Hmaw Inn Group.</v>
          </cell>
          <cell r="CA141" t="str">
            <v>U Nyunt Sein;No.100,Nat Sin Kone Village,Hmaw Inn Group;979,015,293,609,794,000,000;(U Kyaw Linn Soe;09-790152936)</v>
          </cell>
          <cell r="CB141" t="str">
            <v>22 July 15 : C1 updated TSSR checklist given from E// because of reroute reason and new link addition ;30Apr15: C1 SAR Sub</v>
          </cell>
          <cell r="CC141" t="str">
            <v>Farm Land</v>
          </cell>
          <cell r="CE141">
            <v>0</v>
          </cell>
          <cell r="CF141">
            <v>42234</v>
          </cell>
          <cell r="CG141">
            <v>42128</v>
          </cell>
          <cell r="CH141">
            <v>42236</v>
          </cell>
          <cell r="CJ141">
            <v>42141</v>
          </cell>
          <cell r="CK141" t="str">
            <v>45</v>
          </cell>
          <cell r="CL141" t="str">
            <v>47</v>
          </cell>
          <cell r="CM141" t="str">
            <v>45</v>
          </cell>
          <cell r="CN141">
            <v>0</v>
          </cell>
          <cell r="CO141">
            <v>42239</v>
          </cell>
          <cell r="CP141">
            <v>42143</v>
          </cell>
          <cell r="CQ141" t="str">
            <v>M4: solar + DG + battery</v>
          </cell>
          <cell r="CR141">
            <v>0</v>
          </cell>
          <cell r="CS141">
            <v>42240</v>
          </cell>
          <cell r="CT141">
            <v>42144</v>
          </cell>
          <cell r="CU141" t="str">
            <v>BA0837</v>
          </cell>
          <cell r="DH141">
            <v>0</v>
          </cell>
          <cell r="DI141">
            <v>42250</v>
          </cell>
          <cell r="DJ141">
            <v>42157</v>
          </cell>
          <cell r="DK141">
            <v>42247</v>
          </cell>
          <cell r="DL141">
            <v>42160</v>
          </cell>
          <cell r="DM141">
            <v>42251</v>
          </cell>
          <cell r="DN141">
            <v>42160</v>
          </cell>
          <cell r="DO141">
            <v>0</v>
          </cell>
          <cell r="DP141">
            <v>42250</v>
          </cell>
          <cell r="DQ141">
            <v>42157</v>
          </cell>
          <cell r="DT141">
            <v>0</v>
          </cell>
          <cell r="DU141">
            <v>42265</v>
          </cell>
          <cell r="DW141">
            <v>0</v>
          </cell>
          <cell r="DY141">
            <v>42251</v>
          </cell>
          <cell r="DZ141">
            <v>42160</v>
          </cell>
          <cell r="EA141" t="str">
            <v>Leadcom</v>
          </cell>
          <cell r="ED141" t="str">
            <v>30Jul15 :ChoYee.Thaung: 30/7/15 : Tower erection done with pole mount, prepare formwork and steel cutting for equ pad_x000D_
23/7/15 : tower erection on going (6 level)_x000D_
14/7/15 : backfilling start today
13Jul15 :ChoYee.Thaung: 10/7/15 : Footing done, pedestal will cast today_x000D_
2/7/15 : Rebar work on going(bottom bar )_x000D_
1/7/15 : Pump on going ooze water and soil disposal _x000D_
23/6/15 : Excavation and Lean done but pump on going ooze water from excavated hole _x000D_
18/6/15 : Excavation will finsih today, prepare steel cutting for rebar work_x000D_
16/6/15 : Excavation on going (75%)
11Jun15 :ChoYee.Thaung: Excavation on going_x000D_
10/6/15 : Excavation start today_x000D_
9/6/15: Demarcation only today</v>
          </cell>
          <cell r="EE141" t="str">
            <v xml:space="preserve">10 Aug 15:Rain affected_Progress affected; 3-Aug-15: Rain Affected								</v>
          </cell>
          <cell r="EF141" t="str">
            <v>Prince Nay Pyi Taw</v>
          </cell>
          <cell r="EJ141">
            <v>0</v>
          </cell>
          <cell r="EK141">
            <v>42273</v>
          </cell>
          <cell r="EL141">
            <v>42202</v>
          </cell>
          <cell r="EM141">
            <v>42274</v>
          </cell>
          <cell r="EN141">
            <v>42202</v>
          </cell>
          <cell r="EQ141">
            <v>42286</v>
          </cell>
          <cell r="ER141">
            <v>42217</v>
          </cell>
          <cell r="ES141">
            <v>42216</v>
          </cell>
          <cell r="ET141">
            <v>42220</v>
          </cell>
          <cell r="EU141">
            <v>42220</v>
          </cell>
          <cell r="EW141">
            <v>0</v>
          </cell>
          <cell r="EX141">
            <v>42300</v>
          </cell>
          <cell r="EZ141">
            <v>42296</v>
          </cell>
          <cell r="FA141">
            <v>42222</v>
          </cell>
          <cell r="FB141">
            <v>42298</v>
          </cell>
          <cell r="FC141">
            <v>42226</v>
          </cell>
          <cell r="FE141">
            <v>42179</v>
          </cell>
          <cell r="FU141">
            <v>42300</v>
          </cell>
          <cell r="FW141">
            <v>42300</v>
          </cell>
          <cell r="FX141">
            <v>42226</v>
          </cell>
          <cell r="FY141" t="str">
            <v>ABC</v>
          </cell>
          <cell r="FZ141">
            <v>42208</v>
          </cell>
          <cell r="GA141">
            <v>42209</v>
          </cell>
          <cell r="GB141">
            <v>42213</v>
          </cell>
          <cell r="GC141">
            <v>42220</v>
          </cell>
          <cell r="GD141">
            <v>42220</v>
          </cell>
          <cell r="GE141">
            <v>42213</v>
          </cell>
          <cell r="GF141">
            <v>42227</v>
          </cell>
          <cell r="GG141">
            <v>42227</v>
          </cell>
          <cell r="GH141">
            <v>42227</v>
          </cell>
          <cell r="GI141">
            <v>42246</v>
          </cell>
          <cell r="GJ141">
            <v>0</v>
          </cell>
          <cell r="GK141">
            <v>42227</v>
          </cell>
          <cell r="GN141" t="str">
            <v xml:space="preserve">ERICSSON </v>
          </cell>
          <cell r="GO141">
            <v>42138</v>
          </cell>
          <cell r="GP141">
            <v>42200</v>
          </cell>
          <cell r="GU141" t="str">
            <v xml:space="preserve">		</v>
          </cell>
          <cell r="HD141">
            <v>1</v>
          </cell>
        </row>
        <row r="142">
          <cell r="A142" t="str">
            <v>BA0838</v>
          </cell>
          <cell r="B142" t="str">
            <v>ACBA_0191</v>
          </cell>
          <cell r="C142" t="str">
            <v>Apollo</v>
          </cell>
          <cell r="D142" t="str">
            <v>Emilio Ruiz</v>
          </cell>
          <cell r="F142" t="str">
            <v>Phyo Wai Maung</v>
          </cell>
          <cell r="G142" t="str">
            <v>Cho Yee Thaung</v>
          </cell>
          <cell r="H142" t="str">
            <v>WHITE</v>
          </cell>
          <cell r="I142" t="str">
            <v>South</v>
          </cell>
          <cell r="J142" t="str">
            <v>95.84102098</v>
          </cell>
          <cell r="K142" t="str">
            <v>17.79501568</v>
          </cell>
          <cell r="L142" t="str">
            <v>Rural</v>
          </cell>
          <cell r="M142" t="str">
            <v>Bago West</v>
          </cell>
          <cell r="N142" t="str">
            <v>Letpadan</v>
          </cell>
          <cell r="O142" t="str">
            <v>Letpadan</v>
          </cell>
          <cell r="P142" t="str">
            <v>Bago West</v>
          </cell>
          <cell r="Q142" t="str">
            <v>20</v>
          </cell>
          <cell r="R142" t="str">
            <v>Letpadan</v>
          </cell>
          <cell r="S142" t="str">
            <v>110</v>
          </cell>
          <cell r="T142" t="str">
            <v>GSM+UMTS</v>
          </cell>
          <cell r="W142" t="str">
            <v>Ph2-Priority</v>
          </cell>
          <cell r="X142" t="str">
            <v>45</v>
          </cell>
          <cell r="Y142" t="str">
            <v>47</v>
          </cell>
          <cell r="Z142" t="str">
            <v>GBT</v>
          </cell>
          <cell r="AA142" t="str">
            <v>500</v>
          </cell>
          <cell r="AB142" t="str">
            <v>Access</v>
          </cell>
          <cell r="AC142" t="str">
            <v>Class C</v>
          </cell>
          <cell r="BE142" t="str">
            <v>Route 7 Bago - Pyawbwe</v>
          </cell>
          <cell r="BH142" t="str">
            <v>IENG</v>
          </cell>
          <cell r="BJ142">
            <v>42109</v>
          </cell>
          <cell r="BK142">
            <v>42121</v>
          </cell>
          <cell r="BL142">
            <v>42114</v>
          </cell>
          <cell r="BM142">
            <v>42114</v>
          </cell>
          <cell r="BT142">
            <v>3</v>
          </cell>
          <cell r="BU142">
            <v>42118</v>
          </cell>
          <cell r="BV142">
            <v>42124</v>
          </cell>
          <cell r="BW142" t="str">
            <v>95.84043</v>
          </cell>
          <cell r="BX142" t="str">
            <v>17.79243</v>
          </cell>
          <cell r="BY142" t="str">
            <v>C1</v>
          </cell>
          <cell r="BZ142" t="str">
            <v>No(100)Nat Sin Kone Village,Hmaw Inn Group.</v>
          </cell>
          <cell r="CA142" t="str">
            <v>U Nyunt Sein;No.100,Nat Sin Kone Village,Hmaw Inn Group;979,015,293,609,794,000,000;(U Kyaw Linn Soe;09-790152936)</v>
          </cell>
          <cell r="CB142" t="str">
            <v>22 July 15 : C1 updated TSSR checklist given from E// because of reroute reason and new link addition ;30Apr15: C1 SAR Sub</v>
          </cell>
          <cell r="CC142" t="str">
            <v>Farm Land</v>
          </cell>
          <cell r="CE142">
            <v>4</v>
          </cell>
          <cell r="CF142">
            <v>42119</v>
          </cell>
          <cell r="CG142">
            <v>42128</v>
          </cell>
          <cell r="CH142">
            <v>42121</v>
          </cell>
          <cell r="CJ142">
            <v>42141</v>
          </cell>
          <cell r="CK142" t="str">
            <v>45</v>
          </cell>
          <cell r="CL142" t="str">
            <v>47</v>
          </cell>
          <cell r="CM142" t="str">
            <v>45</v>
          </cell>
          <cell r="CN142">
            <v>15</v>
          </cell>
          <cell r="CO142">
            <v>42124</v>
          </cell>
          <cell r="CP142">
            <v>42143</v>
          </cell>
          <cell r="CQ142" t="str">
            <v>M4: solar + DG + battery</v>
          </cell>
          <cell r="CR142">
            <v>1</v>
          </cell>
          <cell r="CS142">
            <v>42125</v>
          </cell>
          <cell r="CT142">
            <v>42144</v>
          </cell>
          <cell r="CU142" t="str">
            <v>BA0838</v>
          </cell>
          <cell r="DH142">
            <v>13</v>
          </cell>
          <cell r="DI142">
            <v>42163</v>
          </cell>
          <cell r="DJ142">
            <v>42157</v>
          </cell>
          <cell r="DK142">
            <v>42160</v>
          </cell>
          <cell r="DL142">
            <v>42160</v>
          </cell>
          <cell r="DM142">
            <v>42164</v>
          </cell>
          <cell r="DN142">
            <v>42160</v>
          </cell>
          <cell r="DO142">
            <v>0</v>
          </cell>
          <cell r="DP142">
            <v>42163</v>
          </cell>
          <cell r="DQ142">
            <v>42157</v>
          </cell>
          <cell r="DT142">
            <v>76</v>
          </cell>
          <cell r="DU142">
            <v>42178</v>
          </cell>
          <cell r="DW142">
            <v>0</v>
          </cell>
          <cell r="DY142">
            <v>42164</v>
          </cell>
          <cell r="DZ142">
            <v>42160</v>
          </cell>
          <cell r="EA142" t="str">
            <v>IEng</v>
          </cell>
          <cell r="ED142" t="str">
            <v>30Jul15 :ChoYee.Thaung: 30/7/15 : Tower erection done with pole mount, prepare formwork and steel cutting for equ pad_x000D_
23/7/15 : tower erection on going (6 level)_x000D_
14/7/15 : backfilling start today
13Jul15 :ChoYee.Thaung: 10/7/15 : Footing done, pedestal will cast today_x000D_
2/7/15 : Rebar work on going(bottom bar )_x000D_
1/7/15 : Pump on going ooze water and soil disposal _x000D_
23/6/15 : Excavation and Lean done but pump on going ooze water from excavated hole _x000D_
18/6/15 : Excavation will finsih today, prepare steel cutting for rebar work_x000D_
16/6/15 : Excavation on going (75%)
11Jun15 :ChoYee.Thaung: Excavation on going_x000D_
10/6/15 : Excavation start today_x000D_
9/6/15: Demarcation only today</v>
          </cell>
          <cell r="EE142" t="str">
            <v xml:space="preserve">10 Aug 15:Rain affected_Progress affected; 3-Aug-15: Rain Affected								</v>
          </cell>
          <cell r="EF142" t="str">
            <v>Prince Nay Pyi Taw</v>
          </cell>
          <cell r="EJ142">
            <v>42</v>
          </cell>
          <cell r="EK142">
            <v>42186</v>
          </cell>
          <cell r="EL142">
            <v>42202</v>
          </cell>
          <cell r="EM142">
            <v>42187</v>
          </cell>
          <cell r="EN142">
            <v>42202</v>
          </cell>
          <cell r="EQ142">
            <v>42199</v>
          </cell>
          <cell r="ER142">
            <v>42217</v>
          </cell>
          <cell r="ES142">
            <v>42216</v>
          </cell>
          <cell r="ET142">
            <v>42220</v>
          </cell>
          <cell r="EU142">
            <v>42220</v>
          </cell>
          <cell r="EW142">
            <v>73</v>
          </cell>
          <cell r="EX142">
            <v>42213</v>
          </cell>
          <cell r="EZ142">
            <v>42209</v>
          </cell>
          <cell r="FA142">
            <v>42222</v>
          </cell>
          <cell r="FB142">
            <v>42211</v>
          </cell>
          <cell r="FC142">
            <v>42226</v>
          </cell>
          <cell r="FE142">
            <v>42179</v>
          </cell>
          <cell r="FU142">
            <v>42213</v>
          </cell>
          <cell r="FW142">
            <v>42213</v>
          </cell>
          <cell r="FX142">
            <v>42226</v>
          </cell>
          <cell r="FY142" t="str">
            <v>ABC</v>
          </cell>
          <cell r="FZ142">
            <v>42208</v>
          </cell>
          <cell r="GA142">
            <v>42209</v>
          </cell>
          <cell r="GB142">
            <v>42213</v>
          </cell>
          <cell r="GC142">
            <v>42220</v>
          </cell>
          <cell r="GD142">
            <v>42220</v>
          </cell>
          <cell r="GE142">
            <v>42213</v>
          </cell>
          <cell r="GF142">
            <v>42227</v>
          </cell>
          <cell r="GG142">
            <v>42227</v>
          </cell>
          <cell r="GH142">
            <v>42227</v>
          </cell>
          <cell r="GI142">
            <v>42246</v>
          </cell>
          <cell r="GJ142" t="str">
            <v>36-2015</v>
          </cell>
          <cell r="GK142">
            <v>42227</v>
          </cell>
          <cell r="GN142" t="str">
            <v xml:space="preserve">ERICSSON </v>
          </cell>
          <cell r="GO142">
            <v>42138</v>
          </cell>
          <cell r="GP142">
            <v>42200</v>
          </cell>
          <cell r="GU142" t="str">
            <v xml:space="preserve">		</v>
          </cell>
          <cell r="HD142">
            <v>1</v>
          </cell>
        </row>
        <row r="143">
          <cell r="A143" t="str">
            <v>BA0840</v>
          </cell>
          <cell r="B143" t="str">
            <v>ACBA_0192</v>
          </cell>
          <cell r="C143" t="str">
            <v>Apollo</v>
          </cell>
          <cell r="D143" t="str">
            <v>Robert</v>
          </cell>
          <cell r="F143" t="str">
            <v>Phyo Wai Maung</v>
          </cell>
          <cell r="G143" t="str">
            <v>Saw Pyie Zin Nyein</v>
          </cell>
          <cell r="H143" t="str">
            <v>RED</v>
          </cell>
          <cell r="I143" t="str">
            <v>South</v>
          </cell>
          <cell r="J143" t="str">
            <v>96.762155</v>
          </cell>
          <cell r="K143" t="str">
            <v>18.124779</v>
          </cell>
          <cell r="L143" t="str">
            <v>Rural</v>
          </cell>
          <cell r="M143" t="str">
            <v>Bago East</v>
          </cell>
          <cell r="N143" t="str">
            <v>Shwegyin</v>
          </cell>
          <cell r="O143" t="str">
            <v>Shwegyin</v>
          </cell>
          <cell r="P143" t="str">
            <v>Bago East</v>
          </cell>
          <cell r="Q143" t="str">
            <v>19</v>
          </cell>
          <cell r="R143" t="str">
            <v>Shwegyin</v>
          </cell>
          <cell r="S143" t="str">
            <v>96</v>
          </cell>
          <cell r="T143" t="str">
            <v>GSM+UMTS</v>
          </cell>
          <cell r="W143" t="str">
            <v>Ph2-Priority</v>
          </cell>
          <cell r="X143" t="str">
            <v>55</v>
          </cell>
          <cell r="Y143" t="str">
            <v>57</v>
          </cell>
          <cell r="Z143" t="str">
            <v>GBT</v>
          </cell>
          <cell r="AA143" t="str">
            <v>500</v>
          </cell>
          <cell r="AB143" t="str">
            <v>Access</v>
          </cell>
          <cell r="AC143" t="str">
            <v>Class C</v>
          </cell>
          <cell r="BH143" t="str">
            <v>Leadcom</v>
          </cell>
          <cell r="BJ143">
            <v>42155</v>
          </cell>
          <cell r="BK143">
            <v>42168</v>
          </cell>
          <cell r="BL143">
            <v>42160</v>
          </cell>
          <cell r="BM143">
            <v>42175</v>
          </cell>
          <cell r="BT143">
            <v>16</v>
          </cell>
          <cell r="BU143">
            <v>42233</v>
          </cell>
          <cell r="BV143">
            <v>42184</v>
          </cell>
          <cell r="BW143" t="str">
            <v>96.7627</v>
          </cell>
          <cell r="BX143" t="str">
            <v>18.12569</v>
          </cell>
          <cell r="BY143" t="str">
            <v>C1</v>
          </cell>
          <cell r="BZ143" t="str">
            <v>(372/A), Lat Pan I village.</v>
          </cell>
          <cell r="CA143" t="str">
            <v>U Tin Win;No.65, Shwe Myaung village, Zee Oak village group, Pyay township, Bago;0943166155, 09250556957.</v>
          </cell>
          <cell r="CB143" t="str">
            <v>13 Aug 15: C1 deactivate because of  Paddy land thus rejected by Legal;1 Jul  15 : C1 SAR app;29 June 15 : C1 SAR sub(changed NP as per Apollo remark)</v>
          </cell>
          <cell r="CC143" t="str">
            <v>RESIDENTIAL</v>
          </cell>
          <cell r="CE143">
            <v>1</v>
          </cell>
          <cell r="CF143">
            <v>42234</v>
          </cell>
          <cell r="CG143">
            <v>42185</v>
          </cell>
          <cell r="CH143">
            <v>42236</v>
          </cell>
          <cell r="CJ143">
            <v>42150</v>
          </cell>
          <cell r="CK143">
            <v>45</v>
          </cell>
          <cell r="CL143">
            <v>47</v>
          </cell>
          <cell r="CM143">
            <v>45</v>
          </cell>
          <cell r="CN143">
            <v>48</v>
          </cell>
          <cell r="CO143">
            <v>42239</v>
          </cell>
          <cell r="CP143">
            <v>42152</v>
          </cell>
          <cell r="CQ143" t="str">
            <v>M4: solar + DG + battery</v>
          </cell>
          <cell r="CR143">
            <v>0</v>
          </cell>
          <cell r="CS143">
            <v>42240</v>
          </cell>
          <cell r="CT143">
            <v>42153</v>
          </cell>
          <cell r="CU143" t="str">
            <v>BA0840</v>
          </cell>
          <cell r="DH143">
            <v>0</v>
          </cell>
          <cell r="DI143">
            <v>42250</v>
          </cell>
          <cell r="DK143">
            <v>42247</v>
          </cell>
          <cell r="DM143">
            <v>42251</v>
          </cell>
          <cell r="DO143">
            <v>0</v>
          </cell>
          <cell r="DP143">
            <v>42250</v>
          </cell>
          <cell r="DT143">
            <v>0</v>
          </cell>
          <cell r="DU143">
            <v>42265</v>
          </cell>
          <cell r="DW143">
            <v>0</v>
          </cell>
          <cell r="DY143">
            <v>42251</v>
          </cell>
          <cell r="EA143" t="str">
            <v>Leadcom</v>
          </cell>
          <cell r="EJ143">
            <v>0</v>
          </cell>
          <cell r="EK143">
            <v>42273</v>
          </cell>
          <cell r="EM143">
            <v>42274</v>
          </cell>
          <cell r="EQ143">
            <v>42286</v>
          </cell>
          <cell r="EW143">
            <v>0</v>
          </cell>
          <cell r="EX143">
            <v>42300</v>
          </cell>
          <cell r="EZ143">
            <v>42296</v>
          </cell>
          <cell r="FB143">
            <v>42298</v>
          </cell>
          <cell r="FU143">
            <v>42300</v>
          </cell>
          <cell r="FW143">
            <v>42300</v>
          </cell>
          <cell r="GJ143">
            <v>0</v>
          </cell>
          <cell r="GN143" t="str">
            <v>ERICSSON</v>
          </cell>
          <cell r="GU143" t="str">
            <v xml:space="preserve">		</v>
          </cell>
          <cell r="HD143">
            <v>1</v>
          </cell>
        </row>
        <row r="144">
          <cell r="A144" t="str">
            <v>BA0844</v>
          </cell>
          <cell r="B144" t="str">
            <v>ACBA_0193</v>
          </cell>
          <cell r="C144" t="str">
            <v>Apollo</v>
          </cell>
          <cell r="D144" t="str">
            <v>Chris Thomson</v>
          </cell>
          <cell r="F144" t="str">
            <v>Phyo Wai Maung</v>
          </cell>
          <cell r="G144" t="str">
            <v>Cho Yee Thaung</v>
          </cell>
          <cell r="H144" t="str">
            <v>GREEN</v>
          </cell>
          <cell r="I144" t="str">
            <v>South</v>
          </cell>
          <cell r="J144" t="str">
            <v>95.28919</v>
          </cell>
          <cell r="K144" t="str">
            <v>18.863004</v>
          </cell>
          <cell r="L144" t="str">
            <v>Rural</v>
          </cell>
          <cell r="M144" t="str">
            <v>Bago West</v>
          </cell>
          <cell r="N144" t="str">
            <v>Pyay</v>
          </cell>
          <cell r="O144" t="str">
            <v>Pyay</v>
          </cell>
          <cell r="P144" t="str">
            <v>Bago West</v>
          </cell>
          <cell r="Q144" t="str">
            <v>20</v>
          </cell>
          <cell r="R144" t="str">
            <v>Pyay</v>
          </cell>
          <cell r="S144" t="str">
            <v>103</v>
          </cell>
          <cell r="T144" t="str">
            <v>GSM+UMTS</v>
          </cell>
          <cell r="W144" t="str">
            <v>Ph2-Priority</v>
          </cell>
          <cell r="X144" t="str">
            <v>45</v>
          </cell>
          <cell r="Y144" t="str">
            <v>47</v>
          </cell>
          <cell r="Z144" t="str">
            <v>GBT</v>
          </cell>
          <cell r="AA144" t="str">
            <v>500</v>
          </cell>
          <cell r="AB144" t="str">
            <v>Access</v>
          </cell>
          <cell r="AC144" t="str">
            <v>Class C</v>
          </cell>
          <cell r="BE144" t="str">
            <v>Route 17 Monywa - Tamu</v>
          </cell>
          <cell r="BH144" t="str">
            <v>IENG</v>
          </cell>
          <cell r="BJ144">
            <v>42114</v>
          </cell>
          <cell r="BK144">
            <v>42121</v>
          </cell>
          <cell r="BL144">
            <v>42119</v>
          </cell>
          <cell r="BM144">
            <v>42119</v>
          </cell>
          <cell r="BT144">
            <v>8</v>
          </cell>
          <cell r="BU144">
            <v>42134</v>
          </cell>
          <cell r="BV144">
            <v>42129</v>
          </cell>
          <cell r="BW144" t="str">
            <v>95.28918</v>
          </cell>
          <cell r="BX144" t="str">
            <v>18.86287</v>
          </cell>
          <cell r="BY144" t="str">
            <v>C1</v>
          </cell>
          <cell r="BZ144" t="str">
            <v>(372/A), Lat Pan I village.</v>
          </cell>
          <cell r="CA144" t="str">
            <v>U Tin Win;No.65, Shwe Myaung village, Zee Oak village group, Pyay township, Bago;0943166155, 09250556957.</v>
          </cell>
          <cell r="CB144" t="str">
            <v>23 July 15 : Apollo request to delete RFTE date because issue with local people;5May15: C1 SAR Sub.</v>
          </cell>
          <cell r="CC144" t="str">
            <v>Garden Land</v>
          </cell>
          <cell r="CE144">
            <v>1</v>
          </cell>
          <cell r="CF144">
            <v>42135</v>
          </cell>
          <cell r="CG144">
            <v>42130</v>
          </cell>
          <cell r="CH144">
            <v>42160</v>
          </cell>
          <cell r="CJ144">
            <v>42150</v>
          </cell>
          <cell r="CK144" t="str">
            <v>45</v>
          </cell>
          <cell r="CL144" t="str">
            <v>47</v>
          </cell>
          <cell r="CM144" t="str">
            <v>45</v>
          </cell>
          <cell r="CN144">
            <v>22</v>
          </cell>
          <cell r="CO144">
            <v>42163</v>
          </cell>
          <cell r="CP144">
            <v>42152</v>
          </cell>
          <cell r="CQ144" t="str">
            <v>M4: solar + DG + battery</v>
          </cell>
          <cell r="CR144">
            <v>1</v>
          </cell>
          <cell r="CS144">
            <v>42164</v>
          </cell>
          <cell r="CT144">
            <v>42153</v>
          </cell>
          <cell r="CU144" t="str">
            <v>BA0844</v>
          </cell>
          <cell r="DH144">
            <v>80</v>
          </cell>
          <cell r="DI144">
            <v>42174</v>
          </cell>
          <cell r="DK144">
            <v>42171</v>
          </cell>
          <cell r="DL144">
            <v>42172</v>
          </cell>
          <cell r="DM144">
            <v>42175</v>
          </cell>
          <cell r="DN144">
            <v>42172</v>
          </cell>
          <cell r="DO144">
            <v>0</v>
          </cell>
          <cell r="DP144">
            <v>42174</v>
          </cell>
          <cell r="DT144">
            <v>0</v>
          </cell>
          <cell r="DU144">
            <v>42189</v>
          </cell>
          <cell r="DW144">
            <v>0</v>
          </cell>
          <cell r="DY144">
            <v>42175</v>
          </cell>
          <cell r="DZ144">
            <v>42168</v>
          </cell>
          <cell r="EA144" t="str">
            <v>IENG</v>
          </cell>
          <cell r="ED144" t="str">
            <v>30Jul15 :ChoYee.Thaung: 23/7/15 : Tower erection done with pole mount, power equ on site and install done, grounding done, cable tray done, RFI, Fencing on going but site is pending by local authority (18.7.15)_x000D_
14/7/15 : Tower erection full height
14Jul15 :ChoYee.Thaung: 9/7/15 : Tower erection start yesterday and today on going (10 M), Equipment pad done_x000D_
2/7/15 : Backfilling on going with compactor, Equipment pad column done, steel cutting and formwork prepare for Equipment slab, Tower materials on site (28/6/15)_x000D_
1/7/15 : Footing casted done, pedestal casted done today, backfilling will start tomorrow
24Jun15 :ChoYee.Thaung: Excavation done (18/6/15), Lean done, Rebar work done with form work, Footing will cast tomorrow, Excavation done for Equipment pad_x000D_
18/6/15 : Demarcation only</v>
          </cell>
          <cell r="EI144" t="str">
            <v>M7: 2DG + battery      </v>
          </cell>
          <cell r="EJ144">
            <v>19</v>
          </cell>
          <cell r="EK144">
            <v>42197</v>
          </cell>
          <cell r="EL144">
            <v>42187</v>
          </cell>
          <cell r="EM144">
            <v>42198</v>
          </cell>
          <cell r="EN144">
            <v>42187</v>
          </cell>
          <cell r="EQ144">
            <v>42210</v>
          </cell>
          <cell r="ER144">
            <v>42200</v>
          </cell>
          <cell r="ES144">
            <v>42191</v>
          </cell>
          <cell r="ET144">
            <v>42201</v>
          </cell>
          <cell r="EU144">
            <v>42201</v>
          </cell>
          <cell r="EW144">
            <v>65</v>
          </cell>
          <cell r="EX144">
            <v>42224</v>
          </cell>
          <cell r="EZ144">
            <v>42220</v>
          </cell>
          <cell r="FA144">
            <v>42205</v>
          </cell>
          <cell r="FB144">
            <v>42222</v>
          </cell>
          <cell r="FC144">
            <v>42205</v>
          </cell>
          <cell r="FE144">
            <v>42179</v>
          </cell>
          <cell r="FU144">
            <v>42224</v>
          </cell>
          <cell r="FW144">
            <v>42224</v>
          </cell>
          <cell r="FY144" t="str">
            <v>UT</v>
          </cell>
          <cell r="FZ144">
            <v>42191</v>
          </cell>
          <cell r="GA144">
            <v>42193</v>
          </cell>
          <cell r="GB144">
            <v>42197</v>
          </cell>
          <cell r="GE144">
            <v>42197</v>
          </cell>
          <cell r="GI144">
            <v>42246</v>
          </cell>
          <cell r="GJ144" t="str">
            <v>40-2015</v>
          </cell>
          <cell r="GL144" t="str">
            <v>H/O issue :: Local Govt. Authority Create problem regarding Hazard Issue</v>
          </cell>
          <cell r="GN144" t="str">
            <v xml:space="preserve">ERICSSON </v>
          </cell>
          <cell r="GO144">
            <v>42137</v>
          </cell>
          <cell r="GP144">
            <v>42199</v>
          </cell>
          <cell r="GQ144" t="str">
            <v xml:space="preserve">H/O Issue; </v>
          </cell>
          <cell r="GU144" t="str">
            <v xml:space="preserve">		</v>
          </cell>
          <cell r="HD144">
            <v>1</v>
          </cell>
        </row>
        <row r="145">
          <cell r="A145" t="str">
            <v>BA0847</v>
          </cell>
          <cell r="B145" t="str">
            <v>ACBA_0194</v>
          </cell>
          <cell r="C145" t="str">
            <v>Apollo</v>
          </cell>
          <cell r="D145" t="str">
            <v>Chris Thomson</v>
          </cell>
          <cell r="F145" t="str">
            <v>Phyo Wai Maung</v>
          </cell>
          <cell r="G145" t="str">
            <v>Paing Thu Soe</v>
          </cell>
          <cell r="H145" t="str">
            <v>GREEN</v>
          </cell>
          <cell r="I145" t="str">
            <v>South</v>
          </cell>
          <cell r="J145" t="str">
            <v>96.3657059999999</v>
          </cell>
          <cell r="K145" t="str">
            <v>18.874779</v>
          </cell>
          <cell r="L145" t="str">
            <v>Rural</v>
          </cell>
          <cell r="M145" t="str">
            <v>Bago East</v>
          </cell>
          <cell r="N145" t="str">
            <v>Oktwin</v>
          </cell>
          <cell r="O145" t="str">
            <v>Oktwin</v>
          </cell>
          <cell r="P145" t="str">
            <v>Bago East</v>
          </cell>
          <cell r="Q145" t="str">
            <v>19</v>
          </cell>
          <cell r="R145" t="str">
            <v>Oktwin</v>
          </cell>
          <cell r="S145" t="str">
            <v>101</v>
          </cell>
          <cell r="T145" t="str">
            <v>GSM+UMTS</v>
          </cell>
          <cell r="W145" t="str">
            <v>Ph2-Priority</v>
          </cell>
          <cell r="X145" t="str">
            <v>45</v>
          </cell>
          <cell r="Y145" t="str">
            <v>45</v>
          </cell>
          <cell r="Z145" t="str">
            <v>GBT</v>
          </cell>
          <cell r="AA145" t="str">
            <v>500</v>
          </cell>
          <cell r="AB145" t="str">
            <v>Access</v>
          </cell>
          <cell r="AC145" t="str">
            <v>Class C</v>
          </cell>
          <cell r="BH145" t="str">
            <v>KTT</v>
          </cell>
          <cell r="BJ145">
            <v>42152</v>
          </cell>
          <cell r="BK145">
            <v>42130</v>
          </cell>
          <cell r="BL145">
            <v>42157</v>
          </cell>
          <cell r="BM145">
            <v>42161</v>
          </cell>
          <cell r="BT145">
            <v>41</v>
          </cell>
          <cell r="BU145">
            <v>42188</v>
          </cell>
          <cell r="BV145">
            <v>42171</v>
          </cell>
          <cell r="BW145" t="str">
            <v>96.37282</v>
          </cell>
          <cell r="BX145" t="str">
            <v>18.87432</v>
          </cell>
          <cell r="BY145" t="str">
            <v>C2</v>
          </cell>
          <cell r="BZ145" t="str">
            <v>No (15), Kan Three Sint, Kywal Gan Village Group, Oktwin Township, Bago.</v>
          </cell>
          <cell r="CA145" t="str">
            <v>U Khin Mg Myat;09-428154753, 09-37282;(Daw Khin Moe Sue
LAND OWNER'S WIFE)</v>
          </cell>
          <cell r="CB145" t="str">
            <v>16Jun15: C2 SAR Sub</v>
          </cell>
          <cell r="CC145" t="str">
            <v>Nominal Falls with in a large Farmland</v>
          </cell>
          <cell r="CE145">
            <v>1</v>
          </cell>
          <cell r="CF145">
            <v>42189</v>
          </cell>
          <cell r="CG145">
            <v>42172</v>
          </cell>
          <cell r="CH145">
            <v>42191</v>
          </cell>
          <cell r="CJ145">
            <v>42177</v>
          </cell>
          <cell r="CK145" t="str">
            <v>45</v>
          </cell>
          <cell r="CL145" t="str">
            <v>47</v>
          </cell>
          <cell r="CM145" t="str">
            <v>45</v>
          </cell>
          <cell r="CN145">
            <v>7</v>
          </cell>
          <cell r="CO145">
            <v>42194</v>
          </cell>
          <cell r="CP145">
            <v>42179</v>
          </cell>
          <cell r="CQ145" t="str">
            <v>M4: solar + DG + battery</v>
          </cell>
          <cell r="CR145">
            <v>1</v>
          </cell>
          <cell r="CS145">
            <v>42195</v>
          </cell>
          <cell r="CT145">
            <v>42180</v>
          </cell>
          <cell r="CU145" t="str">
            <v>BA0847</v>
          </cell>
          <cell r="DH145">
            <v>53</v>
          </cell>
          <cell r="DI145">
            <v>42205</v>
          </cell>
          <cell r="DJ145">
            <v>42217</v>
          </cell>
          <cell r="DK145">
            <v>42202</v>
          </cell>
          <cell r="DL145">
            <v>42194</v>
          </cell>
          <cell r="DM145">
            <v>42206</v>
          </cell>
          <cell r="DN145">
            <v>42194</v>
          </cell>
          <cell r="DO145">
            <v>0</v>
          </cell>
          <cell r="DP145">
            <v>42205</v>
          </cell>
          <cell r="DQ145">
            <v>42217</v>
          </cell>
          <cell r="DT145">
            <v>0</v>
          </cell>
          <cell r="DU145">
            <v>42220</v>
          </cell>
          <cell r="DW145">
            <v>0</v>
          </cell>
          <cell r="DY145">
            <v>42206</v>
          </cell>
          <cell r="DZ145">
            <v>42182</v>
          </cell>
          <cell r="EA145" t="str">
            <v>Leadcom</v>
          </cell>
          <cell r="EE145" t="str">
            <v xml:space="preserve">10 Aug 15:Rain affected_Progress affected; 3-Aug-15: ACCESS PROBLEM IF CONTINUOUS RAIN (DIRT ROAD)								</v>
          </cell>
          <cell r="EJ145">
            <v>24</v>
          </cell>
          <cell r="EK145">
            <v>42223</v>
          </cell>
          <cell r="EL145">
            <v>42206</v>
          </cell>
          <cell r="EM145">
            <v>42224</v>
          </cell>
          <cell r="EN145">
            <v>42210</v>
          </cell>
          <cell r="EQ145">
            <v>42233</v>
          </cell>
          <cell r="ER145">
            <v>42221</v>
          </cell>
          <cell r="ES145">
            <v>42223</v>
          </cell>
          <cell r="ET145">
            <v>42226</v>
          </cell>
          <cell r="EU145">
            <v>42226</v>
          </cell>
          <cell r="EW145">
            <v>51</v>
          </cell>
          <cell r="EX145">
            <v>42216</v>
          </cell>
          <cell r="EZ145">
            <v>42243</v>
          </cell>
          <cell r="FA145">
            <v>42227</v>
          </cell>
          <cell r="FB145">
            <v>42245</v>
          </cell>
          <cell r="FC145">
            <v>42229</v>
          </cell>
          <cell r="FU145">
            <v>42247</v>
          </cell>
          <cell r="FW145">
            <v>42247</v>
          </cell>
          <cell r="FX145">
            <v>42229</v>
          </cell>
          <cell r="FY145" t="str">
            <v>UT</v>
          </cell>
          <cell r="FZ145">
            <v>42213</v>
          </cell>
          <cell r="GA145">
            <v>42215</v>
          </cell>
          <cell r="GB145">
            <v>42217</v>
          </cell>
          <cell r="GC145">
            <v>42232</v>
          </cell>
          <cell r="GD145">
            <v>42232</v>
          </cell>
          <cell r="GE145">
            <v>42217</v>
          </cell>
          <cell r="GF145">
            <v>42232</v>
          </cell>
          <cell r="GG145">
            <v>42232</v>
          </cell>
          <cell r="GH145">
            <v>42233</v>
          </cell>
          <cell r="GI145">
            <v>42246</v>
          </cell>
          <cell r="GJ145" t="str">
            <v>36-2015</v>
          </cell>
          <cell r="GK145">
            <v>42233</v>
          </cell>
          <cell r="GN145" t="str">
            <v xml:space="preserve">ERICSSON </v>
          </cell>
          <cell r="GS145" t="str">
            <v>4/4/4</v>
          </cell>
          <cell r="GU145" t="str">
            <v xml:space="preserve">		</v>
          </cell>
          <cell r="HD145">
            <v>1</v>
          </cell>
        </row>
        <row r="146">
          <cell r="A146" t="str">
            <v>BA0848</v>
          </cell>
          <cell r="B146" t="str">
            <v>ACBA_0195</v>
          </cell>
          <cell r="C146" t="str">
            <v>Apollo</v>
          </cell>
          <cell r="D146" t="str">
            <v>Chris Thomson</v>
          </cell>
          <cell r="F146" t="str">
            <v>Phyo Wai Maung</v>
          </cell>
          <cell r="G146" t="str">
            <v>Paing Thu Soe</v>
          </cell>
          <cell r="H146" t="str">
            <v>AMBER</v>
          </cell>
          <cell r="I146" t="str">
            <v>South</v>
          </cell>
          <cell r="J146" t="str">
            <v>96.5035269999999</v>
          </cell>
          <cell r="K146" t="str">
            <v>18.882309</v>
          </cell>
          <cell r="L146" t="str">
            <v>Rural</v>
          </cell>
          <cell r="M146" t="str">
            <v>Bago East</v>
          </cell>
          <cell r="N146" t="str">
            <v>Htantabin</v>
          </cell>
          <cell r="O146" t="str">
            <v>Htantabin</v>
          </cell>
          <cell r="P146" t="str">
            <v>Bago East</v>
          </cell>
          <cell r="Q146" t="str">
            <v>19</v>
          </cell>
          <cell r="R146" t="str">
            <v>Htantabin</v>
          </cell>
          <cell r="S146" t="str">
            <v>102</v>
          </cell>
          <cell r="T146" t="str">
            <v>GSM+UMTS</v>
          </cell>
          <cell r="W146" t="str">
            <v>Ph2-Priority</v>
          </cell>
          <cell r="X146" t="str">
            <v>45</v>
          </cell>
          <cell r="Y146" t="str">
            <v>45</v>
          </cell>
          <cell r="Z146" t="str">
            <v>GBT</v>
          </cell>
          <cell r="AA146" t="str">
            <v>500</v>
          </cell>
          <cell r="AB146" t="str">
            <v>Access</v>
          </cell>
          <cell r="AC146" t="str">
            <v>Class C</v>
          </cell>
          <cell r="BE146" t="str">
            <v>Route 7 Bago - Pyawbwe</v>
          </cell>
          <cell r="BH146" t="str">
            <v>KTT</v>
          </cell>
          <cell r="BJ146">
            <v>42152</v>
          </cell>
          <cell r="BK146">
            <v>42130</v>
          </cell>
          <cell r="BL146">
            <v>42157</v>
          </cell>
          <cell r="BM146">
            <v>42176</v>
          </cell>
          <cell r="BT146">
            <v>55</v>
          </cell>
          <cell r="BU146">
            <v>42188</v>
          </cell>
          <cell r="BV146">
            <v>42185</v>
          </cell>
          <cell r="BW146" t="str">
            <v>96.49914</v>
          </cell>
          <cell r="BX146" t="str">
            <v>18.88229</v>
          </cell>
          <cell r="BY146" t="str">
            <v>C1</v>
          </cell>
          <cell r="BZ146" t="str">
            <v>No (59), Chaung Wa Village Group,Chaung Wa Village, Htantabin Township, Bago</v>
          </cell>
          <cell r="CA146" t="str">
            <v>Daw Ei Ei Nyein, 09-973694835</v>
          </cell>
          <cell r="CB146" t="str">
            <v>16Jun15: C1 SAR Sub</v>
          </cell>
          <cell r="CC146" t="str">
            <v>Residential</v>
          </cell>
          <cell r="CE146">
            <v>1</v>
          </cell>
          <cell r="CF146">
            <v>42189</v>
          </cell>
          <cell r="CG146">
            <v>42186</v>
          </cell>
          <cell r="CH146">
            <v>42191</v>
          </cell>
          <cell r="CJ146">
            <v>42192</v>
          </cell>
          <cell r="CK146" t="str">
            <v>45</v>
          </cell>
          <cell r="CL146" t="str">
            <v>47</v>
          </cell>
          <cell r="CM146" t="str">
            <v>45</v>
          </cell>
          <cell r="CN146">
            <v>8</v>
          </cell>
          <cell r="CO146">
            <v>42194</v>
          </cell>
          <cell r="CP146">
            <v>42194</v>
          </cell>
          <cell r="CQ146" t="str">
            <v>M1: grid power + battery</v>
          </cell>
          <cell r="CR146">
            <v>5</v>
          </cell>
          <cell r="CS146">
            <v>42195</v>
          </cell>
          <cell r="CT146">
            <v>42199</v>
          </cell>
          <cell r="CU146" t="str">
            <v>BA0848</v>
          </cell>
          <cell r="DH146">
            <v>34</v>
          </cell>
          <cell r="DI146">
            <v>42205</v>
          </cell>
          <cell r="DK146">
            <v>42202</v>
          </cell>
          <cell r="DL146">
            <v>42242</v>
          </cell>
          <cell r="DM146">
            <v>42206</v>
          </cell>
          <cell r="DN146">
            <v>42201</v>
          </cell>
          <cell r="DO146">
            <v>0</v>
          </cell>
          <cell r="DP146">
            <v>42205</v>
          </cell>
          <cell r="DT146">
            <v>0</v>
          </cell>
          <cell r="DU146">
            <v>42220</v>
          </cell>
          <cell r="DW146">
            <v>0</v>
          </cell>
          <cell r="DY146">
            <v>42206</v>
          </cell>
          <cell r="DZ146">
            <v>42230</v>
          </cell>
          <cell r="EA146" t="str">
            <v>Leadcom</v>
          </cell>
          <cell r="EJ146">
            <v>3</v>
          </cell>
          <cell r="EK146">
            <v>42223</v>
          </cell>
          <cell r="EL146">
            <v>42242</v>
          </cell>
          <cell r="EM146">
            <v>42224</v>
          </cell>
          <cell r="EQ146">
            <v>42233</v>
          </cell>
          <cell r="EW146">
            <v>3</v>
          </cell>
          <cell r="EX146">
            <v>42216</v>
          </cell>
          <cell r="EZ146">
            <v>42243</v>
          </cell>
          <cell r="FB146">
            <v>42245</v>
          </cell>
          <cell r="FU146">
            <v>42247</v>
          </cell>
          <cell r="FW146">
            <v>42247</v>
          </cell>
          <cell r="GJ146">
            <v>0</v>
          </cell>
          <cell r="GN146" t="str">
            <v>ERICSSON</v>
          </cell>
          <cell r="GO146">
            <v>42201</v>
          </cell>
          <cell r="GP146">
            <v>42206</v>
          </cell>
          <cell r="GS146" t="str">
            <v>4/4/4</v>
          </cell>
          <cell r="GU146" t="str">
            <v xml:space="preserve">		</v>
          </cell>
          <cell r="HD146">
            <v>1</v>
          </cell>
        </row>
        <row r="147">
          <cell r="A147" t="str">
            <v>BA0850</v>
          </cell>
          <cell r="B147" t="str">
            <v>ACBA_0196</v>
          </cell>
          <cell r="C147" t="str">
            <v>Apollo</v>
          </cell>
          <cell r="D147" t="str">
            <v>Robert</v>
          </cell>
          <cell r="F147" t="str">
            <v>Phyo Wai Maung</v>
          </cell>
          <cell r="G147" t="str">
            <v>Saw Pyie Zin Nyein</v>
          </cell>
          <cell r="H147" t="str">
            <v>YELLOW</v>
          </cell>
          <cell r="I147" t="str">
            <v>South</v>
          </cell>
          <cell r="J147" t="str">
            <v>96.579779</v>
          </cell>
          <cell r="K147" t="str">
            <v>17.765142</v>
          </cell>
          <cell r="L147" t="str">
            <v>Rural</v>
          </cell>
          <cell r="M147" t="str">
            <v>Bago East</v>
          </cell>
          <cell r="N147" t="str">
            <v>Daik-U</v>
          </cell>
          <cell r="O147" t="str">
            <v>Daik-U</v>
          </cell>
          <cell r="P147" t="str">
            <v>Bago East</v>
          </cell>
          <cell r="Q147" t="str">
            <v>19</v>
          </cell>
          <cell r="R147" t="str">
            <v>Daik-U</v>
          </cell>
          <cell r="S147" t="str">
            <v>95</v>
          </cell>
          <cell r="T147" t="str">
            <v>GSM+UMTS</v>
          </cell>
          <cell r="W147" t="str">
            <v>Ph2-Priority</v>
          </cell>
          <cell r="X147" t="str">
            <v>45</v>
          </cell>
          <cell r="Y147" t="str">
            <v>45</v>
          </cell>
          <cell r="Z147" t="str">
            <v>GBT</v>
          </cell>
          <cell r="AA147" t="str">
            <v>500</v>
          </cell>
          <cell r="AB147" t="str">
            <v>Access</v>
          </cell>
          <cell r="AC147" t="str">
            <v>Class C</v>
          </cell>
          <cell r="BE147" t="str">
            <v>Route 1 Yangon - Mandalay</v>
          </cell>
          <cell r="BH147" t="str">
            <v>KTT</v>
          </cell>
          <cell r="BJ147">
            <v>42152</v>
          </cell>
          <cell r="BK147">
            <v>42130</v>
          </cell>
          <cell r="BL147">
            <v>42157</v>
          </cell>
          <cell r="BM147">
            <v>42153</v>
          </cell>
          <cell r="BT147">
            <v>33</v>
          </cell>
          <cell r="BU147">
            <v>42189</v>
          </cell>
          <cell r="BV147">
            <v>42163</v>
          </cell>
          <cell r="BW147" t="str">
            <v>96.58026</v>
          </cell>
          <cell r="BX147" t="str">
            <v>17.76595</v>
          </cell>
          <cell r="BY147" t="str">
            <v>C1</v>
          </cell>
          <cell r="BZ147" t="str">
            <v>No(107), Aung Chan Thar Village, Inn Thazin Village Group, Dite Oo Township, Bago.</v>
          </cell>
          <cell r="CA147" t="str">
            <v>U Hla Thein;No(107), Aung Chan Thar Village, Inn Thazin Village Group, Dite Oo Township, Bago.;09-793538136</v>
          </cell>
          <cell r="CB147" t="str">
            <v>8Jun15: C1 SAR Sub.</v>
          </cell>
          <cell r="CE147">
            <v>2</v>
          </cell>
          <cell r="CF147">
            <v>42190</v>
          </cell>
          <cell r="CG147">
            <v>42165</v>
          </cell>
          <cell r="CH147">
            <v>42192</v>
          </cell>
          <cell r="CJ147">
            <v>42173</v>
          </cell>
          <cell r="CK147" t="str">
            <v>45</v>
          </cell>
          <cell r="CL147" t="str">
            <v>47</v>
          </cell>
          <cell r="CM147" t="str">
            <v>45</v>
          </cell>
          <cell r="CN147">
            <v>10</v>
          </cell>
          <cell r="CO147">
            <v>42195</v>
          </cell>
          <cell r="CP147">
            <v>42175</v>
          </cell>
          <cell r="CQ147" t="str">
            <v>M4: solar + DG + battery</v>
          </cell>
          <cell r="CR147">
            <v>4</v>
          </cell>
          <cell r="CS147">
            <v>42196</v>
          </cell>
          <cell r="CT147">
            <v>42179</v>
          </cell>
          <cell r="CU147" t="str">
            <v>BA0850</v>
          </cell>
          <cell r="DH147">
            <v>5</v>
          </cell>
          <cell r="DI147">
            <v>42206</v>
          </cell>
          <cell r="DJ147">
            <v>42184</v>
          </cell>
          <cell r="DK147">
            <v>42203</v>
          </cell>
          <cell r="DL147">
            <v>42187</v>
          </cell>
          <cell r="DM147">
            <v>42207</v>
          </cell>
          <cell r="DN147">
            <v>42187</v>
          </cell>
          <cell r="DO147">
            <v>2</v>
          </cell>
          <cell r="DP147">
            <v>42206</v>
          </cell>
          <cell r="DQ147">
            <v>42186</v>
          </cell>
          <cell r="DT147">
            <v>47</v>
          </cell>
          <cell r="DU147">
            <v>42221</v>
          </cell>
          <cell r="DV147">
            <v>42180</v>
          </cell>
          <cell r="DW147">
            <v>0</v>
          </cell>
          <cell r="DY147">
            <v>42207</v>
          </cell>
          <cell r="DZ147">
            <v>42191</v>
          </cell>
          <cell r="EA147" t="str">
            <v>Leadcom</v>
          </cell>
          <cell r="EB147">
            <v>42222</v>
          </cell>
          <cell r="EE147" t="str">
            <v xml:space="preserve">10 Aug 15:Flood affected_Hold-No access; 6-Aug-15:  Villagers  donÆt allow to use road due to rain,muddy access road -slow progress								</v>
          </cell>
          <cell r="EI147" t="str">
            <v>M5: grid power + DG + battery      </v>
          </cell>
          <cell r="EJ147">
            <v>19</v>
          </cell>
          <cell r="EK147">
            <v>42224</v>
          </cell>
          <cell r="EL147">
            <v>42210</v>
          </cell>
          <cell r="EM147">
            <v>42225</v>
          </cell>
          <cell r="EN147">
            <v>42203</v>
          </cell>
          <cell r="EQ147">
            <v>42234</v>
          </cell>
          <cell r="ER147">
            <v>42216</v>
          </cell>
          <cell r="ES147">
            <v>42208</v>
          </cell>
          <cell r="ET147">
            <v>42216</v>
          </cell>
          <cell r="EU147">
            <v>42216</v>
          </cell>
          <cell r="EW147">
            <v>42</v>
          </cell>
          <cell r="EX147">
            <v>42216</v>
          </cell>
          <cell r="EZ147">
            <v>42244</v>
          </cell>
          <cell r="FA147">
            <v>42216</v>
          </cell>
          <cell r="FB147">
            <v>42246</v>
          </cell>
          <cell r="FC147">
            <v>42217</v>
          </cell>
          <cell r="FU147">
            <v>42248</v>
          </cell>
          <cell r="FW147">
            <v>42248</v>
          </cell>
          <cell r="FX147">
            <v>42217</v>
          </cell>
          <cell r="FY147" t="str">
            <v>UT</v>
          </cell>
          <cell r="FZ147">
            <v>42214</v>
          </cell>
          <cell r="GA147">
            <v>42215</v>
          </cell>
          <cell r="GB147">
            <v>42217</v>
          </cell>
          <cell r="GC147">
            <v>42228</v>
          </cell>
          <cell r="GD147">
            <v>42229</v>
          </cell>
          <cell r="GE147">
            <v>42217</v>
          </cell>
          <cell r="GF147">
            <v>42230</v>
          </cell>
          <cell r="GG147">
            <v>42230</v>
          </cell>
          <cell r="GH147">
            <v>42230</v>
          </cell>
          <cell r="GI147">
            <v>42246</v>
          </cell>
          <cell r="GJ147" t="str">
            <v>36-2015</v>
          </cell>
          <cell r="GK147">
            <v>42230</v>
          </cell>
          <cell r="GL147" t="str">
            <v>TCU, DUG and DUW Missing</v>
          </cell>
          <cell r="GN147" t="str">
            <v xml:space="preserve">ERICSSON </v>
          </cell>
          <cell r="GO147">
            <v>42186</v>
          </cell>
          <cell r="GQ147">
            <v>0</v>
          </cell>
          <cell r="GU147" t="str">
            <v xml:space="preserve">		</v>
          </cell>
          <cell r="HD147">
            <v>1</v>
          </cell>
        </row>
        <row r="148">
          <cell r="A148" t="str">
            <v>BA0851</v>
          </cell>
          <cell r="B148" t="str">
            <v>ACBA_0197</v>
          </cell>
          <cell r="C148" t="str">
            <v>Apollo</v>
          </cell>
          <cell r="D148" t="str">
            <v>Robert</v>
          </cell>
          <cell r="F148" t="str">
            <v>Phyo Wai Maung</v>
          </cell>
          <cell r="G148" t="str">
            <v>Saw Pyie Zin Nyein</v>
          </cell>
          <cell r="H148" t="str">
            <v>RED</v>
          </cell>
          <cell r="I148" t="str">
            <v>South</v>
          </cell>
          <cell r="J148" t="str">
            <v>96.4859029999999</v>
          </cell>
          <cell r="K148" t="str">
            <v>17.01841</v>
          </cell>
          <cell r="L148" t="str">
            <v>Rural</v>
          </cell>
          <cell r="M148" t="str">
            <v>Bago East</v>
          </cell>
          <cell r="N148" t="str">
            <v>Kawa</v>
          </cell>
          <cell r="O148" t="str">
            <v>Kawa</v>
          </cell>
          <cell r="P148" t="str">
            <v>Bago East</v>
          </cell>
          <cell r="Q148" t="str">
            <v>19</v>
          </cell>
          <cell r="R148" t="str">
            <v>Kawa</v>
          </cell>
          <cell r="S148" t="str">
            <v>91</v>
          </cell>
          <cell r="T148" t="str">
            <v>GSM+UMTS</v>
          </cell>
          <cell r="W148" t="str">
            <v>Ph2-Priority</v>
          </cell>
          <cell r="X148" t="str">
            <v>45</v>
          </cell>
          <cell r="Y148" t="str">
            <v>47</v>
          </cell>
          <cell r="Z148" t="str">
            <v>GBT</v>
          </cell>
          <cell r="AA148" t="str">
            <v>500</v>
          </cell>
          <cell r="AB148" t="str">
            <v>Access</v>
          </cell>
          <cell r="AC148" t="str">
            <v>Class C</v>
          </cell>
          <cell r="BE148" t="str">
            <v>Route 10 Mandalay - Myitkyina</v>
          </cell>
          <cell r="BH148" t="str">
            <v>Leadcom</v>
          </cell>
          <cell r="BJ148">
            <v>42155</v>
          </cell>
          <cell r="BK148">
            <v>42170</v>
          </cell>
          <cell r="BL148">
            <v>42160</v>
          </cell>
          <cell r="BM148">
            <v>42138</v>
          </cell>
          <cell r="BT148">
            <v>63</v>
          </cell>
          <cell r="BU148">
            <v>42202</v>
          </cell>
          <cell r="BV148">
            <v>42148</v>
          </cell>
          <cell r="BW148" t="str">
            <v>95.97488</v>
          </cell>
          <cell r="BX148" t="str">
            <v>22.88367</v>
          </cell>
          <cell r="BY148" t="str">
            <v>Reject</v>
          </cell>
          <cell r="BZ148" t="str">
            <v>Kabae Taung Quarter, Thabeikkyin Township.</v>
          </cell>
          <cell r="CA148" t="str">
            <v>Daw Pu;Kabae Taung Quarter, Thabeikkyin Township,Pyin Oo Lwin District, Mandalay Division;09 2057545</v>
          </cell>
          <cell r="CB148" t="str">
            <v>13 Aug 15: C1 deactivate because of  Paddy land thus rejected by Legal;1 Jul  15 : C1 SAR app;29 June 15 : C1 SAR sub(changed NP as per Apollo remark)</v>
          </cell>
          <cell r="CC148" t="str">
            <v>GARDEN LAND</v>
          </cell>
          <cell r="CE148">
            <v>0</v>
          </cell>
          <cell r="CF148">
            <v>42203</v>
          </cell>
          <cell r="CG148">
            <v>42151</v>
          </cell>
          <cell r="CH148">
            <v>42205</v>
          </cell>
          <cell r="CJ148">
            <v>42167</v>
          </cell>
          <cell r="CK148" t="str">
            <v>40</v>
          </cell>
          <cell r="CL148" t="str">
            <v>42</v>
          </cell>
          <cell r="CM148" t="str">
            <v>45</v>
          </cell>
          <cell r="CN148">
            <v>0</v>
          </cell>
          <cell r="CO148">
            <v>42208</v>
          </cell>
          <cell r="CP148">
            <v>42169</v>
          </cell>
          <cell r="CQ148" t="str">
            <v>M4: solar + DG + battery</v>
          </cell>
          <cell r="CR148">
            <v>0</v>
          </cell>
          <cell r="CS148">
            <v>42209</v>
          </cell>
          <cell r="CT148">
            <v>42170</v>
          </cell>
          <cell r="CU148" t="str">
            <v>BA0851</v>
          </cell>
          <cell r="DH148">
            <v>0</v>
          </cell>
          <cell r="DI148">
            <v>42219</v>
          </cell>
          <cell r="DJ148">
            <v>42181</v>
          </cell>
          <cell r="DK148">
            <v>42216</v>
          </cell>
          <cell r="DL148">
            <v>42168</v>
          </cell>
          <cell r="DM148">
            <v>42220</v>
          </cell>
          <cell r="DO148">
            <v>0</v>
          </cell>
          <cell r="DP148">
            <v>42219</v>
          </cell>
          <cell r="DQ148">
            <v>42187</v>
          </cell>
          <cell r="DT148">
            <v>0</v>
          </cell>
          <cell r="DU148">
            <v>42234</v>
          </cell>
          <cell r="DW148">
            <v>0</v>
          </cell>
          <cell r="DY148">
            <v>42220</v>
          </cell>
          <cell r="EA148" t="str">
            <v>Leadcom</v>
          </cell>
          <cell r="EJ148">
            <v>0</v>
          </cell>
          <cell r="EK148">
            <v>42237</v>
          </cell>
          <cell r="EM148">
            <v>42238</v>
          </cell>
          <cell r="EQ148">
            <v>42247</v>
          </cell>
          <cell r="EW148">
            <v>0</v>
          </cell>
          <cell r="EX148">
            <v>42261</v>
          </cell>
          <cell r="EZ148">
            <v>42257</v>
          </cell>
          <cell r="FB148">
            <v>42259</v>
          </cell>
          <cell r="FU148">
            <v>42261</v>
          </cell>
          <cell r="FW148">
            <v>42261</v>
          </cell>
          <cell r="GF148">
            <v>42123</v>
          </cell>
          <cell r="GJ148">
            <v>0</v>
          </cell>
          <cell r="GN148" t="str">
            <v>ERICSSON</v>
          </cell>
          <cell r="GU148" t="str">
            <v xml:space="preserve">		</v>
          </cell>
          <cell r="HD148">
            <v>1</v>
          </cell>
        </row>
        <row r="149">
          <cell r="A149" t="str">
            <v>BA0852</v>
          </cell>
          <cell r="B149" t="str">
            <v>ACBA_0198</v>
          </cell>
          <cell r="C149" t="str">
            <v>Apollo</v>
          </cell>
          <cell r="D149" t="str">
            <v>Robert</v>
          </cell>
          <cell r="F149" t="str">
            <v>Phyo Wai Maung</v>
          </cell>
          <cell r="G149" t="str">
            <v>Saw Pyie Zin Nyein</v>
          </cell>
          <cell r="H149" t="str">
            <v>RED</v>
          </cell>
          <cell r="I149" t="str">
            <v>South</v>
          </cell>
          <cell r="J149" t="str">
            <v>96.4353409999999</v>
          </cell>
          <cell r="K149" t="str">
            <v>17.260662</v>
          </cell>
          <cell r="L149" t="str">
            <v>Rural</v>
          </cell>
          <cell r="M149" t="str">
            <v>Bago East</v>
          </cell>
          <cell r="N149" t="str">
            <v>Bago</v>
          </cell>
          <cell r="O149" t="str">
            <v>Bago</v>
          </cell>
          <cell r="P149" t="str">
            <v>Bago East</v>
          </cell>
          <cell r="Q149" t="str">
            <v>19</v>
          </cell>
          <cell r="R149" t="str">
            <v>Bago</v>
          </cell>
          <cell r="S149" t="str">
            <v>89</v>
          </cell>
          <cell r="T149" t="str">
            <v>GSM+UMTS</v>
          </cell>
          <cell r="W149" t="str">
            <v>Ph2-Priority</v>
          </cell>
          <cell r="X149" t="str">
            <v>45</v>
          </cell>
          <cell r="Y149" t="str">
            <v>45</v>
          </cell>
          <cell r="Z149" t="str">
            <v>GBT</v>
          </cell>
          <cell r="AA149" t="str">
            <v>500</v>
          </cell>
          <cell r="AB149" t="str">
            <v>Access</v>
          </cell>
          <cell r="AC149" t="str">
            <v>Class C</v>
          </cell>
          <cell r="BH149" t="str">
            <v>KTT</v>
          </cell>
          <cell r="BJ149">
            <v>42152</v>
          </cell>
          <cell r="BK149">
            <v>42130</v>
          </cell>
          <cell r="BL149">
            <v>42157</v>
          </cell>
          <cell r="BM149">
            <v>42165</v>
          </cell>
          <cell r="BT149">
            <v>92</v>
          </cell>
          <cell r="BU149">
            <v>42189</v>
          </cell>
          <cell r="BV149">
            <v>42222</v>
          </cell>
          <cell r="BW149" t="str">
            <v>96.43357</v>
          </cell>
          <cell r="BX149" t="str">
            <v>17.25725</v>
          </cell>
          <cell r="BY149" t="str">
            <v>C4</v>
          </cell>
          <cell r="CB149" t="str">
            <v>6 Aug 15 : C4 SAR sub( C2, C3 out of search ring);24 June 15 : C1 SAR rejected( RND rejected this candidate because it is 19.38km far from the nominal.);20Jun15: C1 SAR Sub</v>
          </cell>
          <cell r="CC149" t="str">
            <v>GARDEN LAND</v>
          </cell>
          <cell r="CE149">
            <v>8</v>
          </cell>
          <cell r="CF149">
            <v>42190</v>
          </cell>
          <cell r="CG149">
            <v>42230</v>
          </cell>
          <cell r="CH149">
            <v>42192</v>
          </cell>
          <cell r="CN149">
            <v>3</v>
          </cell>
          <cell r="CO149">
            <v>42195</v>
          </cell>
          <cell r="CQ149" t="str">
            <v>M4: solar + DG + battery</v>
          </cell>
          <cell r="CR149">
            <v>0</v>
          </cell>
          <cell r="CS149">
            <v>42196</v>
          </cell>
          <cell r="CU149" t="str">
            <v>BA0852</v>
          </cell>
          <cell r="DH149">
            <v>0</v>
          </cell>
          <cell r="DI149">
            <v>42206</v>
          </cell>
          <cell r="DK149">
            <v>42203</v>
          </cell>
          <cell r="DM149">
            <v>42207</v>
          </cell>
          <cell r="DO149">
            <v>0</v>
          </cell>
          <cell r="DP149">
            <v>42206</v>
          </cell>
          <cell r="DT149">
            <v>0</v>
          </cell>
          <cell r="DU149">
            <v>42221</v>
          </cell>
          <cell r="DW149">
            <v>0</v>
          </cell>
          <cell r="DY149">
            <v>42207</v>
          </cell>
          <cell r="EA149" t="str">
            <v>Leadcom</v>
          </cell>
          <cell r="EJ149">
            <v>0</v>
          </cell>
          <cell r="EK149">
            <v>42222</v>
          </cell>
          <cell r="EM149">
            <v>42223</v>
          </cell>
          <cell r="EQ149">
            <v>42230</v>
          </cell>
          <cell r="EW149">
            <v>0</v>
          </cell>
          <cell r="EX149">
            <v>42212</v>
          </cell>
          <cell r="EZ149">
            <v>42240</v>
          </cell>
          <cell r="FB149">
            <v>42242</v>
          </cell>
          <cell r="FU149">
            <v>42244</v>
          </cell>
          <cell r="FW149">
            <v>42244</v>
          </cell>
          <cell r="GJ149">
            <v>0</v>
          </cell>
          <cell r="GN149" t="str">
            <v>ERICSSON</v>
          </cell>
          <cell r="GS149" t="str">
            <v>4/4/4</v>
          </cell>
          <cell r="GU149" t="str">
            <v xml:space="preserve">		</v>
          </cell>
          <cell r="HD149">
            <v>1</v>
          </cell>
        </row>
        <row r="150">
          <cell r="A150" t="str">
            <v>BA0853</v>
          </cell>
          <cell r="B150" t="str">
            <v>ACBA_0199</v>
          </cell>
          <cell r="C150" t="str">
            <v>Apollo</v>
          </cell>
          <cell r="D150" t="str">
            <v>Robert</v>
          </cell>
          <cell r="F150" t="str">
            <v>Phyo Wai Maung</v>
          </cell>
          <cell r="G150" t="str">
            <v>Saw Pyie Zin Nyein</v>
          </cell>
          <cell r="H150" t="str">
            <v>RED</v>
          </cell>
          <cell r="I150" t="str">
            <v>South</v>
          </cell>
          <cell r="J150" t="str">
            <v>96.660829</v>
          </cell>
          <cell r="K150" t="str">
            <v>17.044539</v>
          </cell>
          <cell r="L150" t="str">
            <v>Rural</v>
          </cell>
          <cell r="M150" t="str">
            <v>Bago East</v>
          </cell>
          <cell r="N150" t="str">
            <v>Kawa</v>
          </cell>
          <cell r="O150" t="str">
            <v>Kawa</v>
          </cell>
          <cell r="P150" t="str">
            <v>Bago East</v>
          </cell>
          <cell r="Q150" t="str">
            <v>19</v>
          </cell>
          <cell r="R150" t="str">
            <v>Kawa</v>
          </cell>
          <cell r="S150" t="str">
            <v>91</v>
          </cell>
          <cell r="T150" t="str">
            <v>GSM+UMTS</v>
          </cell>
          <cell r="W150" t="str">
            <v>Ph2-Priority</v>
          </cell>
          <cell r="X150" t="str">
            <v>45</v>
          </cell>
          <cell r="Y150" t="str">
            <v>45</v>
          </cell>
          <cell r="Z150" t="str">
            <v>GBT</v>
          </cell>
          <cell r="AA150" t="str">
            <v>500</v>
          </cell>
          <cell r="AB150" t="str">
            <v>Access</v>
          </cell>
          <cell r="AC150" t="str">
            <v>Class C</v>
          </cell>
          <cell r="BH150" t="str">
            <v>KTT</v>
          </cell>
          <cell r="BJ150">
            <v>42168</v>
          </cell>
          <cell r="BK150">
            <v>42130</v>
          </cell>
          <cell r="BL150">
            <v>42173</v>
          </cell>
          <cell r="BM150">
            <v>42177</v>
          </cell>
          <cell r="BT150">
            <v>103</v>
          </cell>
          <cell r="BU150">
            <v>42170</v>
          </cell>
          <cell r="BV150">
            <v>42178</v>
          </cell>
          <cell r="BW150" t="str">
            <v>96.65654</v>
          </cell>
          <cell r="BX150" t="str">
            <v>17.04453</v>
          </cell>
          <cell r="BY150" t="str">
            <v>Reject</v>
          </cell>
          <cell r="BZ150" t="str">
            <v>Hyaung Kaw Pin Group, Kone Gyi Village.</v>
          </cell>
          <cell r="CA150" t="str">
            <v>Daw San Kyi;No.11,Kone Gyi Village,Nyaung Kat Pin Village Group,Paung De Towmship,Bago Division;09 26057564,09423723292,09333762</v>
          </cell>
          <cell r="CB150" t="str">
            <v>13 Aug 15: C3 deactivate because of Access issue, cant not reach site in rainy. IN Rainy O&amp;M can be done;29 Jun 15 : C3 SAR app;23 Jun 15 : C3 SAR sub</v>
          </cell>
          <cell r="CE150">
            <v>0</v>
          </cell>
          <cell r="CF150">
            <v>42171</v>
          </cell>
          <cell r="CG150">
            <v>42184</v>
          </cell>
          <cell r="CH150">
            <v>42173</v>
          </cell>
          <cell r="CJ150">
            <v>42150</v>
          </cell>
          <cell r="CK150">
            <v>45</v>
          </cell>
          <cell r="CL150">
            <v>47</v>
          </cell>
          <cell r="CM150">
            <v>45</v>
          </cell>
          <cell r="CN150">
            <v>0</v>
          </cell>
          <cell r="CO150">
            <v>42176</v>
          </cell>
          <cell r="CP150">
            <v>42152</v>
          </cell>
          <cell r="CQ150" t="str">
            <v>M1: grid power + battery</v>
          </cell>
          <cell r="CR150">
            <v>0</v>
          </cell>
          <cell r="CS150">
            <v>42177</v>
          </cell>
          <cell r="CT150">
            <v>42153</v>
          </cell>
          <cell r="CU150" t="str">
            <v>BA0853</v>
          </cell>
          <cell r="DH150">
            <v>0</v>
          </cell>
          <cell r="DI150">
            <v>42187</v>
          </cell>
          <cell r="DK150">
            <v>42184</v>
          </cell>
          <cell r="DM150">
            <v>42188</v>
          </cell>
          <cell r="DO150">
            <v>0</v>
          </cell>
          <cell r="DP150">
            <v>42187</v>
          </cell>
          <cell r="DT150">
            <v>0</v>
          </cell>
          <cell r="DU150">
            <v>42202</v>
          </cell>
          <cell r="DW150">
            <v>0</v>
          </cell>
          <cell r="DY150">
            <v>42188</v>
          </cell>
          <cell r="EA150" t="str">
            <v>Leadcom</v>
          </cell>
          <cell r="EJ150">
            <v>0</v>
          </cell>
          <cell r="EK150">
            <v>42205</v>
          </cell>
          <cell r="EM150">
            <v>42206</v>
          </cell>
          <cell r="EQ150">
            <v>42215</v>
          </cell>
          <cell r="EW150">
            <v>0</v>
          </cell>
          <cell r="EX150">
            <v>42229</v>
          </cell>
          <cell r="EZ150">
            <v>42225</v>
          </cell>
          <cell r="FB150">
            <v>42227</v>
          </cell>
          <cell r="FU150">
            <v>42229</v>
          </cell>
          <cell r="FW150">
            <v>42229</v>
          </cell>
          <cell r="GJ150">
            <v>0</v>
          </cell>
          <cell r="GN150" t="str">
            <v>ERICSSON</v>
          </cell>
          <cell r="GS150" t="str">
            <v>4/4/4</v>
          </cell>
          <cell r="GU150" t="str">
            <v xml:space="preserve">		</v>
          </cell>
          <cell r="HD150">
            <v>1</v>
          </cell>
        </row>
        <row r="151">
          <cell r="A151" t="str">
            <v>BA0859</v>
          </cell>
          <cell r="B151" t="str">
            <v>ACBA_0200</v>
          </cell>
          <cell r="C151" t="str">
            <v>Apollo</v>
          </cell>
          <cell r="D151" t="str">
            <v>Chris Thomson</v>
          </cell>
          <cell r="F151" t="str">
            <v>Phyo Wai Maung</v>
          </cell>
          <cell r="G151" t="str">
            <v>Cho Yee Thaung</v>
          </cell>
          <cell r="H151" t="str">
            <v>RED</v>
          </cell>
          <cell r="I151" t="str">
            <v>South</v>
          </cell>
          <cell r="J151" t="str">
            <v>95.425512</v>
          </cell>
          <cell r="K151" t="str">
            <v>18.469633</v>
          </cell>
          <cell r="L151" t="str">
            <v>Rural</v>
          </cell>
          <cell r="M151" t="str">
            <v>Bago West</v>
          </cell>
          <cell r="N151" t="str">
            <v>Paungde</v>
          </cell>
          <cell r="O151" t="str">
            <v>Paungde</v>
          </cell>
          <cell r="P151" t="str">
            <v>Bago West</v>
          </cell>
          <cell r="Q151" t="str">
            <v>20</v>
          </cell>
          <cell r="R151" t="str">
            <v>Paungde</v>
          </cell>
          <cell r="S151" t="str">
            <v>106</v>
          </cell>
          <cell r="T151" t="str">
            <v>GSM+UMTS</v>
          </cell>
          <cell r="W151" t="str">
            <v>Ph2-Priority</v>
          </cell>
          <cell r="X151" t="str">
            <v>45</v>
          </cell>
          <cell r="Y151" t="str">
            <v>47</v>
          </cell>
          <cell r="Z151" t="str">
            <v>GBT</v>
          </cell>
          <cell r="AA151" t="str">
            <v>500</v>
          </cell>
          <cell r="AB151" t="str">
            <v>Access</v>
          </cell>
          <cell r="AC151" t="str">
            <v>Class C</v>
          </cell>
          <cell r="BE151" t="str">
            <v>Route 10 Mandalay - Myitkyina</v>
          </cell>
          <cell r="BH151" t="str">
            <v>IENG</v>
          </cell>
          <cell r="BJ151">
            <v>42114</v>
          </cell>
          <cell r="BK151">
            <v>42121</v>
          </cell>
          <cell r="BL151">
            <v>42119</v>
          </cell>
          <cell r="BM151">
            <v>42119</v>
          </cell>
          <cell r="BT151">
            <v>78</v>
          </cell>
          <cell r="BU151">
            <v>42134</v>
          </cell>
          <cell r="BV151">
            <v>42199</v>
          </cell>
          <cell r="BW151" t="str">
            <v>95.420054</v>
          </cell>
          <cell r="BX151" t="str">
            <v>18.484501</v>
          </cell>
          <cell r="BY151" t="str">
            <v>C5</v>
          </cell>
          <cell r="BZ151" t="str">
            <v>NYAUNG PIN THAR VILLAG, KOWANSAUNG GROUP, Bago</v>
          </cell>
          <cell r="CA151" t="str">
            <v>U Aung Min</v>
          </cell>
          <cell r="CB151" t="str">
            <v>14 July 15 : C5 SAR sub(1.6 KM from the nominal, NP falls where all possible candidates are Classified as Paddy Land);29 May 15 : C1 TSSR app; 6 May 15 : C1 SAR sub ;5May15: C1 SAR Sub.</v>
          </cell>
          <cell r="CC151" t="str">
            <v>Cultivated Land</v>
          </cell>
          <cell r="CE151">
            <v>3</v>
          </cell>
          <cell r="CF151">
            <v>42135</v>
          </cell>
          <cell r="CG151">
            <v>42202</v>
          </cell>
          <cell r="CH151">
            <v>42160</v>
          </cell>
          <cell r="CJ151">
            <v>42211</v>
          </cell>
          <cell r="CK151" t="str">
            <v>45</v>
          </cell>
          <cell r="CL151" t="str">
            <v>47</v>
          </cell>
          <cell r="CM151" t="str">
            <v>60</v>
          </cell>
          <cell r="CN151">
            <v>11</v>
          </cell>
          <cell r="CO151">
            <v>42163</v>
          </cell>
          <cell r="CP151">
            <v>42213</v>
          </cell>
          <cell r="CQ151" t="str">
            <v>M4: solar + DG + battery</v>
          </cell>
          <cell r="CR151">
            <v>1</v>
          </cell>
          <cell r="CS151">
            <v>42164</v>
          </cell>
          <cell r="CT151">
            <v>42214</v>
          </cell>
          <cell r="CU151" t="str">
            <v>BA0859</v>
          </cell>
          <cell r="DH151">
            <v>19</v>
          </cell>
          <cell r="DI151">
            <v>42174</v>
          </cell>
          <cell r="DK151">
            <v>42171</v>
          </cell>
          <cell r="DL151">
            <v>42227</v>
          </cell>
          <cell r="DM151">
            <v>42175</v>
          </cell>
          <cell r="DO151">
            <v>0</v>
          </cell>
          <cell r="DP151">
            <v>42174</v>
          </cell>
          <cell r="DT151">
            <v>0</v>
          </cell>
          <cell r="DU151">
            <v>42189</v>
          </cell>
          <cell r="DW151">
            <v>0</v>
          </cell>
          <cell r="DY151">
            <v>42175</v>
          </cell>
          <cell r="EA151" t="str">
            <v>IENG</v>
          </cell>
          <cell r="EJ151">
            <v>0</v>
          </cell>
          <cell r="EK151">
            <v>42197</v>
          </cell>
          <cell r="EM151">
            <v>42198</v>
          </cell>
          <cell r="EQ151">
            <v>42210</v>
          </cell>
          <cell r="EW151">
            <v>0</v>
          </cell>
          <cell r="EX151">
            <v>42224</v>
          </cell>
          <cell r="EZ151">
            <v>42220</v>
          </cell>
          <cell r="FB151">
            <v>42222</v>
          </cell>
          <cell r="FU151">
            <v>42224</v>
          </cell>
          <cell r="FW151">
            <v>42224</v>
          </cell>
          <cell r="GJ151">
            <v>0</v>
          </cell>
          <cell r="GN151" t="str">
            <v>ERICSSON</v>
          </cell>
          <cell r="GO151">
            <v>42136</v>
          </cell>
          <cell r="GU151" t="str">
            <v xml:space="preserve">		</v>
          </cell>
          <cell r="HD151">
            <v>1</v>
          </cell>
        </row>
        <row r="152">
          <cell r="A152" t="str">
            <v>BA0861</v>
          </cell>
          <cell r="B152" t="str">
            <v>ACBA_0201</v>
          </cell>
          <cell r="C152" t="str">
            <v>Apollo</v>
          </cell>
          <cell r="D152" t="str">
            <v>Chris Thomson</v>
          </cell>
          <cell r="F152" t="str">
            <v>Phyo Wai Maung</v>
          </cell>
          <cell r="G152" t="str">
            <v>Cho Yee Thaung</v>
          </cell>
          <cell r="H152" t="str">
            <v>RED</v>
          </cell>
          <cell r="I152" t="str">
            <v>South</v>
          </cell>
          <cell r="J152" t="str">
            <v>95.350437</v>
          </cell>
          <cell r="K152" t="str">
            <v>18.328253</v>
          </cell>
          <cell r="L152" t="str">
            <v>Rural</v>
          </cell>
          <cell r="M152" t="str">
            <v>Bago West</v>
          </cell>
          <cell r="N152" t="str">
            <v>Monyo</v>
          </cell>
          <cell r="O152" t="str">
            <v>Monyo</v>
          </cell>
          <cell r="P152" t="str">
            <v>Bago West</v>
          </cell>
          <cell r="Q152" t="str">
            <v>20</v>
          </cell>
          <cell r="R152" t="str">
            <v>Monyo</v>
          </cell>
          <cell r="S152" t="str">
            <v>115</v>
          </cell>
          <cell r="T152" t="str">
            <v>GSM+UMTS</v>
          </cell>
          <cell r="W152" t="str">
            <v>Ph2-Priority</v>
          </cell>
          <cell r="X152" t="str">
            <v>45</v>
          </cell>
          <cell r="Y152" t="str">
            <v>47</v>
          </cell>
          <cell r="Z152" t="str">
            <v>GBT</v>
          </cell>
          <cell r="AA152" t="str">
            <v>500</v>
          </cell>
          <cell r="AB152" t="str">
            <v>Access</v>
          </cell>
          <cell r="AC152" t="str">
            <v>Class C</v>
          </cell>
          <cell r="BH152" t="str">
            <v>IENG</v>
          </cell>
          <cell r="BJ152">
            <v>42129</v>
          </cell>
          <cell r="BK152">
            <v>42121</v>
          </cell>
          <cell r="BL152">
            <v>42134</v>
          </cell>
          <cell r="BM152">
            <v>42124</v>
          </cell>
          <cell r="BT152">
            <v>78</v>
          </cell>
          <cell r="BU152">
            <v>42170</v>
          </cell>
          <cell r="BV152">
            <v>42199</v>
          </cell>
          <cell r="BW152" t="str">
            <v>95.35024</v>
          </cell>
          <cell r="BX152" t="str">
            <v>18.32975</v>
          </cell>
          <cell r="BY152" t="str">
            <v>C4</v>
          </cell>
          <cell r="BZ152" t="str">
            <v>N0(45).Taung Yar Phyar Village, Sin Khaung village track,Moe Nyo township,Tharyarwady distinct ,Bago division</v>
          </cell>
          <cell r="CA152" t="str">
            <v>U Thant Zin Oo;N0(45).Taung Yar Phyar Village, Sin Khaung village track,Moe Nyo township,Tharyarwady distinct ,Bago division;09 250414508</v>
          </cell>
          <cell r="CB152" t="str">
            <v>14 July 15 : C4 SAR sub;12 May 15 : C1 SAR app;10May15: C1 SAR Sub.</v>
          </cell>
          <cell r="CC152" t="str">
            <v>RESIDENTIAL</v>
          </cell>
          <cell r="CE152">
            <v>1</v>
          </cell>
          <cell r="CF152">
            <v>42171</v>
          </cell>
          <cell r="CG152">
            <v>42200</v>
          </cell>
          <cell r="CH152">
            <v>42173</v>
          </cell>
          <cell r="CN152">
            <v>33</v>
          </cell>
          <cell r="CO152">
            <v>42176</v>
          </cell>
          <cell r="CQ152" t="str">
            <v>M4: solar + DG + battery</v>
          </cell>
          <cell r="CR152">
            <v>0</v>
          </cell>
          <cell r="CS152">
            <v>42177</v>
          </cell>
          <cell r="CU152" t="str">
            <v>BA0861</v>
          </cell>
          <cell r="DH152">
            <v>0</v>
          </cell>
          <cell r="DI152">
            <v>42187</v>
          </cell>
          <cell r="DK152">
            <v>42184</v>
          </cell>
          <cell r="DM152">
            <v>42188</v>
          </cell>
          <cell r="DO152">
            <v>0</v>
          </cell>
          <cell r="DP152">
            <v>42187</v>
          </cell>
          <cell r="DT152">
            <v>0</v>
          </cell>
          <cell r="DU152">
            <v>42202</v>
          </cell>
          <cell r="DW152">
            <v>0</v>
          </cell>
          <cell r="DY152">
            <v>42188</v>
          </cell>
          <cell r="EA152" t="str">
            <v>IENG</v>
          </cell>
          <cell r="EJ152">
            <v>0</v>
          </cell>
          <cell r="EK152">
            <v>42210</v>
          </cell>
          <cell r="EM152">
            <v>42211</v>
          </cell>
          <cell r="EQ152">
            <v>42223</v>
          </cell>
          <cell r="EW152">
            <v>0</v>
          </cell>
          <cell r="EX152">
            <v>42237</v>
          </cell>
          <cell r="EZ152">
            <v>42233</v>
          </cell>
          <cell r="FB152">
            <v>42235</v>
          </cell>
          <cell r="FU152">
            <v>42237</v>
          </cell>
          <cell r="FW152">
            <v>42237</v>
          </cell>
          <cell r="GJ152">
            <v>0</v>
          </cell>
          <cell r="GN152" t="str">
            <v>ERICSSON</v>
          </cell>
          <cell r="GU152" t="str">
            <v xml:space="preserve">		</v>
          </cell>
          <cell r="HD152">
            <v>1</v>
          </cell>
        </row>
        <row r="153">
          <cell r="A153" t="str">
            <v>BA0863</v>
          </cell>
          <cell r="B153" t="str">
            <v>ACBA_0202</v>
          </cell>
          <cell r="C153" t="str">
            <v>Apollo</v>
          </cell>
          <cell r="D153" t="str">
            <v>Robert</v>
          </cell>
          <cell r="F153" t="str">
            <v>Phyo Wai Maung</v>
          </cell>
          <cell r="G153" t="str">
            <v>Saw Pyie Zin Nyein</v>
          </cell>
          <cell r="H153" t="str">
            <v>RED</v>
          </cell>
          <cell r="I153" t="str">
            <v>South</v>
          </cell>
          <cell r="J153" t="str">
            <v>96.5647549999999</v>
          </cell>
          <cell r="K153" t="str">
            <v>17.34488</v>
          </cell>
          <cell r="L153" t="str">
            <v>Rural</v>
          </cell>
          <cell r="M153" t="str">
            <v>Bago East</v>
          </cell>
          <cell r="N153" t="str">
            <v>Thanatpin</v>
          </cell>
          <cell r="O153" t="str">
            <v>Thanatpin</v>
          </cell>
          <cell r="P153" t="str">
            <v>Bago East</v>
          </cell>
          <cell r="Q153" t="str">
            <v>19</v>
          </cell>
          <cell r="R153" t="str">
            <v>Thanatpin</v>
          </cell>
          <cell r="S153" t="str">
            <v>90</v>
          </cell>
          <cell r="T153" t="str">
            <v>GSM+UMTS</v>
          </cell>
          <cell r="W153" t="str">
            <v>Ph2-Priority</v>
          </cell>
          <cell r="X153" t="str">
            <v>45</v>
          </cell>
          <cell r="Y153" t="str">
            <v>45</v>
          </cell>
          <cell r="Z153" t="str">
            <v>GBT</v>
          </cell>
          <cell r="AA153" t="str">
            <v>500</v>
          </cell>
          <cell r="AB153" t="str">
            <v>Access</v>
          </cell>
          <cell r="AC153" t="str">
            <v>Class C</v>
          </cell>
          <cell r="BH153" t="str">
            <v>KTT</v>
          </cell>
          <cell r="BJ153">
            <v>42168</v>
          </cell>
          <cell r="BK153">
            <v>42130</v>
          </cell>
          <cell r="BL153">
            <v>42173</v>
          </cell>
          <cell r="BM153">
            <v>42175</v>
          </cell>
          <cell r="BT153">
            <v>70</v>
          </cell>
          <cell r="BU153">
            <v>42170</v>
          </cell>
          <cell r="BV153">
            <v>42200</v>
          </cell>
          <cell r="BW153" t="str">
            <v>96.5622</v>
          </cell>
          <cell r="BX153" t="str">
            <v>17.34213</v>
          </cell>
          <cell r="BY153" t="str">
            <v>C4</v>
          </cell>
          <cell r="BZ153" t="str">
            <v>No (157), Landmadaw Road, Kamarphayan Village, Thanatpin Township, Bago.</v>
          </cell>
          <cell r="CA153" t="str">
            <v>U Soe Hlaing,09-250873609, 09-970510550</v>
          </cell>
          <cell r="CB153" t="str">
            <v>15 July 15 : C4 SAR sub(C1 C3 FARMLAND);26 June 15 : C1 SAR app  ;24 June 15 : C1 SAR sub</v>
          </cell>
          <cell r="CC153" t="str">
            <v>VILLAGE LAND</v>
          </cell>
          <cell r="CE153">
            <v>2</v>
          </cell>
          <cell r="CF153">
            <v>42171</v>
          </cell>
          <cell r="CG153">
            <v>42202</v>
          </cell>
          <cell r="CH153">
            <v>42173</v>
          </cell>
          <cell r="CJ153">
            <v>42220</v>
          </cell>
          <cell r="CK153" t="str">
            <v>45</v>
          </cell>
          <cell r="CL153" t="str">
            <v>47</v>
          </cell>
          <cell r="CM153" t="str">
            <v>50</v>
          </cell>
          <cell r="CN153">
            <v>20</v>
          </cell>
          <cell r="CO153">
            <v>42176</v>
          </cell>
          <cell r="CP153">
            <v>42222</v>
          </cell>
          <cell r="CQ153" t="str">
            <v>M4: solar + DG + battery</v>
          </cell>
          <cell r="CR153">
            <v>1</v>
          </cell>
          <cell r="CS153">
            <v>42177</v>
          </cell>
          <cell r="CT153">
            <v>42223</v>
          </cell>
          <cell r="CU153" t="str">
            <v>BA0863</v>
          </cell>
          <cell r="DH153">
            <v>10</v>
          </cell>
          <cell r="DI153">
            <v>42187</v>
          </cell>
          <cell r="DK153">
            <v>42184</v>
          </cell>
          <cell r="DL153">
            <v>42202</v>
          </cell>
          <cell r="DM153">
            <v>42188</v>
          </cell>
          <cell r="DN153">
            <v>42202</v>
          </cell>
          <cell r="DO153">
            <v>0</v>
          </cell>
          <cell r="DP153">
            <v>42187</v>
          </cell>
          <cell r="DT153">
            <v>0</v>
          </cell>
          <cell r="DU153">
            <v>42202</v>
          </cell>
          <cell r="DW153">
            <v>0</v>
          </cell>
          <cell r="DY153">
            <v>42188</v>
          </cell>
          <cell r="DZ153">
            <v>42205</v>
          </cell>
          <cell r="EA153" t="str">
            <v>Leadcom</v>
          </cell>
          <cell r="EB153">
            <v>42209</v>
          </cell>
          <cell r="EE153" t="str">
            <v xml:space="preserve">10 Aug 15:Flood affected_Hold-No access; 24-Jul-15: excavation done, dewatering due to flood								</v>
          </cell>
          <cell r="EJ153">
            <v>0</v>
          </cell>
          <cell r="EK153">
            <v>42205</v>
          </cell>
          <cell r="EM153">
            <v>42206</v>
          </cell>
          <cell r="EN153">
            <v>42233</v>
          </cell>
          <cell r="EQ153">
            <v>42215</v>
          </cell>
          <cell r="EW153">
            <v>0</v>
          </cell>
          <cell r="EX153">
            <v>42229</v>
          </cell>
          <cell r="EZ153">
            <v>42225</v>
          </cell>
          <cell r="FB153">
            <v>42227</v>
          </cell>
          <cell r="FU153">
            <v>42229</v>
          </cell>
          <cell r="FW153">
            <v>42229</v>
          </cell>
          <cell r="GJ153">
            <v>0</v>
          </cell>
          <cell r="GN153" t="str">
            <v>ERICSSON</v>
          </cell>
          <cell r="GS153" t="str">
            <v>4/4/4</v>
          </cell>
          <cell r="GU153" t="str">
            <v xml:space="preserve">		</v>
          </cell>
          <cell r="HD153">
            <v>1</v>
          </cell>
        </row>
        <row r="154">
          <cell r="A154" t="str">
            <v>BA0865</v>
          </cell>
          <cell r="B154" t="str">
            <v>ACBA_0203</v>
          </cell>
          <cell r="C154" t="str">
            <v>Apollo</v>
          </cell>
          <cell r="D154" t="str">
            <v>Emilio Ruiz</v>
          </cell>
          <cell r="F154" t="str">
            <v>Phyo Wai Maung</v>
          </cell>
          <cell r="G154" t="str">
            <v>Cho Yee Thaung</v>
          </cell>
          <cell r="H154" t="str">
            <v>RED</v>
          </cell>
          <cell r="I154" t="str">
            <v>South</v>
          </cell>
          <cell r="J154" t="str">
            <v>95.6094109999999</v>
          </cell>
          <cell r="K154" t="str">
            <v>18.211607</v>
          </cell>
          <cell r="L154" t="str">
            <v>Rural</v>
          </cell>
          <cell r="M154" t="str">
            <v>Bago West</v>
          </cell>
          <cell r="N154" t="str">
            <v>Gyobingauk</v>
          </cell>
          <cell r="O154" t="str">
            <v>Gyobingauk</v>
          </cell>
          <cell r="P154" t="str">
            <v>Bago West</v>
          </cell>
          <cell r="Q154" t="str">
            <v>20</v>
          </cell>
          <cell r="R154" t="str">
            <v>Gyobingauk</v>
          </cell>
          <cell r="S154" t="str">
            <v>116</v>
          </cell>
          <cell r="T154" t="str">
            <v>GSM+UMTS</v>
          </cell>
          <cell r="W154" t="str">
            <v>Ph2-Priority</v>
          </cell>
          <cell r="X154" t="str">
            <v>45</v>
          </cell>
          <cell r="Y154" t="str">
            <v>47</v>
          </cell>
          <cell r="Z154" t="str">
            <v>GBT</v>
          </cell>
          <cell r="AA154" t="str">
            <v>500</v>
          </cell>
          <cell r="AB154" t="str">
            <v>Access</v>
          </cell>
          <cell r="AC154" t="str">
            <v>Class C</v>
          </cell>
          <cell r="BE154" t="str">
            <v>Route 3 Thaton-Myawaddy</v>
          </cell>
          <cell r="BH154" t="str">
            <v>IENG</v>
          </cell>
          <cell r="BJ154">
            <v>42109</v>
          </cell>
          <cell r="BK154">
            <v>42121</v>
          </cell>
          <cell r="BL154">
            <v>42114</v>
          </cell>
          <cell r="BM154">
            <v>42114</v>
          </cell>
          <cell r="BT154">
            <v>112</v>
          </cell>
          <cell r="BU154">
            <v>42118</v>
          </cell>
          <cell r="BV154">
            <v>42248</v>
          </cell>
          <cell r="BW154" t="str">
            <v>95.608868</v>
          </cell>
          <cell r="BX154" t="str">
            <v>18.229261</v>
          </cell>
          <cell r="BY154" t="str">
            <v>Reject</v>
          </cell>
          <cell r="BZ154" t="str">
            <v>Kyown Kone Gyi Village, Gyabingauk Township. Bago.</v>
          </cell>
          <cell r="CA154" t="str">
            <v>U Tin Saung;Kyown Kone Gyi Village, Gyabingauk Township. Bago;09-252729189</v>
          </cell>
          <cell r="CB154" t="str">
            <v>13 Aug 15: C1 deactivate because of Ownership doc issue, not available;20 May 15 : C1 TSSR app;19 May 15 : C1 TSSR sub;4 May 15 : C1 SAR sub;30 Apr 15:C1 revised SAR pdf sub</v>
          </cell>
          <cell r="CC154" t="str">
            <v>Garden Land</v>
          </cell>
          <cell r="CE154">
            <v>0</v>
          </cell>
          <cell r="CF154">
            <v>42119</v>
          </cell>
          <cell r="CG154">
            <v>42249</v>
          </cell>
          <cell r="CH154">
            <v>42121</v>
          </cell>
          <cell r="CJ154">
            <v>42141</v>
          </cell>
          <cell r="CK154" t="str">
            <v>45</v>
          </cell>
          <cell r="CL154" t="str">
            <v>47</v>
          </cell>
          <cell r="CM154" t="str">
            <v>45</v>
          </cell>
          <cell r="CN154">
            <v>0</v>
          </cell>
          <cell r="CO154">
            <v>42124</v>
          </cell>
          <cell r="CP154">
            <v>42143</v>
          </cell>
          <cell r="CQ154" t="str">
            <v>M4: solar + DG + battery</v>
          </cell>
          <cell r="CR154">
            <v>0</v>
          </cell>
          <cell r="CS154">
            <v>42125</v>
          </cell>
          <cell r="CT154">
            <v>42144</v>
          </cell>
          <cell r="CU154" t="str">
            <v>BA0865</v>
          </cell>
          <cell r="DH154">
            <v>0</v>
          </cell>
          <cell r="DI154">
            <v>42163</v>
          </cell>
          <cell r="DK154">
            <v>42160</v>
          </cell>
          <cell r="DM154">
            <v>42164</v>
          </cell>
          <cell r="DO154">
            <v>0</v>
          </cell>
          <cell r="DP154">
            <v>42163</v>
          </cell>
          <cell r="DT154">
            <v>0</v>
          </cell>
          <cell r="DU154">
            <v>42178</v>
          </cell>
          <cell r="DW154">
            <v>0</v>
          </cell>
          <cell r="DY154">
            <v>42164</v>
          </cell>
          <cell r="EA154" t="str">
            <v>IENG</v>
          </cell>
          <cell r="EJ154">
            <v>0</v>
          </cell>
          <cell r="EK154">
            <v>42186</v>
          </cell>
          <cell r="EM154">
            <v>42187</v>
          </cell>
          <cell r="EQ154">
            <v>42199</v>
          </cell>
          <cell r="EW154">
            <v>0</v>
          </cell>
          <cell r="EX154">
            <v>42213</v>
          </cell>
          <cell r="EZ154">
            <v>42209</v>
          </cell>
          <cell r="FB154">
            <v>42211</v>
          </cell>
          <cell r="FU154">
            <v>42213</v>
          </cell>
          <cell r="FW154">
            <v>42213</v>
          </cell>
          <cell r="GJ154">
            <v>0</v>
          </cell>
          <cell r="GN154" t="str">
            <v>ERICSSON</v>
          </cell>
          <cell r="GO154">
            <v>42136</v>
          </cell>
          <cell r="GS154" t="str">
            <v>4/4/4</v>
          </cell>
          <cell r="GU154" t="str">
            <v xml:space="preserve">		</v>
          </cell>
          <cell r="HD154">
            <v>1</v>
          </cell>
        </row>
        <row r="155">
          <cell r="A155" t="str">
            <v>BA0872</v>
          </cell>
          <cell r="B155" t="str">
            <v>ACBA_0204</v>
          </cell>
          <cell r="C155" t="str">
            <v>Apollo</v>
          </cell>
          <cell r="D155" t="str">
            <v>Robert</v>
          </cell>
          <cell r="F155" t="str">
            <v>Phyo Wai Maung</v>
          </cell>
          <cell r="G155" t="str">
            <v>Saw Pyie Zin Nyein</v>
          </cell>
          <cell r="H155" t="str">
            <v>RED</v>
          </cell>
          <cell r="I155" t="str">
            <v>South</v>
          </cell>
          <cell r="J155" t="str">
            <v>96.892596</v>
          </cell>
          <cell r="K155" t="str">
            <v>17.733269</v>
          </cell>
          <cell r="L155" t="str">
            <v>Rural</v>
          </cell>
          <cell r="M155" t="str">
            <v>Bago East</v>
          </cell>
          <cell r="N155" t="str">
            <v>Shwegyin</v>
          </cell>
          <cell r="O155" t="str">
            <v>Shwegyin</v>
          </cell>
          <cell r="P155" t="str">
            <v>Bago East</v>
          </cell>
          <cell r="Q155" t="str">
            <v>19</v>
          </cell>
          <cell r="R155" t="str">
            <v>Shwegyin</v>
          </cell>
          <cell r="S155" t="str">
            <v>96</v>
          </cell>
          <cell r="T155" t="str">
            <v>GSM+UMTS</v>
          </cell>
          <cell r="W155" t="str">
            <v>Ph2-Priority</v>
          </cell>
          <cell r="X155" t="str">
            <v>55</v>
          </cell>
          <cell r="Y155" t="str">
            <v>57</v>
          </cell>
          <cell r="Z155" t="str">
            <v>GBT</v>
          </cell>
          <cell r="AA155" t="str">
            <v>500</v>
          </cell>
          <cell r="AB155" t="str">
            <v>Access</v>
          </cell>
          <cell r="AC155" t="str">
            <v>Class C</v>
          </cell>
          <cell r="BH155" t="str">
            <v>Leadcom</v>
          </cell>
          <cell r="BJ155">
            <v>42155</v>
          </cell>
          <cell r="BK155">
            <v>42168</v>
          </cell>
          <cell r="BL155">
            <v>42160</v>
          </cell>
          <cell r="BM155">
            <v>42176</v>
          </cell>
          <cell r="BT155">
            <v>65</v>
          </cell>
          <cell r="BU155">
            <v>42233</v>
          </cell>
          <cell r="BV155">
            <v>42199</v>
          </cell>
          <cell r="BW155" t="str">
            <v>96.29198</v>
          </cell>
          <cell r="BX155" t="str">
            <v>19.28142</v>
          </cell>
          <cell r="BY155" t="str">
            <v>Reject</v>
          </cell>
          <cell r="BZ155" t="str">
            <v>Padauk Myaing, Swar, Yaetarshay Tsp, Bago.</v>
          </cell>
          <cell r="CA155" t="str">
            <v>U Tin Maung Myint Win, 09 973065299, 09 979057587</v>
          </cell>
          <cell r="CB155" t="str">
            <v>13 Aug 15: C1 deactivate because of 29Km distance from secondary road which not passable by Car and 3-footbridge need to be repaired. Commercial power not available in the area-TSSR Rejected; 1 Jul 15 : C1 TSSR app;29 Jun 15 : C1 TSSR sub</v>
          </cell>
          <cell r="CC155" t="str">
            <v>GARDEN LAND</v>
          </cell>
          <cell r="CE155">
            <v>0</v>
          </cell>
          <cell r="CF155">
            <v>42234</v>
          </cell>
          <cell r="CG155">
            <v>42200</v>
          </cell>
          <cell r="CH155">
            <v>42236</v>
          </cell>
          <cell r="CJ155">
            <v>42203</v>
          </cell>
          <cell r="CK155" t="str">
            <v>45</v>
          </cell>
          <cell r="CL155" t="str">
            <v>47</v>
          </cell>
          <cell r="CM155" t="str">
            <v>50</v>
          </cell>
          <cell r="CN155">
            <v>0</v>
          </cell>
          <cell r="CO155">
            <v>42239</v>
          </cell>
          <cell r="CP155">
            <v>42205</v>
          </cell>
          <cell r="CQ155" t="str">
            <v>M4: solar + DG + battery</v>
          </cell>
          <cell r="CR155">
            <v>0</v>
          </cell>
          <cell r="CS155">
            <v>42240</v>
          </cell>
          <cell r="CT155">
            <v>42207</v>
          </cell>
          <cell r="CU155" t="str">
            <v>BA0872</v>
          </cell>
          <cell r="DH155">
            <v>0</v>
          </cell>
          <cell r="DI155">
            <v>42250</v>
          </cell>
          <cell r="DK155">
            <v>42247</v>
          </cell>
          <cell r="DM155">
            <v>42251</v>
          </cell>
          <cell r="DO155">
            <v>0</v>
          </cell>
          <cell r="DP155">
            <v>42250</v>
          </cell>
          <cell r="DT155">
            <v>0</v>
          </cell>
          <cell r="DU155">
            <v>42265</v>
          </cell>
          <cell r="DW155">
            <v>0</v>
          </cell>
          <cell r="DY155">
            <v>42251</v>
          </cell>
          <cell r="EA155" t="str">
            <v>Leadcom</v>
          </cell>
          <cell r="EJ155">
            <v>0</v>
          </cell>
          <cell r="EK155">
            <v>42273</v>
          </cell>
          <cell r="EM155">
            <v>42274</v>
          </cell>
          <cell r="EQ155">
            <v>42286</v>
          </cell>
          <cell r="EW155">
            <v>0</v>
          </cell>
          <cell r="EX155">
            <v>42300</v>
          </cell>
          <cell r="EZ155">
            <v>42296</v>
          </cell>
          <cell r="FB155">
            <v>42298</v>
          </cell>
          <cell r="FU155">
            <v>42300</v>
          </cell>
          <cell r="FW155">
            <v>42300</v>
          </cell>
          <cell r="GJ155">
            <v>0</v>
          </cell>
          <cell r="GN155" t="str">
            <v>ERICSSON</v>
          </cell>
          <cell r="GU155" t="str">
            <v xml:space="preserve">		</v>
          </cell>
          <cell r="HD155">
            <v>1</v>
          </cell>
        </row>
        <row r="156">
          <cell r="A156" t="str">
            <v>BA0874</v>
          </cell>
          <cell r="B156" t="str">
            <v>ACBA_0205</v>
          </cell>
          <cell r="C156" t="str">
            <v>Apollo</v>
          </cell>
          <cell r="D156" t="str">
            <v>Robert</v>
          </cell>
          <cell r="F156" t="str">
            <v>Phyo Wai Maung</v>
          </cell>
          <cell r="G156" t="str">
            <v>Saw Pyie Zin Nyein</v>
          </cell>
          <cell r="H156" t="str">
            <v>AMBER</v>
          </cell>
          <cell r="I156" t="str">
            <v>South</v>
          </cell>
          <cell r="J156" t="str">
            <v>96.636084</v>
          </cell>
          <cell r="K156" t="str">
            <v>17.349382</v>
          </cell>
          <cell r="L156" t="str">
            <v>Rural</v>
          </cell>
          <cell r="M156" t="str">
            <v>Bago East</v>
          </cell>
          <cell r="N156" t="str">
            <v>Thanatpin</v>
          </cell>
          <cell r="O156" t="str">
            <v>Thanatpin</v>
          </cell>
          <cell r="P156" t="str">
            <v>Bago East</v>
          </cell>
          <cell r="Q156" t="str">
            <v>19</v>
          </cell>
          <cell r="R156" t="str">
            <v>Thanatpin</v>
          </cell>
          <cell r="S156" t="str">
            <v>90</v>
          </cell>
          <cell r="T156" t="str">
            <v>GSM+UMTS</v>
          </cell>
          <cell r="W156" t="str">
            <v>Ph2-Priority</v>
          </cell>
          <cell r="X156" t="str">
            <v>45</v>
          </cell>
          <cell r="Y156" t="str">
            <v>47</v>
          </cell>
          <cell r="Z156" t="str">
            <v>GBT</v>
          </cell>
          <cell r="AA156" t="str">
            <v>500</v>
          </cell>
          <cell r="AB156" t="str">
            <v>Access</v>
          </cell>
          <cell r="AC156" t="str">
            <v>Class C</v>
          </cell>
          <cell r="BE156" t="str">
            <v>Myitkyina - Bhamo - Muse</v>
          </cell>
          <cell r="BH156" t="str">
            <v>Leadcom</v>
          </cell>
          <cell r="BJ156">
            <v>42155</v>
          </cell>
          <cell r="BK156">
            <v>42170</v>
          </cell>
          <cell r="BL156">
            <v>42160</v>
          </cell>
          <cell r="BM156">
            <v>42177</v>
          </cell>
          <cell r="BT156">
            <v>23</v>
          </cell>
          <cell r="BU156">
            <v>42172</v>
          </cell>
          <cell r="BV156">
            <v>42193</v>
          </cell>
          <cell r="BW156" t="str">
            <v>96.63847</v>
          </cell>
          <cell r="BX156" t="str">
            <v>17.34191</v>
          </cell>
          <cell r="BY156" t="str">
            <v>C3</v>
          </cell>
          <cell r="BZ156" t="str">
            <v>No.196,Thar Yar Yay ,B Block,Min Ywar Village,ThaNatPin Tsp,Bago Division.</v>
          </cell>
          <cell r="CA156" t="str">
            <v>Daw Khin Htay Myint(or) Daw Say Hmawe,09-254358059</v>
          </cell>
          <cell r="CB156" t="str">
            <v>8 July 15 : C3 SAR sub(C1, ACCES ISSUES, C2 FARM LAND)</v>
          </cell>
          <cell r="CC156" t="str">
            <v>RESIDENTIAL</v>
          </cell>
          <cell r="CE156">
            <v>1</v>
          </cell>
          <cell r="CF156">
            <v>42173</v>
          </cell>
          <cell r="CG156">
            <v>42194</v>
          </cell>
          <cell r="CH156">
            <v>42175</v>
          </cell>
          <cell r="CJ156">
            <v>42200</v>
          </cell>
          <cell r="CK156" t="str">
            <v>45</v>
          </cell>
          <cell r="CL156" t="str">
            <v>47</v>
          </cell>
          <cell r="CM156" t="str">
            <v>50</v>
          </cell>
          <cell r="CN156">
            <v>8</v>
          </cell>
          <cell r="CO156">
            <v>42178</v>
          </cell>
          <cell r="CP156">
            <v>42202</v>
          </cell>
          <cell r="CQ156" t="str">
            <v>M1: grid power + battery</v>
          </cell>
          <cell r="CR156">
            <v>3</v>
          </cell>
          <cell r="CS156">
            <v>42179</v>
          </cell>
          <cell r="CT156">
            <v>42205</v>
          </cell>
          <cell r="CU156" t="str">
            <v>BA0874</v>
          </cell>
          <cell r="DH156">
            <v>28</v>
          </cell>
          <cell r="DI156">
            <v>42189</v>
          </cell>
          <cell r="DK156">
            <v>42186</v>
          </cell>
          <cell r="DL156">
            <v>42242</v>
          </cell>
          <cell r="DM156">
            <v>42190</v>
          </cell>
          <cell r="DO156">
            <v>0</v>
          </cell>
          <cell r="DP156">
            <v>42189</v>
          </cell>
          <cell r="DT156">
            <v>0</v>
          </cell>
          <cell r="DU156">
            <v>42204</v>
          </cell>
          <cell r="DW156">
            <v>0</v>
          </cell>
          <cell r="DY156">
            <v>42190</v>
          </cell>
          <cell r="DZ156">
            <v>42213</v>
          </cell>
          <cell r="EA156" t="str">
            <v>Leadcom</v>
          </cell>
          <cell r="EB156">
            <v>42215</v>
          </cell>
          <cell r="EE156" t="str">
            <v xml:space="preserve">10 Aug 15:Flood affected_Hold-No access; 30-Jul-15:  Flood affected_Hold								</v>
          </cell>
          <cell r="EJ156">
            <v>20</v>
          </cell>
          <cell r="EK156">
            <v>42207</v>
          </cell>
          <cell r="EM156">
            <v>42208</v>
          </cell>
          <cell r="EQ156">
            <v>42217</v>
          </cell>
          <cell r="EW156">
            <v>20</v>
          </cell>
          <cell r="EX156">
            <v>42231</v>
          </cell>
          <cell r="EZ156">
            <v>42227</v>
          </cell>
          <cell r="FB156">
            <v>42229</v>
          </cell>
          <cell r="FU156">
            <v>42231</v>
          </cell>
          <cell r="FW156">
            <v>42231</v>
          </cell>
          <cell r="GI156">
            <v>42307</v>
          </cell>
          <cell r="GJ156" t="str">
            <v>44-2015</v>
          </cell>
          <cell r="GN156" t="str">
            <v>ERICSSON</v>
          </cell>
          <cell r="GU156" t="str">
            <v xml:space="preserve">		</v>
          </cell>
          <cell r="HD156">
            <v>1</v>
          </cell>
        </row>
        <row r="157">
          <cell r="A157" t="str">
            <v>BA0875</v>
          </cell>
          <cell r="B157" t="str">
            <v>ACBA_0206</v>
          </cell>
          <cell r="C157" t="str">
            <v>Apollo</v>
          </cell>
          <cell r="D157" t="str">
            <v>Chris Thomson</v>
          </cell>
          <cell r="F157" t="str">
            <v>Phyo Wai Maung</v>
          </cell>
          <cell r="G157" t="str">
            <v>Cho Yee Thaung</v>
          </cell>
          <cell r="H157" t="str">
            <v>RED</v>
          </cell>
          <cell r="I157" t="str">
            <v>South</v>
          </cell>
          <cell r="J157" t="str">
            <v>95.66698</v>
          </cell>
          <cell r="K157" t="str">
            <v>18.643106</v>
          </cell>
          <cell r="L157" t="str">
            <v>Rural</v>
          </cell>
          <cell r="M157" t="str">
            <v>Bago West</v>
          </cell>
          <cell r="N157" t="str">
            <v>Paungde</v>
          </cell>
          <cell r="O157" t="str">
            <v>Paungde</v>
          </cell>
          <cell r="P157" t="str">
            <v>Bago West</v>
          </cell>
          <cell r="Q157" t="str">
            <v>20</v>
          </cell>
          <cell r="R157" t="str">
            <v>Paungde</v>
          </cell>
          <cell r="S157" t="str">
            <v>106</v>
          </cell>
          <cell r="T157" t="str">
            <v>GSM+UMTS</v>
          </cell>
          <cell r="W157" t="str">
            <v>Ph2-Priority</v>
          </cell>
          <cell r="X157" t="str">
            <v>55</v>
          </cell>
          <cell r="Y157" t="str">
            <v>57</v>
          </cell>
          <cell r="Z157" t="str">
            <v>GBT</v>
          </cell>
          <cell r="AA157" t="str">
            <v>500</v>
          </cell>
          <cell r="AB157" t="str">
            <v>Access</v>
          </cell>
          <cell r="AC157" t="str">
            <v>Class C</v>
          </cell>
          <cell r="BE157" t="str">
            <v>Route 8 Mandalay - Magwe</v>
          </cell>
          <cell r="BH157" t="str">
            <v>IENG</v>
          </cell>
          <cell r="BJ157">
            <v>42168</v>
          </cell>
          <cell r="BK157">
            <v>42140</v>
          </cell>
          <cell r="BL157">
            <v>42173</v>
          </cell>
          <cell r="BM157">
            <v>42145</v>
          </cell>
          <cell r="BT157">
            <v>93</v>
          </cell>
          <cell r="BU157">
            <v>42209</v>
          </cell>
          <cell r="BV157">
            <v>42151</v>
          </cell>
          <cell r="BW157" t="str">
            <v>94.67956</v>
          </cell>
          <cell r="BX157" t="str">
            <v>20.36941</v>
          </cell>
          <cell r="BY157" t="str">
            <v>C2</v>
          </cell>
          <cell r="BZ157" t="str">
            <v>Lakkhok village,pwint phyu township.</v>
          </cell>
          <cell r="CA157" t="str">
            <v>U Maung Than;No(116), Damma Yone Street, Latt Khope Pin Village,Pwint Phyu Township, Magway Division;09-261287753</v>
          </cell>
          <cell r="CB157" t="str">
            <v>1Jun15: C2 TSSR Submitted. C3 SAR Approved. 27May15: C3-SAR submission; C1- owner's declined during TSS, C2-dispute occured with this candidate thus it has been cancelled; 20May15: C2 SAR submission; previous C1 has been clared due to owner's declined and no longer interested
8May15: C1 SAR Sub</v>
          </cell>
          <cell r="CE157">
            <v>0</v>
          </cell>
          <cell r="CF157">
            <v>42210</v>
          </cell>
          <cell r="CG157">
            <v>42153</v>
          </cell>
          <cell r="CH157">
            <v>42212</v>
          </cell>
          <cell r="CJ157">
            <v>42153</v>
          </cell>
          <cell r="CK157" t="str">
            <v>35</v>
          </cell>
          <cell r="CL157" t="str">
            <v>37</v>
          </cell>
          <cell r="CM157" t="str">
            <v>45</v>
          </cell>
          <cell r="CN157">
            <v>0</v>
          </cell>
          <cell r="CO157">
            <v>42215</v>
          </cell>
          <cell r="CP157">
            <v>42156</v>
          </cell>
          <cell r="CQ157" t="str">
            <v>M1: grid power + battery</v>
          </cell>
          <cell r="CR157">
            <v>0</v>
          </cell>
          <cell r="CS157">
            <v>42216</v>
          </cell>
          <cell r="CT157">
            <v>42157</v>
          </cell>
          <cell r="CU157" t="str">
            <v>BA0875</v>
          </cell>
          <cell r="DH157">
            <v>0</v>
          </cell>
          <cell r="DI157">
            <v>42226</v>
          </cell>
          <cell r="DJ157">
            <v>42177</v>
          </cell>
          <cell r="DK157">
            <v>42223</v>
          </cell>
          <cell r="DL157">
            <v>42163</v>
          </cell>
          <cell r="DM157">
            <v>42227</v>
          </cell>
          <cell r="DN157">
            <v>42165</v>
          </cell>
          <cell r="DO157">
            <v>0</v>
          </cell>
          <cell r="DP157">
            <v>42226</v>
          </cell>
          <cell r="DQ157">
            <v>42177</v>
          </cell>
          <cell r="DT157">
            <v>0</v>
          </cell>
          <cell r="DU157">
            <v>42241</v>
          </cell>
          <cell r="DW157">
            <v>0</v>
          </cell>
          <cell r="DY157">
            <v>42227</v>
          </cell>
          <cell r="DZ157">
            <v>42165</v>
          </cell>
          <cell r="EA157" t="str">
            <v>IENG</v>
          </cell>
          <cell r="EB157">
            <v>42213</v>
          </cell>
          <cell r="ED157" t="str">
            <v>12Jul15 :SiThu.Moe: Excavation is done.Nobody at site.
01Jul15 :SiThu.Moe: Excavation is done.Nobody at site.</v>
          </cell>
          <cell r="EE157" t="str">
            <v xml:space="preserve">10 Aug 15:Flood affected_Hold-No access; 10-Aug-15:water level recorded 700mm as per owner.
?  To construct elevated equipment slab as per I ENG standard approved drawing (1200mm depth).
?  De installation and installation  of P.E
?  Additional grounding works (for elevated)and elevated cable tray
?  Permanent PE's commissioning- please revert back to us if I ENG can do the commissioning.
Aug 07: Site still flooded and will monitor daily the area condition
July 30: Tower erection IP 5/9 euiipment slab done.  To push I ENG this JULY month for RFI.. Raining on that area will affect the tower erection activity
28-Jul-15: Flooded access or site is flooded_ we canÆt proceed to this site. Tower Erection stopped . 5/9 HT.								</v>
          </cell>
          <cell r="EJ157">
            <v>0</v>
          </cell>
          <cell r="EK157">
            <v>42249</v>
          </cell>
          <cell r="EL157">
            <v>42208</v>
          </cell>
          <cell r="EM157">
            <v>42250</v>
          </cell>
          <cell r="EN157">
            <v>42203</v>
          </cell>
          <cell r="EQ157">
            <v>42262</v>
          </cell>
          <cell r="ER157">
            <v>42227</v>
          </cell>
          <cell r="ES157">
            <v>42209</v>
          </cell>
          <cell r="ET157">
            <v>42228</v>
          </cell>
          <cell r="EU157">
            <v>42228</v>
          </cell>
          <cell r="EW157">
            <v>0</v>
          </cell>
          <cell r="EX157">
            <v>42293</v>
          </cell>
          <cell r="EZ157">
            <v>42272</v>
          </cell>
          <cell r="FA157">
            <v>42226</v>
          </cell>
          <cell r="FB157">
            <v>42274</v>
          </cell>
          <cell r="FC157">
            <v>42227</v>
          </cell>
          <cell r="FU157">
            <v>42276</v>
          </cell>
          <cell r="FW157">
            <v>42276</v>
          </cell>
          <cell r="FY157" t="str">
            <v>AZM</v>
          </cell>
          <cell r="FZ157">
            <v>42217</v>
          </cell>
          <cell r="GA157">
            <v>42227</v>
          </cell>
          <cell r="GB157">
            <v>42229</v>
          </cell>
          <cell r="GC157">
            <v>42230</v>
          </cell>
          <cell r="GD157">
            <v>42230</v>
          </cell>
          <cell r="GE157">
            <v>42230</v>
          </cell>
          <cell r="GF157">
            <v>42230</v>
          </cell>
          <cell r="GG157">
            <v>42230</v>
          </cell>
          <cell r="GH157">
            <v>42230</v>
          </cell>
          <cell r="GJ157">
            <v>0</v>
          </cell>
          <cell r="GK157">
            <v>42230</v>
          </cell>
          <cell r="GN157" t="str">
            <v>ERICSSON</v>
          </cell>
          <cell r="GO157">
            <v>42179</v>
          </cell>
          <cell r="GP157">
            <v>42179</v>
          </cell>
          <cell r="GU157" t="str">
            <v xml:space="preserve">		</v>
          </cell>
          <cell r="HD157">
            <v>1</v>
          </cell>
        </row>
        <row r="158">
          <cell r="A158" t="str">
            <v>BA0881</v>
          </cell>
          <cell r="B158" t="str">
            <v>ACBA_0207</v>
          </cell>
          <cell r="C158" t="str">
            <v>Apollo</v>
          </cell>
          <cell r="D158" t="str">
            <v>Chris Thomson</v>
          </cell>
          <cell r="F158" t="str">
            <v>Phyo Wai Maung</v>
          </cell>
          <cell r="G158" t="str">
            <v>Paing Thu Soe</v>
          </cell>
          <cell r="H158" t="str">
            <v>RED</v>
          </cell>
          <cell r="I158" t="str">
            <v>South</v>
          </cell>
          <cell r="J158" t="str">
            <v>96.292256</v>
          </cell>
          <cell r="K158" t="str">
            <v>18.837176</v>
          </cell>
          <cell r="L158" t="str">
            <v>Rural</v>
          </cell>
          <cell r="M158" t="str">
            <v>Bago East</v>
          </cell>
          <cell r="N158" t="str">
            <v>Oktwin</v>
          </cell>
          <cell r="O158" t="str">
            <v>Oktwin</v>
          </cell>
          <cell r="P158" t="str">
            <v>Bago East</v>
          </cell>
          <cell r="Q158" t="str">
            <v>19</v>
          </cell>
          <cell r="R158" t="str">
            <v>Oktwin</v>
          </cell>
          <cell r="S158" t="str">
            <v>101</v>
          </cell>
          <cell r="T158" t="str">
            <v>GSM+UMTS</v>
          </cell>
          <cell r="W158" t="str">
            <v>Ph2-Priority</v>
          </cell>
          <cell r="X158" t="str">
            <v>55</v>
          </cell>
          <cell r="Y158" t="str">
            <v>57</v>
          </cell>
          <cell r="Z158" t="str">
            <v>GBT</v>
          </cell>
          <cell r="AA158" t="str">
            <v>500</v>
          </cell>
          <cell r="AB158" t="str">
            <v>Access</v>
          </cell>
          <cell r="AC158" t="str">
            <v>Class C</v>
          </cell>
          <cell r="BH158" t="str">
            <v>Camusat</v>
          </cell>
          <cell r="BJ158">
            <v>42155</v>
          </cell>
          <cell r="BK158">
            <v>42168</v>
          </cell>
          <cell r="BL158">
            <v>42160</v>
          </cell>
          <cell r="BM158">
            <v>42175</v>
          </cell>
          <cell r="BT158">
            <v>65</v>
          </cell>
          <cell r="BU158">
            <v>42233</v>
          </cell>
          <cell r="BV158">
            <v>42248</v>
          </cell>
          <cell r="BW158" t="str">
            <v>96.29648</v>
          </cell>
          <cell r="BX158" t="str">
            <v>18.83573</v>
          </cell>
          <cell r="BY158" t="str">
            <v>C1</v>
          </cell>
          <cell r="BZ158" t="str">
            <v>No.(76),Moe Khoe Village Group, Inn Kyint Village,Nyaunglaypin Township, Bago Division.</v>
          </cell>
          <cell r="CA158" t="str">
            <v>U Myint Aung;09-250213182</v>
          </cell>
          <cell r="CB158" t="str">
            <v>1 Sept 15: C1 SAR sub</v>
          </cell>
          <cell r="CC158" t="str">
            <v>Village Land</v>
          </cell>
          <cell r="CE158">
            <v>0</v>
          </cell>
          <cell r="CF158">
            <v>42234</v>
          </cell>
          <cell r="CG158">
            <v>42249</v>
          </cell>
          <cell r="CH158">
            <v>42236</v>
          </cell>
          <cell r="CJ158">
            <v>42177</v>
          </cell>
          <cell r="CK158" t="str">
            <v>45</v>
          </cell>
          <cell r="CL158" t="str">
            <v>47</v>
          </cell>
          <cell r="CM158" t="str">
            <v>45</v>
          </cell>
          <cell r="CN158">
            <v>0</v>
          </cell>
          <cell r="CO158">
            <v>42239</v>
          </cell>
          <cell r="CP158">
            <v>42179</v>
          </cell>
          <cell r="CQ158" t="str">
            <v>M4: solar + DG + battery</v>
          </cell>
          <cell r="CR158">
            <v>0</v>
          </cell>
          <cell r="CS158">
            <v>42240</v>
          </cell>
          <cell r="CT158">
            <v>42180</v>
          </cell>
          <cell r="CU158" t="str">
            <v>BA0881</v>
          </cell>
          <cell r="DH158">
            <v>0</v>
          </cell>
          <cell r="DI158">
            <v>42250</v>
          </cell>
          <cell r="DJ158">
            <v>42200</v>
          </cell>
          <cell r="DK158">
            <v>42247</v>
          </cell>
          <cell r="DL158">
            <v>42205</v>
          </cell>
          <cell r="DM158">
            <v>42251</v>
          </cell>
          <cell r="DN158">
            <v>42205</v>
          </cell>
          <cell r="DO158">
            <v>0</v>
          </cell>
          <cell r="DP158">
            <v>42250</v>
          </cell>
          <cell r="DQ158">
            <v>42200</v>
          </cell>
          <cell r="DT158">
            <v>0</v>
          </cell>
          <cell r="DU158">
            <v>42265</v>
          </cell>
          <cell r="DW158">
            <v>0</v>
          </cell>
          <cell r="DY158">
            <v>42251</v>
          </cell>
          <cell r="EA158" t="str">
            <v>Leadcom</v>
          </cell>
          <cell r="EB158">
            <v>42213</v>
          </cell>
          <cell r="EE158" t="str">
            <v xml:space="preserve">10 Aug 15:Flood affected_Hold-No access; 28-Jul-15: BP complete_payment can be done  floods access  issues 								</v>
          </cell>
          <cell r="EJ158">
            <v>0</v>
          </cell>
          <cell r="EK158">
            <v>42273</v>
          </cell>
          <cell r="EM158">
            <v>42274</v>
          </cell>
          <cell r="EQ158">
            <v>42286</v>
          </cell>
          <cell r="EW158">
            <v>0</v>
          </cell>
          <cell r="EX158">
            <v>42300</v>
          </cell>
          <cell r="EZ158">
            <v>42296</v>
          </cell>
          <cell r="FB158">
            <v>42298</v>
          </cell>
          <cell r="FU158">
            <v>42300</v>
          </cell>
          <cell r="FW158">
            <v>42300</v>
          </cell>
          <cell r="GJ158">
            <v>0</v>
          </cell>
          <cell r="GN158" t="str">
            <v>ERICSSON</v>
          </cell>
          <cell r="GU158" t="str">
            <v xml:space="preserve">		</v>
          </cell>
          <cell r="HD158">
            <v>1</v>
          </cell>
        </row>
        <row r="159">
          <cell r="A159" t="str">
            <v>BA0882</v>
          </cell>
          <cell r="B159" t="str">
            <v>ACBA_0208</v>
          </cell>
          <cell r="C159" t="str">
            <v>Apollo</v>
          </cell>
          <cell r="D159" t="str">
            <v>Chris Thomson</v>
          </cell>
          <cell r="F159" t="str">
            <v>Phyo Wai Maung</v>
          </cell>
          <cell r="G159" t="str">
            <v>Paing Thu Soe</v>
          </cell>
          <cell r="H159" t="str">
            <v>RED</v>
          </cell>
          <cell r="I159" t="str">
            <v>South</v>
          </cell>
          <cell r="J159" t="str">
            <v>96.117056</v>
          </cell>
          <cell r="K159" t="str">
            <v>19.170524</v>
          </cell>
          <cell r="L159" t="str">
            <v>Rural</v>
          </cell>
          <cell r="M159" t="str">
            <v>Bago East</v>
          </cell>
          <cell r="N159" t="str">
            <v>Yedashe</v>
          </cell>
          <cell r="O159" t="str">
            <v>Yedashe</v>
          </cell>
          <cell r="P159" t="str">
            <v>Bago East</v>
          </cell>
          <cell r="Q159" t="str">
            <v>19</v>
          </cell>
          <cell r="R159" t="str">
            <v>Yedashe</v>
          </cell>
          <cell r="S159" t="str">
            <v>98</v>
          </cell>
          <cell r="T159" t="str">
            <v>GSM+UMTS</v>
          </cell>
          <cell r="W159" t="str">
            <v>Ph2-Priority</v>
          </cell>
          <cell r="X159" t="str">
            <v>55</v>
          </cell>
          <cell r="Y159" t="str">
            <v>57</v>
          </cell>
          <cell r="Z159" t="str">
            <v>GBT</v>
          </cell>
          <cell r="AA159" t="str">
            <v>500</v>
          </cell>
          <cell r="AB159" t="str">
            <v>Access</v>
          </cell>
          <cell r="AC159" t="str">
            <v>Class C</v>
          </cell>
          <cell r="BH159" t="str">
            <v>Leadcom</v>
          </cell>
          <cell r="BJ159">
            <v>42155</v>
          </cell>
          <cell r="BK159">
            <v>42168</v>
          </cell>
          <cell r="BL159">
            <v>42160</v>
          </cell>
          <cell r="BM159">
            <v>42175</v>
          </cell>
          <cell r="BT159">
            <v>16</v>
          </cell>
          <cell r="BU159">
            <v>42233</v>
          </cell>
          <cell r="BV159">
            <v>42184</v>
          </cell>
          <cell r="BW159" t="str">
            <v>96.7627</v>
          </cell>
          <cell r="BX159" t="str">
            <v>18.12569</v>
          </cell>
          <cell r="BY159" t="str">
            <v>C1</v>
          </cell>
          <cell r="CC159" t="str">
            <v>RESIDENTIAL</v>
          </cell>
          <cell r="CE159">
            <v>0</v>
          </cell>
          <cell r="CF159">
            <v>42234</v>
          </cell>
          <cell r="CG159">
            <v>42185</v>
          </cell>
          <cell r="CH159">
            <v>42236</v>
          </cell>
          <cell r="CN159">
            <v>0</v>
          </cell>
          <cell r="CO159">
            <v>42239</v>
          </cell>
          <cell r="CQ159" t="str">
            <v>M4: solar + DG + battery</v>
          </cell>
          <cell r="CR159">
            <v>0</v>
          </cell>
          <cell r="CS159">
            <v>42240</v>
          </cell>
          <cell r="CU159" t="str">
            <v>BA0882</v>
          </cell>
          <cell r="DH159">
            <v>0</v>
          </cell>
          <cell r="DI159">
            <v>42250</v>
          </cell>
          <cell r="DK159">
            <v>42247</v>
          </cell>
          <cell r="DM159">
            <v>42251</v>
          </cell>
          <cell r="DO159">
            <v>0</v>
          </cell>
          <cell r="DP159">
            <v>42250</v>
          </cell>
          <cell r="DT159">
            <v>0</v>
          </cell>
          <cell r="DU159">
            <v>42265</v>
          </cell>
          <cell r="DW159">
            <v>0</v>
          </cell>
          <cell r="DY159">
            <v>42251</v>
          </cell>
          <cell r="EA159" t="str">
            <v>Leadcom</v>
          </cell>
          <cell r="EJ159">
            <v>0</v>
          </cell>
          <cell r="EK159">
            <v>42273</v>
          </cell>
          <cell r="EM159">
            <v>42274</v>
          </cell>
          <cell r="EQ159">
            <v>42286</v>
          </cell>
          <cell r="EW159">
            <v>0</v>
          </cell>
          <cell r="EX159">
            <v>42300</v>
          </cell>
          <cell r="EZ159">
            <v>42296</v>
          </cell>
          <cell r="FB159">
            <v>42298</v>
          </cell>
          <cell r="FU159">
            <v>42300</v>
          </cell>
          <cell r="FW159">
            <v>42300</v>
          </cell>
          <cell r="GJ159">
            <v>0</v>
          </cell>
          <cell r="GN159" t="str">
            <v>ERICSSON</v>
          </cell>
          <cell r="GU159" t="str">
            <v xml:space="preserve">		</v>
          </cell>
          <cell r="HD159">
            <v>1</v>
          </cell>
        </row>
        <row r="160">
          <cell r="A160" t="str">
            <v>BA0889</v>
          </cell>
          <cell r="B160" t="str">
            <v>ACBA_0209</v>
          </cell>
          <cell r="C160" t="str">
            <v>Apollo</v>
          </cell>
          <cell r="D160" t="str">
            <v>Robert</v>
          </cell>
          <cell r="F160" t="str">
            <v>Phyo Wai Maung</v>
          </cell>
          <cell r="G160" t="str">
            <v>Paing Thu Soe</v>
          </cell>
          <cell r="H160" t="str">
            <v>AMBER</v>
          </cell>
          <cell r="I160" t="str">
            <v>South</v>
          </cell>
          <cell r="J160" t="str">
            <v>96.544683</v>
          </cell>
          <cell r="K160" t="str">
            <v>18.159918</v>
          </cell>
          <cell r="L160" t="str">
            <v>Rural</v>
          </cell>
          <cell r="M160" t="str">
            <v>Bago East</v>
          </cell>
          <cell r="N160" t="str">
            <v>Kyauktaga</v>
          </cell>
          <cell r="O160" t="str">
            <v>Kyauktaga</v>
          </cell>
          <cell r="P160" t="str">
            <v>Bago East</v>
          </cell>
          <cell r="Q160" t="str">
            <v>19</v>
          </cell>
          <cell r="R160" t="str">
            <v>Kyauktaga</v>
          </cell>
          <cell r="S160" t="str">
            <v>94</v>
          </cell>
          <cell r="T160" t="str">
            <v>GSM+UMTS</v>
          </cell>
          <cell r="W160" t="str">
            <v>Ph2-Priority</v>
          </cell>
          <cell r="X160" t="str">
            <v>45</v>
          </cell>
          <cell r="Y160" t="str">
            <v>45</v>
          </cell>
          <cell r="Z160" t="str">
            <v>GBT</v>
          </cell>
          <cell r="AA160" t="str">
            <v>500</v>
          </cell>
          <cell r="AB160" t="str">
            <v>Access</v>
          </cell>
          <cell r="AC160" t="str">
            <v>Class C</v>
          </cell>
          <cell r="BH160" t="str">
            <v>KTT</v>
          </cell>
          <cell r="BJ160">
            <v>42152</v>
          </cell>
          <cell r="BK160">
            <v>42130</v>
          </cell>
          <cell r="BL160">
            <v>42157</v>
          </cell>
          <cell r="BM160">
            <v>42157</v>
          </cell>
          <cell r="BT160">
            <v>37</v>
          </cell>
          <cell r="BU160">
            <v>42189</v>
          </cell>
          <cell r="BV160">
            <v>42167</v>
          </cell>
          <cell r="BW160" t="str">
            <v>96.54238</v>
          </cell>
          <cell r="BX160" t="str">
            <v>18.15812</v>
          </cell>
          <cell r="BY160" t="str">
            <v>C1</v>
          </cell>
          <cell r="BZ160" t="str">
            <v>Thapyakone Village, ThaHtayGy Ywar Thit Village Group.</v>
          </cell>
          <cell r="CA160" t="str">
            <v>U TUN TUN;09-789522947</v>
          </cell>
          <cell r="CB160" t="str">
            <v>12Jun15: C1 SAR Sub on Friday 8PM</v>
          </cell>
          <cell r="CE160">
            <v>3</v>
          </cell>
          <cell r="CF160">
            <v>42190</v>
          </cell>
          <cell r="CG160">
            <v>42170</v>
          </cell>
          <cell r="CH160">
            <v>42192</v>
          </cell>
          <cell r="CJ160">
            <v>42176</v>
          </cell>
          <cell r="CK160" t="str">
            <v>45</v>
          </cell>
          <cell r="CL160" t="str">
            <v>47</v>
          </cell>
          <cell r="CM160" t="str">
            <v>45</v>
          </cell>
          <cell r="CN160">
            <v>8</v>
          </cell>
          <cell r="CO160">
            <v>42195</v>
          </cell>
          <cell r="CP160">
            <v>42178</v>
          </cell>
          <cell r="CQ160" t="str">
            <v>M4: solar + DG + battery</v>
          </cell>
          <cell r="CR160">
            <v>1</v>
          </cell>
          <cell r="CS160">
            <v>42196</v>
          </cell>
          <cell r="CT160">
            <v>42179</v>
          </cell>
          <cell r="CU160" t="str">
            <v>BA0889</v>
          </cell>
          <cell r="DH160">
            <v>5</v>
          </cell>
          <cell r="DI160">
            <v>42206</v>
          </cell>
          <cell r="DJ160">
            <v>42184</v>
          </cell>
          <cell r="DK160">
            <v>42203</v>
          </cell>
          <cell r="DL160">
            <v>42187</v>
          </cell>
          <cell r="DM160">
            <v>42207</v>
          </cell>
          <cell r="DN160">
            <v>42187</v>
          </cell>
          <cell r="DO160">
            <v>2</v>
          </cell>
          <cell r="DP160">
            <v>42206</v>
          </cell>
          <cell r="DQ160">
            <v>42186</v>
          </cell>
          <cell r="DT160">
            <v>47</v>
          </cell>
          <cell r="DU160">
            <v>42221</v>
          </cell>
          <cell r="DW160">
            <v>0</v>
          </cell>
          <cell r="DY160">
            <v>42207</v>
          </cell>
          <cell r="DZ160">
            <v>42192</v>
          </cell>
          <cell r="EA160" t="str">
            <v>Leadcom</v>
          </cell>
          <cell r="EB160">
            <v>42202</v>
          </cell>
          <cell r="EE160" t="str">
            <v xml:space="preserve">10 Aug 15:Flood affected_Hold-No access; 17-Jul-15:  Site is flooded waiting for dry season								</v>
          </cell>
          <cell r="EJ160">
            <v>41</v>
          </cell>
          <cell r="EK160">
            <v>42224</v>
          </cell>
          <cell r="EM160">
            <v>42225</v>
          </cell>
          <cell r="EQ160">
            <v>42234</v>
          </cell>
          <cell r="EW160">
            <v>41</v>
          </cell>
          <cell r="EX160">
            <v>42216</v>
          </cell>
          <cell r="EZ160">
            <v>42244</v>
          </cell>
          <cell r="FB160">
            <v>42246</v>
          </cell>
          <cell r="FU160">
            <v>42248</v>
          </cell>
          <cell r="FW160">
            <v>42248</v>
          </cell>
          <cell r="GI160">
            <v>42307</v>
          </cell>
          <cell r="GJ160" t="str">
            <v>44-2015</v>
          </cell>
          <cell r="GN160" t="str">
            <v>ERICSSON</v>
          </cell>
          <cell r="GU160" t="str">
            <v xml:space="preserve">		</v>
          </cell>
          <cell r="HD160">
            <v>1</v>
          </cell>
        </row>
        <row r="161">
          <cell r="A161" t="str">
            <v>BA0892</v>
          </cell>
          <cell r="B161" t="str">
            <v>ACBA_0210</v>
          </cell>
          <cell r="C161" t="str">
            <v>Apollo</v>
          </cell>
          <cell r="D161" t="str">
            <v>Chris Thomson</v>
          </cell>
          <cell r="F161" t="str">
            <v>Phyo Wai Maung</v>
          </cell>
          <cell r="G161" t="str">
            <v>Paing Thu Soe</v>
          </cell>
          <cell r="H161" t="str">
            <v>RED</v>
          </cell>
          <cell r="I161" t="str">
            <v>South</v>
          </cell>
          <cell r="J161" t="str">
            <v>96.02694998</v>
          </cell>
          <cell r="K161" t="str">
            <v>19.38160769</v>
          </cell>
          <cell r="L161" t="str">
            <v>Rural</v>
          </cell>
          <cell r="M161" t="str">
            <v>Bago East</v>
          </cell>
          <cell r="N161" t="str">
            <v>Yedashe</v>
          </cell>
          <cell r="O161" t="str">
            <v>Yedashe</v>
          </cell>
          <cell r="P161" t="str">
            <v>Bago East</v>
          </cell>
          <cell r="Q161" t="str">
            <v>19</v>
          </cell>
          <cell r="R161" t="str">
            <v>Yedashe</v>
          </cell>
          <cell r="S161" t="str">
            <v>98</v>
          </cell>
          <cell r="T161" t="str">
            <v>GSM+UMTS</v>
          </cell>
          <cell r="W161" t="str">
            <v>Ph2-Priority</v>
          </cell>
          <cell r="X161" t="str">
            <v>55</v>
          </cell>
          <cell r="Y161" t="str">
            <v>57</v>
          </cell>
          <cell r="Z161" t="str">
            <v>GBT</v>
          </cell>
          <cell r="AA161" t="str">
            <v>500</v>
          </cell>
          <cell r="AB161" t="str">
            <v>Access</v>
          </cell>
          <cell r="AC161" t="str">
            <v>Class C</v>
          </cell>
          <cell r="BH161" t="str">
            <v>Leadcom</v>
          </cell>
          <cell r="BJ161">
            <v>42155</v>
          </cell>
          <cell r="BK161">
            <v>42175</v>
          </cell>
          <cell r="BL161">
            <v>42160</v>
          </cell>
          <cell r="BM161">
            <v>42178</v>
          </cell>
          <cell r="BT161">
            <v>58</v>
          </cell>
          <cell r="BU161">
            <v>42233</v>
          </cell>
          <cell r="BV161">
            <v>42200</v>
          </cell>
          <cell r="BW161" t="str">
            <v>96.28776</v>
          </cell>
          <cell r="BX161" t="str">
            <v>23.53584</v>
          </cell>
          <cell r="BY161" t="str">
            <v>C1</v>
          </cell>
          <cell r="CC161" t="str">
            <v>Village</v>
          </cell>
          <cell r="CE161">
            <v>0</v>
          </cell>
          <cell r="CF161">
            <v>42234</v>
          </cell>
          <cell r="CG161">
            <v>42201</v>
          </cell>
          <cell r="CH161">
            <v>42236</v>
          </cell>
          <cell r="CN161">
            <v>0</v>
          </cell>
          <cell r="CO161">
            <v>42239</v>
          </cell>
          <cell r="CQ161" t="str">
            <v>M4: solar + DG + battery</v>
          </cell>
          <cell r="CR161">
            <v>0</v>
          </cell>
          <cell r="CS161">
            <v>42240</v>
          </cell>
          <cell r="CU161" t="str">
            <v>BA0892</v>
          </cell>
          <cell r="DH161">
            <v>0</v>
          </cell>
          <cell r="DI161">
            <v>42250</v>
          </cell>
          <cell r="DK161">
            <v>42247</v>
          </cell>
          <cell r="DM161">
            <v>42251</v>
          </cell>
          <cell r="DO161">
            <v>0</v>
          </cell>
          <cell r="DP161">
            <v>42250</v>
          </cell>
          <cell r="DT161">
            <v>0</v>
          </cell>
          <cell r="DU161">
            <v>42265</v>
          </cell>
          <cell r="DW161">
            <v>0</v>
          </cell>
          <cell r="DY161">
            <v>42251</v>
          </cell>
          <cell r="EA161" t="str">
            <v>Leadcom</v>
          </cell>
          <cell r="EJ161">
            <v>0</v>
          </cell>
          <cell r="EK161">
            <v>42273</v>
          </cell>
          <cell r="EM161">
            <v>42274</v>
          </cell>
          <cell r="EQ161">
            <v>42286</v>
          </cell>
          <cell r="EW161">
            <v>0</v>
          </cell>
          <cell r="EX161">
            <v>42300</v>
          </cell>
          <cell r="EZ161">
            <v>42296</v>
          </cell>
          <cell r="FB161">
            <v>42298</v>
          </cell>
          <cell r="FU161">
            <v>42300</v>
          </cell>
          <cell r="FW161">
            <v>42300</v>
          </cell>
          <cell r="GI161">
            <v>42215</v>
          </cell>
          <cell r="GJ161">
            <v>0</v>
          </cell>
          <cell r="GN161" t="str">
            <v>ERICSSON</v>
          </cell>
          <cell r="GU161" t="str">
            <v xml:space="preserve">		</v>
          </cell>
          <cell r="HD161">
            <v>1</v>
          </cell>
        </row>
        <row r="162">
          <cell r="A162" t="str">
            <v>BA0893</v>
          </cell>
          <cell r="B162" t="str">
            <v>ACBA_0211</v>
          </cell>
          <cell r="C162" t="str">
            <v>Apollo</v>
          </cell>
          <cell r="D162" t="str">
            <v>Robert</v>
          </cell>
          <cell r="F162" t="str">
            <v>Phyo Wai Maung</v>
          </cell>
          <cell r="G162" t="str">
            <v>Saw Pyie Zin Nyein</v>
          </cell>
          <cell r="H162" t="str">
            <v>AMBER</v>
          </cell>
          <cell r="I162" t="str">
            <v>South</v>
          </cell>
          <cell r="J162" t="str">
            <v>96.7173319999999</v>
          </cell>
          <cell r="K162" t="str">
            <v>17.510594</v>
          </cell>
          <cell r="L162" t="str">
            <v>Rural</v>
          </cell>
          <cell r="M162" t="str">
            <v>Bago East</v>
          </cell>
          <cell r="N162" t="str">
            <v>Waw</v>
          </cell>
          <cell r="O162" t="str">
            <v>Waw</v>
          </cell>
          <cell r="P162" t="str">
            <v>Bago East</v>
          </cell>
          <cell r="Q162" t="str">
            <v>19</v>
          </cell>
          <cell r="R162" t="str">
            <v>Waw</v>
          </cell>
          <cell r="S162" t="str">
            <v>92</v>
          </cell>
          <cell r="T162" t="str">
            <v>GSM+UMTS</v>
          </cell>
          <cell r="W162" t="str">
            <v>Ph2-Priority</v>
          </cell>
          <cell r="X162" t="str">
            <v>45</v>
          </cell>
          <cell r="Y162" t="str">
            <v>45</v>
          </cell>
          <cell r="Z162" t="str">
            <v>GBT</v>
          </cell>
          <cell r="AA162" t="str">
            <v>500</v>
          </cell>
          <cell r="AB162" t="str">
            <v>Access</v>
          </cell>
          <cell r="AC162" t="str">
            <v>Class C</v>
          </cell>
          <cell r="BH162" t="str">
            <v>KTT</v>
          </cell>
          <cell r="BJ162">
            <v>42152</v>
          </cell>
          <cell r="BK162">
            <v>42130</v>
          </cell>
          <cell r="BL162">
            <v>42157</v>
          </cell>
          <cell r="BM162">
            <v>42160</v>
          </cell>
          <cell r="BT162">
            <v>40</v>
          </cell>
          <cell r="BU162">
            <v>42189</v>
          </cell>
          <cell r="BV162">
            <v>42170</v>
          </cell>
          <cell r="BW162" t="str">
            <v>96.71827</v>
          </cell>
          <cell r="BX162" t="str">
            <v>17.51025</v>
          </cell>
          <cell r="BY162" t="str">
            <v>C1</v>
          </cell>
          <cell r="BZ162" t="str">
            <v>No(222), 5 Eain Su Street, Ahbyar Boe Tale Village,Waw Township, Bago.</v>
          </cell>
          <cell r="CA162" t="str">
            <v>U Par Ni;09-78827702, 09-972153105</v>
          </cell>
          <cell r="CB162" t="str">
            <v>15Jun15: C1 SAR Sub</v>
          </cell>
          <cell r="CE162">
            <v>2</v>
          </cell>
          <cell r="CF162">
            <v>42190</v>
          </cell>
          <cell r="CG162">
            <v>42172</v>
          </cell>
          <cell r="CH162">
            <v>42192</v>
          </cell>
          <cell r="CJ162">
            <v>42176</v>
          </cell>
          <cell r="CK162" t="str">
            <v>45</v>
          </cell>
          <cell r="CL162" t="str">
            <v>47</v>
          </cell>
          <cell r="CM162" t="str">
            <v>45</v>
          </cell>
          <cell r="CN162">
            <v>6</v>
          </cell>
          <cell r="CO162">
            <v>42195</v>
          </cell>
          <cell r="CP162">
            <v>42178</v>
          </cell>
          <cell r="CQ162" t="str">
            <v>M4: solar + DG + battery</v>
          </cell>
          <cell r="CR162">
            <v>1</v>
          </cell>
          <cell r="CS162">
            <v>42196</v>
          </cell>
          <cell r="CT162">
            <v>42179</v>
          </cell>
          <cell r="CU162" t="str">
            <v>BA0893</v>
          </cell>
          <cell r="DH162">
            <v>22</v>
          </cell>
          <cell r="DI162">
            <v>42206</v>
          </cell>
          <cell r="DJ162">
            <v>42201</v>
          </cell>
          <cell r="DK162">
            <v>42203</v>
          </cell>
          <cell r="DL162">
            <v>42208</v>
          </cell>
          <cell r="DM162">
            <v>42207</v>
          </cell>
          <cell r="DN162">
            <v>42208</v>
          </cell>
          <cell r="DO162">
            <v>0</v>
          </cell>
          <cell r="DP162">
            <v>42206</v>
          </cell>
          <cell r="DQ162">
            <v>42201</v>
          </cell>
          <cell r="DT162">
            <v>32</v>
          </cell>
          <cell r="DU162">
            <v>42221</v>
          </cell>
          <cell r="DV162">
            <v>42200</v>
          </cell>
          <cell r="DW162">
            <v>0</v>
          </cell>
          <cell r="DY162">
            <v>42207</v>
          </cell>
          <cell r="DZ162">
            <v>42203</v>
          </cell>
          <cell r="EA162" t="str">
            <v>Leadcom</v>
          </cell>
          <cell r="EB162">
            <v>42215</v>
          </cell>
          <cell r="EE162" t="str">
            <v xml:space="preserve">10 Aug 15:Flood affected_Hold-No access; 30-Jul-15:Site access &amp; site full of water								</v>
          </cell>
          <cell r="EJ162">
            <v>30</v>
          </cell>
          <cell r="EK162">
            <v>42224</v>
          </cell>
          <cell r="EL162">
            <v>42231</v>
          </cell>
          <cell r="EM162">
            <v>42225</v>
          </cell>
          <cell r="EN162">
            <v>42234</v>
          </cell>
          <cell r="EQ162">
            <v>42234</v>
          </cell>
          <cell r="EW162">
            <v>30</v>
          </cell>
          <cell r="EX162">
            <v>42216</v>
          </cell>
          <cell r="EZ162">
            <v>42244</v>
          </cell>
          <cell r="FB162">
            <v>42246</v>
          </cell>
          <cell r="FU162">
            <v>42248</v>
          </cell>
          <cell r="FW162">
            <v>42248</v>
          </cell>
          <cell r="GF162">
            <v>42173</v>
          </cell>
          <cell r="GI162">
            <v>42307</v>
          </cell>
          <cell r="GJ162" t="str">
            <v>44-2015</v>
          </cell>
          <cell r="GN162" t="str">
            <v>ERICSSON</v>
          </cell>
          <cell r="GU162" t="str">
            <v xml:space="preserve">		</v>
          </cell>
          <cell r="HD162">
            <v>1</v>
          </cell>
        </row>
        <row r="163">
          <cell r="A163" t="str">
            <v>BA0894</v>
          </cell>
          <cell r="B163" t="str">
            <v>ACBA_0212</v>
          </cell>
          <cell r="C163" t="str">
            <v>Apollo</v>
          </cell>
          <cell r="D163" t="str">
            <v>Robert</v>
          </cell>
          <cell r="F163" t="str">
            <v>Phyo Wai Maung</v>
          </cell>
          <cell r="G163" t="str">
            <v>Saw Pyie Zin Nyein</v>
          </cell>
          <cell r="H163" t="str">
            <v>RED</v>
          </cell>
          <cell r="I163" t="str">
            <v>South</v>
          </cell>
          <cell r="J163" t="str">
            <v>96.723652</v>
          </cell>
          <cell r="K163" t="str">
            <v>17.381933</v>
          </cell>
          <cell r="L163" t="str">
            <v>Rural</v>
          </cell>
          <cell r="M163" t="str">
            <v>Bago East</v>
          </cell>
          <cell r="N163" t="str">
            <v>Waw</v>
          </cell>
          <cell r="O163" t="str">
            <v>Waw</v>
          </cell>
          <cell r="P163" t="str">
            <v>Bago East</v>
          </cell>
          <cell r="Q163" t="str">
            <v>19</v>
          </cell>
          <cell r="R163" t="str">
            <v>Waw</v>
          </cell>
          <cell r="S163" t="str">
            <v>92</v>
          </cell>
          <cell r="T163" t="str">
            <v>GSM+UMTS</v>
          </cell>
          <cell r="W163" t="str">
            <v>Ph2-Priority</v>
          </cell>
          <cell r="X163" t="str">
            <v>45</v>
          </cell>
          <cell r="Y163" t="str">
            <v>45</v>
          </cell>
          <cell r="Z163" t="str">
            <v>GBT</v>
          </cell>
          <cell r="AA163" t="str">
            <v>500</v>
          </cell>
          <cell r="AB163" t="str">
            <v>Access</v>
          </cell>
          <cell r="AC163" t="str">
            <v>Class C</v>
          </cell>
          <cell r="BE163" t="str">
            <v>Route 1 Yangon - Mandalay</v>
          </cell>
          <cell r="BH163" t="str">
            <v>KTT</v>
          </cell>
          <cell r="BJ163">
            <v>42168</v>
          </cell>
          <cell r="BK163">
            <v>42130</v>
          </cell>
          <cell r="BL163">
            <v>42173</v>
          </cell>
          <cell r="BM163">
            <v>42143</v>
          </cell>
          <cell r="BT163">
            <v>103</v>
          </cell>
          <cell r="BU163">
            <v>42170</v>
          </cell>
          <cell r="BV163">
            <v>42153</v>
          </cell>
          <cell r="BW163" t="str">
            <v>95.44588</v>
          </cell>
          <cell r="BX163" t="str">
            <v>20.19651</v>
          </cell>
          <cell r="BY163" t="str">
            <v>Reject</v>
          </cell>
          <cell r="BZ163" t="str">
            <v>No(36), Myo Oo Road, Lal Pyin Quarter, Myo Thit,Magway Division.</v>
          </cell>
          <cell r="CA163" t="str">
            <v>Ma Hnin Kyi;Myo Oo Street,Lal pyin Quarter,Myo Thit,Mgway Division;09-401519686/250089266</v>
          </cell>
          <cell r="CB163" t="str">
            <v>13 Aug 15: C1 deactivate because of Rejected in TSS as VO cost is high, Access issue, flood history. Difficult for O&amp;M; 16 Jun 15 : C1 SAR app;15Jun15: C1 SAR Sub</v>
          </cell>
          <cell r="CE163">
            <v>0</v>
          </cell>
          <cell r="CF163">
            <v>42171</v>
          </cell>
          <cell r="CG163">
            <v>42156</v>
          </cell>
          <cell r="CH163">
            <v>42173</v>
          </cell>
          <cell r="CJ163">
            <v>42170</v>
          </cell>
          <cell r="CK163" t="str">
            <v>35</v>
          </cell>
          <cell r="CL163" t="str">
            <v>37</v>
          </cell>
          <cell r="CM163" t="str">
            <v>45</v>
          </cell>
          <cell r="CN163">
            <v>0</v>
          </cell>
          <cell r="CO163">
            <v>42176</v>
          </cell>
          <cell r="CP163">
            <v>42172</v>
          </cell>
          <cell r="CQ163" t="str">
            <v>M4: solar + DG + battery</v>
          </cell>
          <cell r="CR163">
            <v>0</v>
          </cell>
          <cell r="CS163">
            <v>42177</v>
          </cell>
          <cell r="CT163">
            <v>42173</v>
          </cell>
          <cell r="CU163" t="str">
            <v>BA0894</v>
          </cell>
          <cell r="DH163">
            <v>0</v>
          </cell>
          <cell r="DI163">
            <v>42187</v>
          </cell>
          <cell r="DJ163">
            <v>42187</v>
          </cell>
          <cell r="DK163">
            <v>42184</v>
          </cell>
          <cell r="DL163">
            <v>42179</v>
          </cell>
          <cell r="DM163">
            <v>42188</v>
          </cell>
          <cell r="DN163">
            <v>42182</v>
          </cell>
          <cell r="DO163">
            <v>0</v>
          </cell>
          <cell r="DP163">
            <v>42187</v>
          </cell>
          <cell r="DQ163">
            <v>42187</v>
          </cell>
          <cell r="DT163">
            <v>0</v>
          </cell>
          <cell r="DU163">
            <v>42202</v>
          </cell>
          <cell r="DW163">
            <v>0</v>
          </cell>
          <cell r="DY163">
            <v>42188</v>
          </cell>
          <cell r="DZ163">
            <v>42182</v>
          </cell>
          <cell r="EA163" t="str">
            <v>Leadcom</v>
          </cell>
          <cell r="ED163" t="str">
            <v xml:space="preserve">11Jul15 :SiThu.Moe: CW is not start.
</v>
          </cell>
          <cell r="EE163" t="str">
            <v xml:space="preserve">10 Aug 15:Rain affected_Progress affected; 3-Aug-15: SKOM done.NEED BP to start								</v>
          </cell>
          <cell r="EJ163">
            <v>0</v>
          </cell>
          <cell r="EK163">
            <v>42205</v>
          </cell>
          <cell r="EM163">
            <v>42206</v>
          </cell>
          <cell r="EQ163">
            <v>42215</v>
          </cell>
          <cell r="EW163">
            <v>0</v>
          </cell>
          <cell r="EX163">
            <v>42229</v>
          </cell>
          <cell r="EZ163">
            <v>42225</v>
          </cell>
          <cell r="FB163">
            <v>42227</v>
          </cell>
          <cell r="FU163">
            <v>42229</v>
          </cell>
          <cell r="FW163">
            <v>42229</v>
          </cell>
          <cell r="GI163">
            <v>42246</v>
          </cell>
          <cell r="GJ163">
            <v>0</v>
          </cell>
          <cell r="GN163" t="str">
            <v>ERICSSON</v>
          </cell>
          <cell r="GU163" t="str">
            <v xml:space="preserve">		</v>
          </cell>
          <cell r="HD163">
            <v>1</v>
          </cell>
        </row>
        <row r="164">
          <cell r="A164" t="str">
            <v>BA0895</v>
          </cell>
          <cell r="B164" t="str">
            <v>ACBA_0213</v>
          </cell>
          <cell r="C164" t="str">
            <v>Apollo</v>
          </cell>
          <cell r="D164" t="str">
            <v>Emilio Ruiz</v>
          </cell>
          <cell r="F164" t="str">
            <v>Phyo Wai Maung</v>
          </cell>
          <cell r="G164" t="str">
            <v>Cho Yee Thaung</v>
          </cell>
          <cell r="H164" t="str">
            <v>RED</v>
          </cell>
          <cell r="I164" t="str">
            <v>South</v>
          </cell>
          <cell r="J164" t="str">
            <v>95.5136899860453</v>
          </cell>
          <cell r="K164" t="str">
            <v>17.8726697094783</v>
          </cell>
          <cell r="L164" t="str">
            <v>Rural</v>
          </cell>
          <cell r="M164" t="str">
            <v>Bago West</v>
          </cell>
          <cell r="N164" t="str">
            <v>Monyo</v>
          </cell>
          <cell r="O164" t="str">
            <v>Monyo</v>
          </cell>
          <cell r="P164" t="str">
            <v>Bago West</v>
          </cell>
          <cell r="Q164" t="str">
            <v>20</v>
          </cell>
          <cell r="R164" t="str">
            <v>Monyo</v>
          </cell>
          <cell r="S164" t="str">
            <v>115</v>
          </cell>
          <cell r="T164" t="str">
            <v>GSM+UMTS</v>
          </cell>
          <cell r="W164" t="str">
            <v>Ph2-Priority</v>
          </cell>
          <cell r="X164" t="str">
            <v>45</v>
          </cell>
          <cell r="Y164" t="str">
            <v>47</v>
          </cell>
          <cell r="Z164" t="str">
            <v>GBT</v>
          </cell>
          <cell r="AA164" t="str">
            <v>500</v>
          </cell>
          <cell r="AB164" t="str">
            <v>Access</v>
          </cell>
          <cell r="AC164" t="str">
            <v>Class C</v>
          </cell>
          <cell r="BE164" t="str">
            <v>Route 1 Yangon - Mandalay</v>
          </cell>
          <cell r="BH164" t="str">
            <v>IENG</v>
          </cell>
          <cell r="BJ164">
            <v>42168</v>
          </cell>
          <cell r="BK164">
            <v>42140</v>
          </cell>
          <cell r="BL164">
            <v>42173</v>
          </cell>
          <cell r="BM164">
            <v>42145</v>
          </cell>
          <cell r="BT164">
            <v>64</v>
          </cell>
          <cell r="BU164">
            <v>42231</v>
          </cell>
          <cell r="BV164">
            <v>42204</v>
          </cell>
          <cell r="BW164" t="str">
            <v>95.513256</v>
          </cell>
          <cell r="BX164" t="str">
            <v>17.872488</v>
          </cell>
          <cell r="BY164" t="str">
            <v>C2</v>
          </cell>
          <cell r="BZ164" t="str">
            <v>ThayaPhi St., Htein Taw village,Monyo Tsp.Bago Division</v>
          </cell>
          <cell r="CA164" t="str">
            <v>U Thaung Myint,09-261673916,09-260598619</v>
          </cell>
          <cell r="CB164" t="str">
            <v>19 July 15 : C2 SAR sub(C1 FARM FARMLAND);17 July 15 : C1 SAR app; 15 July 15 : C1 SAR sub</v>
          </cell>
          <cell r="CC164" t="str">
            <v>VILLAGE LAND</v>
          </cell>
          <cell r="CE164">
            <v>1</v>
          </cell>
          <cell r="CF164">
            <v>42232</v>
          </cell>
          <cell r="CG164">
            <v>42205</v>
          </cell>
          <cell r="CH164">
            <v>42234</v>
          </cell>
          <cell r="CJ164">
            <v>42206</v>
          </cell>
          <cell r="CK164" t="str">
            <v>45</v>
          </cell>
          <cell r="CL164" t="str">
            <v>47</v>
          </cell>
          <cell r="CM164" t="str">
            <v>45</v>
          </cell>
          <cell r="CN164">
            <v>3</v>
          </cell>
          <cell r="CO164">
            <v>42237</v>
          </cell>
          <cell r="CP164">
            <v>42208</v>
          </cell>
          <cell r="CQ164" t="str">
            <v>M1: grid power + battery</v>
          </cell>
          <cell r="CR164">
            <v>1</v>
          </cell>
          <cell r="CS164">
            <v>42238</v>
          </cell>
          <cell r="CT164">
            <v>42209</v>
          </cell>
          <cell r="CU164" t="str">
            <v>BA0895</v>
          </cell>
          <cell r="DH164">
            <v>8</v>
          </cell>
          <cell r="DI164">
            <v>42248</v>
          </cell>
          <cell r="DJ164">
            <v>42217</v>
          </cell>
          <cell r="DK164">
            <v>42245</v>
          </cell>
          <cell r="DL164">
            <v>42215</v>
          </cell>
          <cell r="DM164">
            <v>42249</v>
          </cell>
          <cell r="DN164">
            <v>42179</v>
          </cell>
          <cell r="DO164">
            <v>0</v>
          </cell>
          <cell r="DP164">
            <v>42248</v>
          </cell>
          <cell r="DQ164">
            <v>42217</v>
          </cell>
          <cell r="DT164">
            <v>16</v>
          </cell>
          <cell r="DU164">
            <v>42263</v>
          </cell>
          <cell r="DV164">
            <v>42180</v>
          </cell>
          <cell r="DW164">
            <v>0</v>
          </cell>
          <cell r="DY164">
            <v>42249</v>
          </cell>
          <cell r="DZ164">
            <v>42180</v>
          </cell>
          <cell r="EA164" t="str">
            <v>IENG</v>
          </cell>
          <cell r="EB164">
            <v>42220</v>
          </cell>
          <cell r="EE164" t="str">
            <v xml:space="preserve">10 Aug 15:Flood affected_Hold-No access; 4-Aug-15: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I164" t="str">
            <v>M7: 2DG + battery      </v>
          </cell>
          <cell r="EJ164">
            <v>0</v>
          </cell>
          <cell r="EK164">
            <v>42266</v>
          </cell>
          <cell r="EL164">
            <v>42199</v>
          </cell>
          <cell r="EM164">
            <v>42267</v>
          </cell>
          <cell r="EN164">
            <v>42203</v>
          </cell>
          <cell r="EQ164">
            <v>42276</v>
          </cell>
          <cell r="ER164">
            <v>42209</v>
          </cell>
          <cell r="ES164">
            <v>42203</v>
          </cell>
          <cell r="ET164">
            <v>42213</v>
          </cell>
          <cell r="EU164">
            <v>42213</v>
          </cell>
          <cell r="EW164">
            <v>0</v>
          </cell>
          <cell r="EX164">
            <v>42256</v>
          </cell>
          <cell r="EZ164">
            <v>42286</v>
          </cell>
          <cell r="FA164">
            <v>42212</v>
          </cell>
          <cell r="FB164">
            <v>42288</v>
          </cell>
          <cell r="FC164">
            <v>42214</v>
          </cell>
          <cell r="FU164">
            <v>42290</v>
          </cell>
          <cell r="FW164">
            <v>42290</v>
          </cell>
          <cell r="FX164">
            <v>42214</v>
          </cell>
          <cell r="FY164" t="str">
            <v>ABC</v>
          </cell>
          <cell r="FZ164">
            <v>42213</v>
          </cell>
          <cell r="GA164">
            <v>42218</v>
          </cell>
          <cell r="GB164">
            <v>42220</v>
          </cell>
          <cell r="GC164">
            <v>42220</v>
          </cell>
          <cell r="GD164">
            <v>42221</v>
          </cell>
          <cell r="GE164">
            <v>42227</v>
          </cell>
          <cell r="GF164">
            <v>42227</v>
          </cell>
          <cell r="GG164">
            <v>42228</v>
          </cell>
          <cell r="GH164">
            <v>42229</v>
          </cell>
          <cell r="GJ164">
            <v>0</v>
          </cell>
          <cell r="GK164">
            <v>42229</v>
          </cell>
          <cell r="GN164" t="str">
            <v>ERICSSON</v>
          </cell>
          <cell r="GU164" t="str">
            <v xml:space="preserve">		</v>
          </cell>
          <cell r="HD164">
            <v>1</v>
          </cell>
        </row>
        <row r="165">
          <cell r="A165" t="str">
            <v>BA0902</v>
          </cell>
          <cell r="B165" t="str">
            <v>ACBA_0214</v>
          </cell>
          <cell r="C165" t="str">
            <v>Apollo</v>
          </cell>
          <cell r="D165" t="str">
            <v>Emilio Ruiz</v>
          </cell>
          <cell r="F165" t="str">
            <v>Phyo Wai Maung</v>
          </cell>
          <cell r="G165" t="str">
            <v>Cho Yee Thaung</v>
          </cell>
          <cell r="H165" t="str">
            <v>WHITE</v>
          </cell>
          <cell r="I165" t="str">
            <v>South</v>
          </cell>
          <cell r="J165" t="str">
            <v>95.4438567079423</v>
          </cell>
          <cell r="K165" t="str">
            <v>18.1508876016023</v>
          </cell>
          <cell r="L165" t="str">
            <v>Rural</v>
          </cell>
          <cell r="M165" t="str">
            <v>Bago West</v>
          </cell>
          <cell r="N165" t="str">
            <v>Monyo</v>
          </cell>
          <cell r="O165" t="str">
            <v>Monyo</v>
          </cell>
          <cell r="P165" t="str">
            <v>Bago West</v>
          </cell>
          <cell r="Q165" t="str">
            <v>20</v>
          </cell>
          <cell r="R165" t="str">
            <v>Monyo</v>
          </cell>
          <cell r="S165" t="str">
            <v>115</v>
          </cell>
          <cell r="T165" t="str">
            <v>GSM+UMTS</v>
          </cell>
          <cell r="W165" t="str">
            <v>Ph2-Priority</v>
          </cell>
          <cell r="X165" t="str">
            <v>45</v>
          </cell>
          <cell r="Y165" t="str">
            <v>47</v>
          </cell>
          <cell r="Z165" t="str">
            <v>GBT</v>
          </cell>
          <cell r="AA165" t="str">
            <v>500</v>
          </cell>
          <cell r="AB165" t="str">
            <v>Access</v>
          </cell>
          <cell r="AC165" t="str">
            <v>Class C</v>
          </cell>
          <cell r="BH165" t="str">
            <v>IENG</v>
          </cell>
          <cell r="BJ165">
            <v>42116</v>
          </cell>
          <cell r="BK165">
            <v>42121</v>
          </cell>
          <cell r="BL165">
            <v>42121</v>
          </cell>
          <cell r="BM165">
            <v>42121</v>
          </cell>
          <cell r="BT165">
            <v>10</v>
          </cell>
          <cell r="BU165">
            <v>42118</v>
          </cell>
          <cell r="BV165">
            <v>42131</v>
          </cell>
          <cell r="BW165" t="str">
            <v>95.4429</v>
          </cell>
          <cell r="BX165" t="str">
            <v>18.15229</v>
          </cell>
          <cell r="BY165" t="str">
            <v>C1</v>
          </cell>
          <cell r="BZ165" t="str">
            <v>No(26). Yay Kinn village track, North village, Moe Nyo township,Tharyarwady distinct ,Bago division.</v>
          </cell>
          <cell r="CA165" t="str">
            <v>Daw Htay Win;No(26). Yay Kinn village track, North village, Moe Nyo township,Tharyarwady distinct ,Bago division;09 25025264 , 09 30363543</v>
          </cell>
          <cell r="CB165" t="str">
            <v>7May15: C1 SAR Sub.</v>
          </cell>
          <cell r="CC165" t="str">
            <v>Farm Land</v>
          </cell>
          <cell r="CE165">
            <v>5</v>
          </cell>
          <cell r="CF165">
            <v>42119</v>
          </cell>
          <cell r="CG165">
            <v>42136</v>
          </cell>
          <cell r="CH165">
            <v>42121</v>
          </cell>
          <cell r="CJ165">
            <v>42142</v>
          </cell>
          <cell r="CK165" t="str">
            <v>45</v>
          </cell>
          <cell r="CL165" t="str">
            <v>47</v>
          </cell>
          <cell r="CM165" t="str">
            <v>45</v>
          </cell>
          <cell r="CN165">
            <v>7</v>
          </cell>
          <cell r="CO165">
            <v>42124</v>
          </cell>
          <cell r="CP165">
            <v>42143</v>
          </cell>
          <cell r="CQ165" t="str">
            <v>M4: solar + DG + battery</v>
          </cell>
          <cell r="CR165">
            <v>1</v>
          </cell>
          <cell r="CS165">
            <v>42125</v>
          </cell>
          <cell r="CT165">
            <v>42144</v>
          </cell>
          <cell r="CU165" t="str">
            <v>BA0902</v>
          </cell>
          <cell r="DH165">
            <v>12</v>
          </cell>
          <cell r="DI165">
            <v>42163</v>
          </cell>
          <cell r="DJ165">
            <v>42156</v>
          </cell>
          <cell r="DK165">
            <v>42160</v>
          </cell>
          <cell r="DL165">
            <v>42182</v>
          </cell>
          <cell r="DM165">
            <v>42164</v>
          </cell>
          <cell r="DN165">
            <v>42182</v>
          </cell>
          <cell r="DO165">
            <v>1</v>
          </cell>
          <cell r="DP165">
            <v>42163</v>
          </cell>
          <cell r="DQ165">
            <v>42157</v>
          </cell>
          <cell r="DT165">
            <v>76</v>
          </cell>
          <cell r="DU165">
            <v>42178</v>
          </cell>
          <cell r="DW165">
            <v>0</v>
          </cell>
          <cell r="DY165">
            <v>42164</v>
          </cell>
          <cell r="DZ165">
            <v>42173</v>
          </cell>
          <cell r="EA165" t="str">
            <v>IENG</v>
          </cell>
          <cell r="ED165" t="str">
            <v>14Jul15 :ChoYee.Thaung: 9/7/15 : Pedestal will cast today_x000D_
3/7/15 : Footing casted on going now and will finish to night
24Jun15 :ChoYee.Thaung: Excavation done, lean done</v>
          </cell>
          <cell r="EI165" t="str">
            <v>M7: 2DG + battery      </v>
          </cell>
          <cell r="EJ165">
            <v>25</v>
          </cell>
          <cell r="EK165">
            <v>42186</v>
          </cell>
          <cell r="EL165">
            <v>42198</v>
          </cell>
          <cell r="EM165">
            <v>42187</v>
          </cell>
          <cell r="EN165">
            <v>42202</v>
          </cell>
          <cell r="EQ165">
            <v>42199</v>
          </cell>
          <cell r="ER165">
            <v>42216</v>
          </cell>
          <cell r="ES165">
            <v>42213</v>
          </cell>
          <cell r="ET165">
            <v>42216</v>
          </cell>
          <cell r="EU165">
            <v>42216</v>
          </cell>
          <cell r="EW165">
            <v>60</v>
          </cell>
          <cell r="EX165">
            <v>42213</v>
          </cell>
          <cell r="EZ165">
            <v>42209</v>
          </cell>
          <cell r="FA165">
            <v>42216</v>
          </cell>
          <cell r="FB165">
            <v>42211</v>
          </cell>
          <cell r="FC165">
            <v>42223</v>
          </cell>
          <cell r="FE165">
            <v>42193</v>
          </cell>
          <cell r="FU165">
            <v>42213</v>
          </cell>
          <cell r="FW165">
            <v>42213</v>
          </cell>
          <cell r="FX165">
            <v>42226</v>
          </cell>
          <cell r="FY165" t="str">
            <v>AZM</v>
          </cell>
          <cell r="FZ165">
            <v>42193</v>
          </cell>
          <cell r="GA165">
            <v>42194</v>
          </cell>
          <cell r="GB165">
            <v>42195</v>
          </cell>
          <cell r="GC165">
            <v>42216</v>
          </cell>
          <cell r="GD165">
            <v>42219</v>
          </cell>
          <cell r="GE165">
            <v>42195</v>
          </cell>
          <cell r="GF165">
            <v>42200</v>
          </cell>
          <cell r="GG165">
            <v>42227</v>
          </cell>
          <cell r="GH165">
            <v>42227</v>
          </cell>
          <cell r="GI165">
            <v>42246</v>
          </cell>
          <cell r="GJ165" t="str">
            <v>36-2015</v>
          </cell>
          <cell r="GK165">
            <v>42227</v>
          </cell>
          <cell r="GN165" t="str">
            <v>ERICSSON</v>
          </cell>
          <cell r="GO165">
            <v>42150</v>
          </cell>
          <cell r="GU165" t="str">
            <v xml:space="preserve">		</v>
          </cell>
          <cell r="HD165">
            <v>1</v>
          </cell>
        </row>
        <row r="166">
          <cell r="A166" t="str">
            <v>BA0903</v>
          </cell>
          <cell r="B166" t="str">
            <v>ACBA_0215</v>
          </cell>
          <cell r="C166" t="str">
            <v>Apollo</v>
          </cell>
          <cell r="D166" t="str">
            <v>Emilio Ruiz</v>
          </cell>
          <cell r="F166" t="str">
            <v>Phyo Wai Maung</v>
          </cell>
          <cell r="G166" t="str">
            <v>Cho Yee Thaung</v>
          </cell>
          <cell r="H166" t="str">
            <v>AMBER</v>
          </cell>
          <cell r="I166" t="str">
            <v>South</v>
          </cell>
          <cell r="J166" t="str">
            <v>95.5263710628405</v>
          </cell>
          <cell r="K166" t="str">
            <v>17.9180172890384</v>
          </cell>
          <cell r="L166" t="str">
            <v>Rural</v>
          </cell>
          <cell r="M166" t="str">
            <v>Bago West</v>
          </cell>
          <cell r="N166" t="str">
            <v>Monyo</v>
          </cell>
          <cell r="O166" t="str">
            <v>Monyo</v>
          </cell>
          <cell r="P166" t="str">
            <v>Bago West</v>
          </cell>
          <cell r="Q166" t="str">
            <v>20</v>
          </cell>
          <cell r="R166" t="str">
            <v>Monyo</v>
          </cell>
          <cell r="S166" t="str">
            <v>115</v>
          </cell>
          <cell r="T166" t="str">
            <v>GSM+UMTS</v>
          </cell>
          <cell r="W166" t="str">
            <v>Ph2-Priority</v>
          </cell>
          <cell r="X166" t="str">
            <v>45</v>
          </cell>
          <cell r="Y166" t="str">
            <v>47</v>
          </cell>
          <cell r="Z166" t="str">
            <v>GBT</v>
          </cell>
          <cell r="AA166" t="str">
            <v>500</v>
          </cell>
          <cell r="AB166" t="str">
            <v>Access</v>
          </cell>
          <cell r="AC166" t="str">
            <v>Class C</v>
          </cell>
          <cell r="BH166" t="str">
            <v>IENG</v>
          </cell>
          <cell r="BJ166">
            <v>42168</v>
          </cell>
          <cell r="BK166">
            <v>42121</v>
          </cell>
          <cell r="BL166">
            <v>42173</v>
          </cell>
          <cell r="BM166">
            <v>42145</v>
          </cell>
          <cell r="BT166">
            <v>65</v>
          </cell>
          <cell r="BU166">
            <v>42164</v>
          </cell>
          <cell r="BV166">
            <v>42186</v>
          </cell>
          <cell r="BW166" t="str">
            <v>95.526931</v>
          </cell>
          <cell r="BX166" t="str">
            <v>17.922547</v>
          </cell>
          <cell r="BY166" t="str">
            <v>C1</v>
          </cell>
          <cell r="BZ166" t="str">
            <v>Aung Chan Thar Quarter, Htut Myat Village,Gyo Pin Thar Group, Moenyo Township.</v>
          </cell>
          <cell r="CA166" t="str">
            <v>U Thaung Sein(09420169513)</v>
          </cell>
          <cell r="CB166" t="str">
            <v>12Jun15: C1 SAR Sub on Friday 8PM</v>
          </cell>
          <cell r="CC166" t="str">
            <v>RESIDENTAIL</v>
          </cell>
          <cell r="CE166">
            <v>1</v>
          </cell>
          <cell r="CF166">
            <v>42165</v>
          </cell>
          <cell r="CG166">
            <v>42187</v>
          </cell>
          <cell r="CH166">
            <v>42167</v>
          </cell>
          <cell r="CJ166">
            <v>42189</v>
          </cell>
          <cell r="CK166" t="str">
            <v>45</v>
          </cell>
          <cell r="CL166" t="str">
            <v>47</v>
          </cell>
          <cell r="CM166" t="str">
            <v>45</v>
          </cell>
          <cell r="CN166">
            <v>4</v>
          </cell>
          <cell r="CO166">
            <v>42170</v>
          </cell>
          <cell r="CP166">
            <v>42191</v>
          </cell>
          <cell r="CQ166" t="str">
            <v>M4: solar + DG + battery</v>
          </cell>
          <cell r="CR166">
            <v>4</v>
          </cell>
          <cell r="CS166">
            <v>42171</v>
          </cell>
          <cell r="CT166">
            <v>42195</v>
          </cell>
          <cell r="CU166" t="str">
            <v>BA0903</v>
          </cell>
          <cell r="DH166">
            <v>7</v>
          </cell>
          <cell r="DI166">
            <v>42181</v>
          </cell>
          <cell r="DJ166">
            <v>42202</v>
          </cell>
          <cell r="DK166">
            <v>42178</v>
          </cell>
          <cell r="DL166">
            <v>42242</v>
          </cell>
          <cell r="DM166">
            <v>42182</v>
          </cell>
          <cell r="DN166">
            <v>42187</v>
          </cell>
          <cell r="DO166">
            <v>0</v>
          </cell>
          <cell r="DP166">
            <v>42181</v>
          </cell>
          <cell r="DQ166">
            <v>42202</v>
          </cell>
          <cell r="DT166">
            <v>31</v>
          </cell>
          <cell r="DU166">
            <v>42196</v>
          </cell>
          <cell r="DW166">
            <v>0</v>
          </cell>
          <cell r="DY166">
            <v>42182</v>
          </cell>
          <cell r="DZ166">
            <v>42203</v>
          </cell>
          <cell r="EA166" t="str">
            <v>IENG</v>
          </cell>
          <cell r="EB166">
            <v>42216</v>
          </cell>
          <cell r="EE166"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166">
            <v>30</v>
          </cell>
          <cell r="EK166">
            <v>42204</v>
          </cell>
          <cell r="EM166">
            <v>42205</v>
          </cell>
          <cell r="EQ166">
            <v>42217</v>
          </cell>
          <cell r="EW166">
            <v>30</v>
          </cell>
          <cell r="EX166">
            <v>42231</v>
          </cell>
          <cell r="EZ166">
            <v>42227</v>
          </cell>
          <cell r="FB166">
            <v>42229</v>
          </cell>
          <cell r="FU166">
            <v>42231</v>
          </cell>
          <cell r="FW166">
            <v>42231</v>
          </cell>
          <cell r="GI166">
            <v>42307</v>
          </cell>
          <cell r="GJ166" t="str">
            <v>44-2015</v>
          </cell>
          <cell r="GN166" t="str">
            <v>ERICSSON</v>
          </cell>
          <cell r="GU166" t="str">
            <v xml:space="preserve">		</v>
          </cell>
          <cell r="HD166">
            <v>1</v>
          </cell>
        </row>
        <row r="167">
          <cell r="A167" t="str">
            <v>BA0905</v>
          </cell>
          <cell r="B167" t="str">
            <v>ACBA_0216</v>
          </cell>
          <cell r="C167" t="str">
            <v>Apollo</v>
          </cell>
          <cell r="D167" t="str">
            <v>Emilio Ruiz</v>
          </cell>
          <cell r="F167" t="str">
            <v>Phyo Wai Maung</v>
          </cell>
          <cell r="G167" t="str">
            <v>Cho Yee Thaung</v>
          </cell>
          <cell r="H167" t="str">
            <v>AMBER</v>
          </cell>
          <cell r="I167" t="str">
            <v>South</v>
          </cell>
          <cell r="J167" t="str">
            <v>95.4424791169756</v>
          </cell>
          <cell r="K167" t="str">
            <v>18.1911883903875</v>
          </cell>
          <cell r="L167" t="str">
            <v>Rural</v>
          </cell>
          <cell r="M167" t="str">
            <v>Bago West</v>
          </cell>
          <cell r="N167" t="str">
            <v>Monyo</v>
          </cell>
          <cell r="O167" t="str">
            <v>Monyo</v>
          </cell>
          <cell r="P167" t="str">
            <v>Bago West</v>
          </cell>
          <cell r="Q167" t="str">
            <v>20</v>
          </cell>
          <cell r="R167" t="str">
            <v>Monyo</v>
          </cell>
          <cell r="S167" t="str">
            <v>115</v>
          </cell>
          <cell r="T167" t="str">
            <v>GSM+UMTS</v>
          </cell>
          <cell r="W167" t="str">
            <v>Ph2-Priority</v>
          </cell>
          <cell r="X167" t="str">
            <v>45</v>
          </cell>
          <cell r="Y167" t="str">
            <v>47</v>
          </cell>
          <cell r="Z167" t="str">
            <v>GBT</v>
          </cell>
          <cell r="AA167" t="str">
            <v>500</v>
          </cell>
          <cell r="AB167" t="str">
            <v>Access</v>
          </cell>
          <cell r="AC167" t="str">
            <v>Class C</v>
          </cell>
          <cell r="BH167" t="str">
            <v>IENG</v>
          </cell>
          <cell r="BJ167">
            <v>42147</v>
          </cell>
          <cell r="BK167">
            <v>42125</v>
          </cell>
          <cell r="BL167">
            <v>42152</v>
          </cell>
          <cell r="BM167">
            <v>42129</v>
          </cell>
          <cell r="BT167">
            <v>59</v>
          </cell>
          <cell r="BU167">
            <v>42199</v>
          </cell>
          <cell r="BV167">
            <v>42184</v>
          </cell>
          <cell r="BW167" t="str">
            <v>95.439114</v>
          </cell>
          <cell r="BX167" t="str">
            <v>18.192296</v>
          </cell>
          <cell r="BY167" t="str">
            <v>C2</v>
          </cell>
          <cell r="BZ167" t="str">
            <v>OE BO KYUN VILLAGE, OE BO KYUN VILLAGE GROUP,MOE NYO TOWNSHIP, BAGO DIVISION.</v>
          </cell>
          <cell r="CA167" t="str">
            <v>U Myint Zaw;OE BO KYUN VILLAGE, OE BO KYUN VILLAGE GROUP,MOE NYO TOWNSHIP, BAGO DIVISION;09 49265782 , 09 796815226</v>
          </cell>
          <cell r="CB167" t="str">
            <v>29 June 15 : C2 SAR sub( C1 Rejected AT);18 May 15: C1 SAR app;15May15: C1 SAR Sub.</v>
          </cell>
          <cell r="CC167" t="str">
            <v>RESIDENTIAL</v>
          </cell>
          <cell r="CE167">
            <v>1</v>
          </cell>
          <cell r="CF167">
            <v>42200</v>
          </cell>
          <cell r="CG167">
            <v>42185</v>
          </cell>
          <cell r="CH167">
            <v>42202</v>
          </cell>
          <cell r="CJ167">
            <v>42186</v>
          </cell>
          <cell r="CK167" t="str">
            <v>45</v>
          </cell>
          <cell r="CL167" t="str">
            <v>47</v>
          </cell>
          <cell r="CM167" t="str">
            <v>50</v>
          </cell>
          <cell r="CN167">
            <v>3</v>
          </cell>
          <cell r="CO167">
            <v>42205</v>
          </cell>
          <cell r="CP167">
            <v>42188</v>
          </cell>
          <cell r="CQ167" t="str">
            <v>M4: solar + DG + battery</v>
          </cell>
          <cell r="CR167">
            <v>3</v>
          </cell>
          <cell r="CS167">
            <v>42206</v>
          </cell>
          <cell r="CT167">
            <v>42191</v>
          </cell>
          <cell r="CU167" t="str">
            <v>BA0905</v>
          </cell>
          <cell r="DH167">
            <v>11</v>
          </cell>
          <cell r="DI167">
            <v>42216</v>
          </cell>
          <cell r="DJ167">
            <v>42202</v>
          </cell>
          <cell r="DK167">
            <v>42213</v>
          </cell>
          <cell r="DL167">
            <v>42207</v>
          </cell>
          <cell r="DM167">
            <v>42217</v>
          </cell>
          <cell r="DO167">
            <v>0</v>
          </cell>
          <cell r="DP167">
            <v>42216</v>
          </cell>
          <cell r="DQ167">
            <v>42202</v>
          </cell>
          <cell r="DT167">
            <v>31</v>
          </cell>
          <cell r="DU167">
            <v>42231</v>
          </cell>
          <cell r="DW167">
            <v>0</v>
          </cell>
          <cell r="DY167">
            <v>42217</v>
          </cell>
          <cell r="DZ167">
            <v>42203</v>
          </cell>
          <cell r="EA167" t="str">
            <v>IENG</v>
          </cell>
          <cell r="EB167">
            <v>42216</v>
          </cell>
          <cell r="EE167"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30-Jul-15:on going excavation, dewatering due to flood								</v>
          </cell>
          <cell r="EJ167">
            <v>30</v>
          </cell>
          <cell r="EK167">
            <v>42234</v>
          </cell>
          <cell r="EM167">
            <v>42235</v>
          </cell>
          <cell r="EN167">
            <v>42248</v>
          </cell>
          <cell r="EQ167">
            <v>42244</v>
          </cell>
          <cell r="EW167">
            <v>30</v>
          </cell>
          <cell r="EX167">
            <v>42258</v>
          </cell>
          <cell r="EZ167">
            <v>42254</v>
          </cell>
          <cell r="FB167">
            <v>42256</v>
          </cell>
          <cell r="FU167">
            <v>42258</v>
          </cell>
          <cell r="FW167">
            <v>42258</v>
          </cell>
          <cell r="FY167" t="str">
            <v>EM</v>
          </cell>
          <cell r="FZ167">
            <v>42250</v>
          </cell>
          <cell r="GI167">
            <v>42307</v>
          </cell>
          <cell r="GJ167" t="str">
            <v>44-2015</v>
          </cell>
          <cell r="GL167" t="str">
            <v>Equipment Required :: Dispatch 4th Sep</v>
          </cell>
          <cell r="GN167" t="str">
            <v xml:space="preserve">ERICSSON </v>
          </cell>
          <cell r="GO167">
            <v>42150</v>
          </cell>
          <cell r="GQ167" t="str">
            <v xml:space="preserve">Equipment Not Delivered; </v>
          </cell>
          <cell r="GU167" t="str">
            <v xml:space="preserve">		</v>
          </cell>
          <cell r="HD167">
            <v>1</v>
          </cell>
        </row>
        <row r="168">
          <cell r="A168" t="str">
            <v>BA0906</v>
          </cell>
          <cell r="B168" t="str">
            <v>ACBA_0217</v>
          </cell>
          <cell r="C168" t="str">
            <v>Apollo</v>
          </cell>
          <cell r="D168" t="str">
            <v>Chris Thomson</v>
          </cell>
          <cell r="F168" t="str">
            <v>Phyo Wai Maung</v>
          </cell>
          <cell r="G168" t="str">
            <v>Cho Yee Thaung</v>
          </cell>
          <cell r="H168" t="str">
            <v>RED</v>
          </cell>
          <cell r="I168" t="str">
            <v>South</v>
          </cell>
          <cell r="J168" t="str">
            <v>95.436841</v>
          </cell>
          <cell r="K168" t="str">
            <v>18.259515</v>
          </cell>
          <cell r="L168" t="str">
            <v>Rural</v>
          </cell>
          <cell r="M168" t="str">
            <v>Bago West</v>
          </cell>
          <cell r="N168" t="str">
            <v>Monyo</v>
          </cell>
          <cell r="O168" t="str">
            <v>Monyo</v>
          </cell>
          <cell r="P168" t="str">
            <v>Bago West</v>
          </cell>
          <cell r="Q168" t="str">
            <v>20</v>
          </cell>
          <cell r="R168" t="str">
            <v>Monyo</v>
          </cell>
          <cell r="S168" t="str">
            <v>115</v>
          </cell>
          <cell r="T168" t="str">
            <v>GSM+UMTS</v>
          </cell>
          <cell r="W168" t="str">
            <v>Ph2-Priority</v>
          </cell>
          <cell r="X168" t="str">
            <v>45</v>
          </cell>
          <cell r="Y168" t="str">
            <v>47</v>
          </cell>
          <cell r="Z168" t="str">
            <v>GBT</v>
          </cell>
          <cell r="AA168" t="str">
            <v>500</v>
          </cell>
          <cell r="AB168" t="str">
            <v>Access</v>
          </cell>
          <cell r="AC168" t="str">
            <v>Class C</v>
          </cell>
          <cell r="BE168" t="str">
            <v>Route 17 Monywa - Tamu</v>
          </cell>
          <cell r="BH168" t="str">
            <v>IENG</v>
          </cell>
          <cell r="BJ168">
            <v>42168</v>
          </cell>
          <cell r="BK168">
            <v>42121</v>
          </cell>
          <cell r="BL168">
            <v>42173</v>
          </cell>
          <cell r="BM168">
            <v>42124</v>
          </cell>
          <cell r="BT168">
            <v>61</v>
          </cell>
          <cell r="BU168">
            <v>42164</v>
          </cell>
          <cell r="BV168">
            <v>42182</v>
          </cell>
          <cell r="BW168" t="str">
            <v>95.43743</v>
          </cell>
          <cell r="BX168" t="str">
            <v>18.269</v>
          </cell>
          <cell r="BY168" t="str">
            <v>C4</v>
          </cell>
          <cell r="BZ168" t="str">
            <v>Yay Mhwe  Village, Nat Ta Lin Township.Bago</v>
          </cell>
          <cell r="CA168" t="str">
            <v>U Zaw Min Htike</v>
          </cell>
          <cell r="CB168" t="str">
            <v>28 July 15:C2-SAR submission;17 June 15 : C1 SAR rejected(RND rejected because this site is 1.88km far from the nominal point. Please find the new candidate at near the nominal point.);15Jun15: C1 SAR Sub</v>
          </cell>
          <cell r="CC168" t="str">
            <v>Residential</v>
          </cell>
          <cell r="CE168">
            <v>3</v>
          </cell>
          <cell r="CF168">
            <v>42165</v>
          </cell>
          <cell r="CG168">
            <v>42185</v>
          </cell>
          <cell r="CH168">
            <v>42167</v>
          </cell>
          <cell r="CJ168">
            <v>42212</v>
          </cell>
          <cell r="CK168" t="str">
            <v>45</v>
          </cell>
          <cell r="CL168" t="str">
            <v>47</v>
          </cell>
          <cell r="CM168" t="str">
            <v>60</v>
          </cell>
          <cell r="CN168">
            <v>29</v>
          </cell>
          <cell r="CO168">
            <v>42170</v>
          </cell>
          <cell r="CP168">
            <v>42214</v>
          </cell>
          <cell r="CQ168" t="str">
            <v>M4: solar + DG + battery</v>
          </cell>
          <cell r="CR168">
            <v>1</v>
          </cell>
          <cell r="CS168">
            <v>42171</v>
          </cell>
          <cell r="CT168">
            <v>42215</v>
          </cell>
          <cell r="CU168" t="str">
            <v>BA0906</v>
          </cell>
          <cell r="DH168">
            <v>18</v>
          </cell>
          <cell r="DI168">
            <v>42181</v>
          </cell>
          <cell r="DK168">
            <v>42178</v>
          </cell>
          <cell r="DL168">
            <v>42227</v>
          </cell>
          <cell r="DM168">
            <v>42182</v>
          </cell>
          <cell r="DO168">
            <v>0</v>
          </cell>
          <cell r="DP168">
            <v>42181</v>
          </cell>
          <cell r="DT168">
            <v>0</v>
          </cell>
          <cell r="DU168">
            <v>42196</v>
          </cell>
          <cell r="DW168">
            <v>0</v>
          </cell>
          <cell r="DY168">
            <v>42182</v>
          </cell>
          <cell r="EA168" t="str">
            <v>IENG</v>
          </cell>
          <cell r="EJ168">
            <v>0</v>
          </cell>
          <cell r="EK168">
            <v>42204</v>
          </cell>
          <cell r="EM168">
            <v>42205</v>
          </cell>
          <cell r="EQ168">
            <v>42217</v>
          </cell>
          <cell r="EW168">
            <v>0</v>
          </cell>
          <cell r="EX168">
            <v>42231</v>
          </cell>
          <cell r="EZ168">
            <v>42227</v>
          </cell>
          <cell r="FB168">
            <v>42229</v>
          </cell>
          <cell r="FU168">
            <v>42231</v>
          </cell>
          <cell r="FW168">
            <v>42231</v>
          </cell>
          <cell r="GJ168">
            <v>0</v>
          </cell>
          <cell r="GN168" t="str">
            <v>ERICSSON</v>
          </cell>
          <cell r="GU168" t="str">
            <v xml:space="preserve">		</v>
          </cell>
          <cell r="HD168">
            <v>1</v>
          </cell>
        </row>
        <row r="169">
          <cell r="A169" t="str">
            <v>BA0911</v>
          </cell>
          <cell r="B169" t="str">
            <v>ACBA_0218</v>
          </cell>
          <cell r="C169" t="str">
            <v>Apollo</v>
          </cell>
          <cell r="D169" t="str">
            <v>Emilio Ruiz</v>
          </cell>
          <cell r="F169" t="str">
            <v>Phyo Wai Maung</v>
          </cell>
          <cell r="G169" t="str">
            <v>Cho Yee Thaung</v>
          </cell>
          <cell r="H169" t="str">
            <v>WHITE</v>
          </cell>
          <cell r="I169" t="str">
            <v>South</v>
          </cell>
          <cell r="J169" t="str">
            <v>95.5021838194676</v>
          </cell>
          <cell r="K169" t="str">
            <v>18.0112253756068</v>
          </cell>
          <cell r="L169" t="str">
            <v>Suburban</v>
          </cell>
          <cell r="M169" t="str">
            <v>Bago West</v>
          </cell>
          <cell r="N169" t="str">
            <v>Monyo</v>
          </cell>
          <cell r="O169" t="str">
            <v>Monyo</v>
          </cell>
          <cell r="P169" t="str">
            <v>Bago West</v>
          </cell>
          <cell r="Q169" t="str">
            <v>20</v>
          </cell>
          <cell r="R169" t="str">
            <v>Monyo</v>
          </cell>
          <cell r="S169" t="str">
            <v>115</v>
          </cell>
          <cell r="T169" t="str">
            <v>GSM+UMTS</v>
          </cell>
          <cell r="W169" t="str">
            <v>Ph2-Priority</v>
          </cell>
          <cell r="X169" t="str">
            <v>35</v>
          </cell>
          <cell r="Y169" t="str">
            <v>35</v>
          </cell>
          <cell r="Z169" t="str">
            <v>GBT</v>
          </cell>
          <cell r="AA169" t="str">
            <v>250</v>
          </cell>
          <cell r="AB169" t="str">
            <v>Access</v>
          </cell>
          <cell r="AC169" t="str">
            <v>Class B</v>
          </cell>
          <cell r="BE169" t="str">
            <v>Route 7 Bago - Pyawbwe</v>
          </cell>
          <cell r="BH169" t="str">
            <v>IENG</v>
          </cell>
          <cell r="BJ169">
            <v>42129</v>
          </cell>
          <cell r="BK169">
            <v>42121</v>
          </cell>
          <cell r="BL169">
            <v>42134</v>
          </cell>
          <cell r="BM169">
            <v>42124</v>
          </cell>
          <cell r="BT169">
            <v>13</v>
          </cell>
          <cell r="BU169">
            <v>42134</v>
          </cell>
          <cell r="BV169">
            <v>42134</v>
          </cell>
          <cell r="BW169" t="str">
            <v>95.5027</v>
          </cell>
          <cell r="BX169" t="str">
            <v>18.01228</v>
          </cell>
          <cell r="BY169" t="str">
            <v>C1</v>
          </cell>
          <cell r="BZ169" t="str">
            <v>Ywar Ma Quarter, Ngal Pyaw Tone village,Monyo.</v>
          </cell>
          <cell r="CA169" t="str">
            <v>U Own Kyi;No(338), Ywar Ma Quarter, Ngat Pyaw Tone Village, Nyaung Wine Village Track,Moe Nyo township,Tharyarwady distinct ,Bago division;09 252188385</v>
          </cell>
          <cell r="CB169" t="str">
            <v>11 Aug 15 : C1 updated TSSR checklist given from E// because of updating  the routing links ;10 May 15: C1 SAR Sub.</v>
          </cell>
          <cell r="CC169" t="str">
            <v>Garden Land</v>
          </cell>
          <cell r="CE169">
            <v>2</v>
          </cell>
          <cell r="CF169">
            <v>42135</v>
          </cell>
          <cell r="CG169">
            <v>42136</v>
          </cell>
          <cell r="CH169">
            <v>42160</v>
          </cell>
          <cell r="CJ169">
            <v>42153</v>
          </cell>
          <cell r="CK169" t="str">
            <v>35</v>
          </cell>
          <cell r="CL169" t="str">
            <v>37</v>
          </cell>
          <cell r="CM169" t="str">
            <v>35</v>
          </cell>
          <cell r="CN169">
            <v>20</v>
          </cell>
          <cell r="CO169">
            <v>42163</v>
          </cell>
          <cell r="CP169">
            <v>42156</v>
          </cell>
          <cell r="CQ169" t="str">
            <v>M4: solar + DG + battery</v>
          </cell>
          <cell r="CR169">
            <v>1</v>
          </cell>
          <cell r="CS169">
            <v>42164</v>
          </cell>
          <cell r="CT169">
            <v>42157</v>
          </cell>
          <cell r="CU169" t="str">
            <v>BA0911</v>
          </cell>
          <cell r="DH169">
            <v>8</v>
          </cell>
          <cell r="DI169">
            <v>42174</v>
          </cell>
          <cell r="DJ169">
            <v>42165</v>
          </cell>
          <cell r="DK169">
            <v>42171</v>
          </cell>
          <cell r="DL169">
            <v>42167</v>
          </cell>
          <cell r="DM169">
            <v>42175</v>
          </cell>
          <cell r="DN169">
            <v>42167</v>
          </cell>
          <cell r="DO169">
            <v>0</v>
          </cell>
          <cell r="DP169">
            <v>42174</v>
          </cell>
          <cell r="DQ169">
            <v>42165</v>
          </cell>
          <cell r="DT169">
            <v>68</v>
          </cell>
          <cell r="DU169">
            <v>42189</v>
          </cell>
          <cell r="DW169">
            <v>0</v>
          </cell>
          <cell r="DY169">
            <v>42175</v>
          </cell>
          <cell r="DZ169">
            <v>42168</v>
          </cell>
          <cell r="EA169" t="str">
            <v>IEng</v>
          </cell>
          <cell r="ED169" t="str">
            <v>13Jul15 :ChoYee.Thaung: 3//7/15 : Pedestal casted done (2/7/15),steel cutting done for equ pad_x000D_
1/7/15 : Rebar work done, Footing casted done, Anchor bolt and template install and setting on going
24Jun15 :ChoYee.Thaung: 18/6/15 : Anchor bolt and template on site, Excavation done and prepare to do lean concrete_x000D_
16/6/15: Excavation on going</v>
          </cell>
          <cell r="EF169" t="str">
            <v>Asian geneious Co.,Ltd</v>
          </cell>
          <cell r="EI169" t="str">
            <v>M7: 2DG + battery      </v>
          </cell>
          <cell r="EJ169">
            <v>23</v>
          </cell>
          <cell r="EK169">
            <v>42190</v>
          </cell>
          <cell r="EL169">
            <v>42191</v>
          </cell>
          <cell r="EM169">
            <v>42191</v>
          </cell>
          <cell r="EN169">
            <v>42191</v>
          </cell>
          <cell r="EQ169">
            <v>42198</v>
          </cell>
          <cell r="ER169">
            <v>42197</v>
          </cell>
          <cell r="ES169">
            <v>42193</v>
          </cell>
          <cell r="ET169">
            <v>42197</v>
          </cell>
          <cell r="EU169">
            <v>42197</v>
          </cell>
          <cell r="EW169">
            <v>65</v>
          </cell>
          <cell r="EX169">
            <v>42212</v>
          </cell>
          <cell r="EY169">
            <v>42242</v>
          </cell>
          <cell r="EZ169">
            <v>42208</v>
          </cell>
          <cell r="FA169">
            <v>42201</v>
          </cell>
          <cell r="FB169">
            <v>42210</v>
          </cell>
          <cell r="FC169">
            <v>42205</v>
          </cell>
          <cell r="FE169">
            <v>42179</v>
          </cell>
          <cell r="FU169">
            <v>42212</v>
          </cell>
          <cell r="FW169">
            <v>42212</v>
          </cell>
          <cell r="FX169">
            <v>42205</v>
          </cell>
          <cell r="FY169" t="str">
            <v>AZM</v>
          </cell>
          <cell r="FZ169">
            <v>42192</v>
          </cell>
          <cell r="GA169">
            <v>42194</v>
          </cell>
          <cell r="GB169">
            <v>42194</v>
          </cell>
          <cell r="GC169">
            <v>42198</v>
          </cell>
          <cell r="GD169">
            <v>42198</v>
          </cell>
          <cell r="GE169">
            <v>42194</v>
          </cell>
          <cell r="GF169">
            <v>42200</v>
          </cell>
          <cell r="GG169">
            <v>42205</v>
          </cell>
          <cell r="GH169">
            <v>42205</v>
          </cell>
          <cell r="GI169">
            <v>42216</v>
          </cell>
          <cell r="GJ169" t="str">
            <v>30-2015</v>
          </cell>
          <cell r="GK169">
            <v>42205</v>
          </cell>
          <cell r="GN169" t="str">
            <v xml:space="preserve">ERICSSON </v>
          </cell>
          <cell r="GO169">
            <v>42150</v>
          </cell>
          <cell r="GU169" t="str">
            <v xml:space="preserve">		</v>
          </cell>
          <cell r="HD169">
            <v>1</v>
          </cell>
        </row>
        <row r="170">
          <cell r="A170" t="str">
            <v>BA0912</v>
          </cell>
          <cell r="B170" t="str">
            <v>ACBA_0219</v>
          </cell>
          <cell r="C170" t="str">
            <v>Apollo</v>
          </cell>
          <cell r="D170" t="str">
            <v>Robert</v>
          </cell>
          <cell r="F170" t="str">
            <v>Phyo Wai Maung</v>
          </cell>
          <cell r="G170" t="str">
            <v>Saw Pyie Zin Nyein</v>
          </cell>
          <cell r="H170" t="str">
            <v>RED</v>
          </cell>
          <cell r="I170" t="str">
            <v>South</v>
          </cell>
          <cell r="J170" t="str">
            <v>96.935472</v>
          </cell>
          <cell r="K170" t="str">
            <v>17.96094</v>
          </cell>
          <cell r="L170" t="str">
            <v>Rural</v>
          </cell>
          <cell r="M170" t="str">
            <v>Bago East</v>
          </cell>
          <cell r="N170" t="str">
            <v>Shwegyin</v>
          </cell>
          <cell r="O170" t="str">
            <v>Shwegyin</v>
          </cell>
          <cell r="P170" t="str">
            <v>Bago East</v>
          </cell>
          <cell r="Q170" t="str">
            <v>19</v>
          </cell>
          <cell r="R170" t="str">
            <v>Shwegyin</v>
          </cell>
          <cell r="S170" t="str">
            <v>96</v>
          </cell>
          <cell r="T170" t="str">
            <v>GSM+UMTS</v>
          </cell>
          <cell r="W170" t="str">
            <v>Ph2-Priority</v>
          </cell>
          <cell r="X170" t="str">
            <v>45</v>
          </cell>
          <cell r="Y170" t="str">
            <v>45</v>
          </cell>
          <cell r="Z170" t="str">
            <v>GBT</v>
          </cell>
          <cell r="AA170" t="str">
            <v>500</v>
          </cell>
          <cell r="AB170" t="str">
            <v>Access</v>
          </cell>
          <cell r="AC170" t="str">
            <v>Class C</v>
          </cell>
          <cell r="BE170" t="str">
            <v>Route 1 Yangon - Mandalay</v>
          </cell>
          <cell r="BH170" t="str">
            <v>KTT</v>
          </cell>
          <cell r="BJ170">
            <v>42152</v>
          </cell>
          <cell r="BK170">
            <v>42130</v>
          </cell>
          <cell r="BL170">
            <v>42157</v>
          </cell>
          <cell r="BM170">
            <v>42148</v>
          </cell>
          <cell r="BT170">
            <v>103</v>
          </cell>
          <cell r="BU170">
            <v>42189</v>
          </cell>
          <cell r="BV170">
            <v>42158</v>
          </cell>
          <cell r="BW170" t="str">
            <v>95.62318</v>
          </cell>
          <cell r="BX170" t="str">
            <v>18.34863</v>
          </cell>
          <cell r="BY170" t="str">
            <v>C2</v>
          </cell>
          <cell r="BZ170" t="str">
            <v>Coner of Bogyoke Street and  (11)Street,Zi gon.</v>
          </cell>
          <cell r="CA170" t="str">
            <v>Daw Aye Aye San;Cherry Myaing (1)Street,Zee Gone;09-973915324,</v>
          </cell>
          <cell r="CB170" t="str">
            <v>3June15: C2 SAR Sub</v>
          </cell>
          <cell r="CC170" t="str">
            <v> Cultivated / Residential</v>
          </cell>
          <cell r="CE170">
            <v>0</v>
          </cell>
          <cell r="CF170">
            <v>42190</v>
          </cell>
          <cell r="CG170">
            <v>42158</v>
          </cell>
          <cell r="CH170">
            <v>42192</v>
          </cell>
          <cell r="CJ170">
            <v>42168</v>
          </cell>
          <cell r="CK170" t="str">
            <v>45</v>
          </cell>
          <cell r="CL170" t="str">
            <v>47</v>
          </cell>
          <cell r="CM170" t="str">
            <v>50</v>
          </cell>
          <cell r="CN170">
            <v>0</v>
          </cell>
          <cell r="CO170">
            <v>42195</v>
          </cell>
          <cell r="CP170">
            <v>42170</v>
          </cell>
          <cell r="CQ170" t="str">
            <v>M1: grid power + battery</v>
          </cell>
          <cell r="CR170">
            <v>0</v>
          </cell>
          <cell r="CS170">
            <v>42196</v>
          </cell>
          <cell r="CT170">
            <v>42171</v>
          </cell>
          <cell r="CU170" t="str">
            <v>BA0912</v>
          </cell>
          <cell r="DH170">
            <v>0</v>
          </cell>
          <cell r="DI170">
            <v>42206</v>
          </cell>
          <cell r="DK170">
            <v>42203</v>
          </cell>
          <cell r="DL170">
            <v>42181</v>
          </cell>
          <cell r="DM170">
            <v>42207</v>
          </cell>
          <cell r="DN170">
            <v>42186</v>
          </cell>
          <cell r="DO170">
            <v>0</v>
          </cell>
          <cell r="DP170">
            <v>42206</v>
          </cell>
          <cell r="DT170">
            <v>0</v>
          </cell>
          <cell r="DU170">
            <v>42221</v>
          </cell>
          <cell r="DW170">
            <v>0</v>
          </cell>
          <cell r="DY170">
            <v>42207</v>
          </cell>
          <cell r="DZ170">
            <v>42187</v>
          </cell>
          <cell r="EA170" t="str">
            <v>Leadcom</v>
          </cell>
          <cell r="EB170">
            <v>42187</v>
          </cell>
          <cell r="EE170" t="str">
            <v xml:space="preserve">10 Aug 15:Flood affected_Hold-No access; 2-Jul-15:NOC Issue,Flood affected unable to resolve.								</v>
          </cell>
          <cell r="EJ170">
            <v>0</v>
          </cell>
          <cell r="EK170">
            <v>42224</v>
          </cell>
          <cell r="EM170">
            <v>42225</v>
          </cell>
          <cell r="EQ170">
            <v>42234</v>
          </cell>
          <cell r="EW170">
            <v>0</v>
          </cell>
          <cell r="EX170">
            <v>42216</v>
          </cell>
          <cell r="EZ170">
            <v>42244</v>
          </cell>
          <cell r="FB170">
            <v>42246</v>
          </cell>
          <cell r="FU170">
            <v>42248</v>
          </cell>
          <cell r="FW170">
            <v>42248</v>
          </cell>
          <cell r="GJ170">
            <v>0</v>
          </cell>
          <cell r="GN170" t="str">
            <v>ERICSSON</v>
          </cell>
          <cell r="GP170">
            <v>42198</v>
          </cell>
          <cell r="GU170" t="str">
            <v xml:space="preserve">		</v>
          </cell>
          <cell r="HD170">
            <v>1</v>
          </cell>
        </row>
        <row r="171">
          <cell r="A171" t="str">
            <v>BA0916</v>
          </cell>
          <cell r="B171" t="str">
            <v>ACBA_0220</v>
          </cell>
          <cell r="C171" t="str">
            <v>Apollo</v>
          </cell>
          <cell r="D171" t="str">
            <v>Robert</v>
          </cell>
          <cell r="F171" t="str">
            <v>Phyo Wai Maung</v>
          </cell>
          <cell r="G171" t="str">
            <v>Saw Pyie Zin Nyein</v>
          </cell>
          <cell r="H171" t="str">
            <v>RED</v>
          </cell>
          <cell r="I171" t="str">
            <v>South</v>
          </cell>
          <cell r="J171" t="str">
            <v>96.67</v>
          </cell>
          <cell r="K171" t="str">
            <v>17.7906</v>
          </cell>
          <cell r="L171" t="str">
            <v>SubUrban</v>
          </cell>
          <cell r="M171" t="str">
            <v>Bago East</v>
          </cell>
          <cell r="N171" t="str">
            <v>Daik-U</v>
          </cell>
          <cell r="O171" t="str">
            <v>Daik-U</v>
          </cell>
          <cell r="P171" t="str">
            <v>Bago East</v>
          </cell>
          <cell r="Q171" t="str">
            <v>19</v>
          </cell>
          <cell r="R171" t="str">
            <v>Daik-U</v>
          </cell>
          <cell r="S171" t="str">
            <v>95</v>
          </cell>
          <cell r="T171" t="str">
            <v>GSM+UMTS</v>
          </cell>
          <cell r="W171" t="str">
            <v>Ph2-Priority</v>
          </cell>
          <cell r="X171" t="str">
            <v>35</v>
          </cell>
          <cell r="Y171" t="str">
            <v>35</v>
          </cell>
          <cell r="Z171" t="str">
            <v>GBT</v>
          </cell>
          <cell r="AA171" t="str">
            <v>250</v>
          </cell>
          <cell r="AB171" t="str">
            <v>Access</v>
          </cell>
          <cell r="AC171" t="str">
            <v>Class B</v>
          </cell>
          <cell r="BH171" t="str">
            <v>KTT</v>
          </cell>
          <cell r="BJ171">
            <v>42167</v>
          </cell>
          <cell r="BK171">
            <v>42130</v>
          </cell>
          <cell r="BL171">
            <v>42172</v>
          </cell>
          <cell r="BM171">
            <v>42153</v>
          </cell>
          <cell r="BT171">
            <v>103</v>
          </cell>
          <cell r="BU171">
            <v>42184</v>
          </cell>
          <cell r="BV171">
            <v>42163</v>
          </cell>
          <cell r="BW171" t="str">
            <v>96.58026</v>
          </cell>
          <cell r="BX171" t="str">
            <v>17.76595</v>
          </cell>
          <cell r="BY171" t="str">
            <v>Reject</v>
          </cell>
          <cell r="BZ171" t="str">
            <v>No(107), Aung Chan Thar Village, Inn Thazin Village Group, Dite Oo Township, Bago.</v>
          </cell>
          <cell r="CA171" t="str">
            <v>U Hla Thein;No(107), Aung Chan Thar Village, Inn Thazin Village Group, Dite Oo Township, Bago.;09-793538136</v>
          </cell>
          <cell r="CB171" t="str">
            <v>13 Aug 15: C3 deactivate because of Noc issue after CW started, owner not ready to continue with site;03 Aug 15 : CW start date deleted( NOC  issue after CW started, owner not ready to continue with site);14 Jul 15 : C3 TSSR app;10 Jul 15 : C3 TSSR sub;26 Jun 15 : C3 SAR app;23 Jun 15 : C3 SAR sub;8Jun15: C1 SAR Sub.</v>
          </cell>
          <cell r="CE171">
            <v>0</v>
          </cell>
          <cell r="CF171">
            <v>42185</v>
          </cell>
          <cell r="CG171">
            <v>42165</v>
          </cell>
          <cell r="CH171">
            <v>42187</v>
          </cell>
          <cell r="CJ171">
            <v>42173</v>
          </cell>
          <cell r="CK171" t="str">
            <v>45</v>
          </cell>
          <cell r="CL171" t="str">
            <v>47</v>
          </cell>
          <cell r="CM171" t="str">
            <v>45</v>
          </cell>
          <cell r="CN171">
            <v>0</v>
          </cell>
          <cell r="CO171">
            <v>42190</v>
          </cell>
          <cell r="CP171">
            <v>42175</v>
          </cell>
          <cell r="CQ171" t="str">
            <v>M1: grid power + battery</v>
          </cell>
          <cell r="CR171">
            <v>0</v>
          </cell>
          <cell r="CS171">
            <v>42191</v>
          </cell>
          <cell r="CT171">
            <v>42179</v>
          </cell>
          <cell r="CU171" t="str">
            <v>BA0916</v>
          </cell>
          <cell r="DH171">
            <v>0</v>
          </cell>
          <cell r="DI171">
            <v>42201</v>
          </cell>
          <cell r="DJ171">
            <v>42184</v>
          </cell>
          <cell r="DK171">
            <v>42198</v>
          </cell>
          <cell r="DL171">
            <v>42187</v>
          </cell>
          <cell r="DM171">
            <v>42202</v>
          </cell>
          <cell r="DN171">
            <v>42187</v>
          </cell>
          <cell r="DO171">
            <v>0</v>
          </cell>
          <cell r="DP171">
            <v>42201</v>
          </cell>
          <cell r="DQ171">
            <v>42199</v>
          </cell>
          <cell r="DT171">
            <v>0</v>
          </cell>
          <cell r="DU171">
            <v>42216</v>
          </cell>
          <cell r="DW171">
            <v>0</v>
          </cell>
          <cell r="DY171">
            <v>42202</v>
          </cell>
          <cell r="DZ171">
            <v>42191</v>
          </cell>
          <cell r="EA171" t="str">
            <v>Leadcom</v>
          </cell>
          <cell r="EB171">
            <v>42222</v>
          </cell>
          <cell r="EE171" t="str">
            <v xml:space="preserve">10 Aug 15:Flood affected_Hold-No access; 6-Aug-15:  Villagers  donÆt allow to use road due to rain,muddy access road -slow progress								</v>
          </cell>
          <cell r="EJ171">
            <v>0</v>
          </cell>
          <cell r="EK171">
            <v>42217</v>
          </cell>
          <cell r="EL171">
            <v>42210</v>
          </cell>
          <cell r="EM171">
            <v>42218</v>
          </cell>
          <cell r="EQ171">
            <v>42225</v>
          </cell>
          <cell r="EW171">
            <v>0</v>
          </cell>
          <cell r="EX171">
            <v>42211</v>
          </cell>
          <cell r="EZ171">
            <v>42235</v>
          </cell>
          <cell r="FB171">
            <v>42237</v>
          </cell>
          <cell r="FU171">
            <v>42239</v>
          </cell>
          <cell r="FW171">
            <v>42239</v>
          </cell>
          <cell r="FY171" t="str">
            <v>UT</v>
          </cell>
          <cell r="FZ171">
            <v>42214</v>
          </cell>
          <cell r="GA171">
            <v>42215</v>
          </cell>
          <cell r="GB171">
            <v>42217</v>
          </cell>
          <cell r="GE171">
            <v>42217</v>
          </cell>
          <cell r="GI171">
            <v>42246</v>
          </cell>
          <cell r="GJ171">
            <v>0</v>
          </cell>
          <cell r="GN171" t="str">
            <v xml:space="preserve">ERICSSON </v>
          </cell>
          <cell r="GU171" t="str">
            <v xml:space="preserve">		</v>
          </cell>
          <cell r="HD171">
            <v>1</v>
          </cell>
        </row>
        <row r="172">
          <cell r="A172" t="str">
            <v>BA0917</v>
          </cell>
          <cell r="B172" t="str">
            <v>ACBA_0221</v>
          </cell>
          <cell r="C172" t="str">
            <v>Apollo</v>
          </cell>
          <cell r="D172" t="str">
            <v>Robert</v>
          </cell>
          <cell r="E172" t="str">
            <v>Emmanuel Saria : 09254439726</v>
          </cell>
          <cell r="F172" t="str">
            <v>Phyo Wai Maung</v>
          </cell>
          <cell r="G172" t="str">
            <v>Saw Pyie Zin Nyein</v>
          </cell>
          <cell r="H172" t="str">
            <v>RED</v>
          </cell>
          <cell r="I172" t="str">
            <v>South</v>
          </cell>
          <cell r="J172" t="str">
            <v>96.4431</v>
          </cell>
          <cell r="K172" t="str">
            <v>16.9745</v>
          </cell>
          <cell r="L172" t="str">
            <v>Rural</v>
          </cell>
          <cell r="M172" t="str">
            <v>Bago East</v>
          </cell>
          <cell r="N172" t="str">
            <v>Kawa</v>
          </cell>
          <cell r="O172" t="str">
            <v>Kawa</v>
          </cell>
          <cell r="P172" t="str">
            <v>Bago East</v>
          </cell>
          <cell r="Q172" t="str">
            <v>19</v>
          </cell>
          <cell r="R172" t="str">
            <v>Kawa</v>
          </cell>
          <cell r="S172" t="str">
            <v>91</v>
          </cell>
          <cell r="T172" t="str">
            <v>GSM+UMTS</v>
          </cell>
          <cell r="U172" t="str">
            <v>BAG-N028</v>
          </cell>
          <cell r="V172" t="str">
            <v>4.1</v>
          </cell>
          <cell r="W172" t="str">
            <v>Ph2-Priority</v>
          </cell>
          <cell r="X172" t="str">
            <v>45</v>
          </cell>
          <cell r="Y172" t="str">
            <v>47</v>
          </cell>
          <cell r="AA172" t="str">
            <v>500</v>
          </cell>
          <cell r="AB172" t="str">
            <v>Access</v>
          </cell>
          <cell r="AC172" t="str">
            <v>Class C</v>
          </cell>
          <cell r="AD172" t="str">
            <v>925</v>
          </cell>
          <cell r="AE172" t="str">
            <v>935</v>
          </cell>
          <cell r="AF172" t="str">
            <v>2</v>
          </cell>
          <cell r="AG172" t="str">
            <v>BA0508</v>
          </cell>
          <cell r="AH172" t="str">
            <v>BA0516</v>
          </cell>
          <cell r="BC172" t="str">
            <v>BA0516</v>
          </cell>
          <cell r="BD172" t="str">
            <v>2</v>
          </cell>
          <cell r="BE172" t="str">
            <v>Route 2 Yangon -Mawlamyine</v>
          </cell>
          <cell r="BF172">
            <v>41760</v>
          </cell>
          <cell r="BG172">
            <v>42108</v>
          </cell>
          <cell r="BH172" t="str">
            <v>Leadcom</v>
          </cell>
          <cell r="BJ172">
            <v>42155</v>
          </cell>
          <cell r="BK172">
            <v>41685</v>
          </cell>
          <cell r="BL172">
            <v>42160</v>
          </cell>
          <cell r="BM172">
            <v>41692</v>
          </cell>
          <cell r="BT172">
            <v>548</v>
          </cell>
          <cell r="BU172">
            <v>42202</v>
          </cell>
          <cell r="BY172" t="str">
            <v>Reject</v>
          </cell>
          <cell r="CB172" t="str">
            <v>16 June 15 : C1 SAR rejected(  TND reject this site for mountain obstacle block.Find new location  BA0490_Propose (17.624780°, 96.462458°).); 15Jun15: BA0490 new coordinate suggested. BA0508_C01 is pending for approval for this site.It is suggested to find the site at location (17.624780°, 96.462458°).10Jun15: C1 SAR Sub</v>
          </cell>
          <cell r="CC172" t="str">
            <v>Ministry of Forest</v>
          </cell>
          <cell r="CE172">
            <v>0</v>
          </cell>
          <cell r="CF172">
            <v>42203</v>
          </cell>
          <cell r="CH172">
            <v>42205</v>
          </cell>
          <cell r="CN172">
            <v>0</v>
          </cell>
          <cell r="CO172">
            <v>42208</v>
          </cell>
          <cell r="CR172">
            <v>0</v>
          </cell>
          <cell r="CS172">
            <v>42209</v>
          </cell>
          <cell r="CU172" t="str">
            <v>BA0917</v>
          </cell>
          <cell r="DH172">
            <v>0</v>
          </cell>
          <cell r="DI172">
            <v>42219</v>
          </cell>
          <cell r="DK172">
            <v>42216</v>
          </cell>
          <cell r="DM172">
            <v>42220</v>
          </cell>
          <cell r="DO172">
            <v>0</v>
          </cell>
          <cell r="DP172">
            <v>42219</v>
          </cell>
          <cell r="DR172" t="str">
            <v>Bago CDC</v>
          </cell>
          <cell r="DS172" t="str">
            <v>052-22903</v>
          </cell>
          <cell r="DT172">
            <v>0</v>
          </cell>
          <cell r="DU172">
            <v>42234</v>
          </cell>
          <cell r="DW172">
            <v>0</v>
          </cell>
          <cell r="DY172">
            <v>42220</v>
          </cell>
          <cell r="EA172" t="str">
            <v>Leadcom</v>
          </cell>
          <cell r="EJ172">
            <v>0</v>
          </cell>
          <cell r="EK172">
            <v>42237</v>
          </cell>
          <cell r="EM172">
            <v>42238</v>
          </cell>
          <cell r="EQ172">
            <v>42247</v>
          </cell>
          <cell r="EW172">
            <v>0</v>
          </cell>
          <cell r="EX172">
            <v>42261</v>
          </cell>
          <cell r="EZ172">
            <v>42257</v>
          </cell>
          <cell r="FB172">
            <v>42259</v>
          </cell>
          <cell r="FD172">
            <v>41928</v>
          </cell>
          <cell r="FF172">
            <v>41935</v>
          </cell>
          <cell r="FH172">
            <v>41937</v>
          </cell>
          <cell r="FJ172">
            <v>41940</v>
          </cell>
          <cell r="FN172">
            <v>41944</v>
          </cell>
          <cell r="FP172">
            <v>41946</v>
          </cell>
          <cell r="FR172">
            <v>41960</v>
          </cell>
          <cell r="FU172">
            <v>42261</v>
          </cell>
          <cell r="FW172">
            <v>42261</v>
          </cell>
          <cell r="GJ172">
            <v>0</v>
          </cell>
          <cell r="GN172" t="str">
            <v>ERICSSON</v>
          </cell>
          <cell r="GS172" t="str">
            <v>4/4/4</v>
          </cell>
          <cell r="GU172" t="str">
            <v xml:space="preserve">		</v>
          </cell>
          <cell r="HD172">
            <v>1</v>
          </cell>
        </row>
        <row r="173">
          <cell r="A173" t="str">
            <v>BA0918</v>
          </cell>
          <cell r="B173" t="str">
            <v>ACBA_0222</v>
          </cell>
          <cell r="C173" t="str">
            <v>Apollo</v>
          </cell>
          <cell r="D173" t="str">
            <v>Chris Thomson</v>
          </cell>
          <cell r="F173" t="str">
            <v>Phyo Wai Maung</v>
          </cell>
          <cell r="G173" t="str">
            <v>Paing Thu Soe</v>
          </cell>
          <cell r="H173" t="str">
            <v>RED</v>
          </cell>
          <cell r="I173" t="str">
            <v>South</v>
          </cell>
          <cell r="J173" t="str">
            <v>96.2637</v>
          </cell>
          <cell r="K173" t="str">
            <v>19.1963</v>
          </cell>
          <cell r="L173" t="str">
            <v>Rural</v>
          </cell>
          <cell r="M173" t="str">
            <v>Bago East</v>
          </cell>
          <cell r="N173" t="str">
            <v>Yedashe</v>
          </cell>
          <cell r="O173" t="str">
            <v>Yedashe</v>
          </cell>
          <cell r="P173" t="str">
            <v>Bago East</v>
          </cell>
          <cell r="Q173" t="str">
            <v>19</v>
          </cell>
          <cell r="R173" t="str">
            <v>Yedashe</v>
          </cell>
          <cell r="S173" t="str">
            <v>98</v>
          </cell>
          <cell r="T173" t="str">
            <v>GSM+UMTS</v>
          </cell>
          <cell r="W173" t="str">
            <v>Ph2-Priority</v>
          </cell>
          <cell r="X173" t="str">
            <v>45</v>
          </cell>
          <cell r="Y173" t="str">
            <v>47</v>
          </cell>
          <cell r="Z173" t="str">
            <v>GBT</v>
          </cell>
          <cell r="AA173" t="str">
            <v>500</v>
          </cell>
          <cell r="AB173" t="str">
            <v>Access</v>
          </cell>
          <cell r="AC173" t="str">
            <v>Class C</v>
          </cell>
          <cell r="BE173" t="str">
            <v>Route 1 Yangon - Mandalay</v>
          </cell>
          <cell r="BH173" t="str">
            <v>Leadcom</v>
          </cell>
          <cell r="BJ173">
            <v>42155</v>
          </cell>
          <cell r="BK173">
            <v>42166</v>
          </cell>
          <cell r="BL173">
            <v>42160</v>
          </cell>
          <cell r="BM173">
            <v>42173</v>
          </cell>
          <cell r="BT173">
            <v>19</v>
          </cell>
          <cell r="BU173">
            <v>42202</v>
          </cell>
          <cell r="BV173">
            <v>42185</v>
          </cell>
          <cell r="BW173" t="str">
            <v>96.26379</v>
          </cell>
          <cell r="BX173" t="str">
            <v>19.19623</v>
          </cell>
          <cell r="BY173" t="str">
            <v>C1</v>
          </cell>
          <cell r="BZ173" t="str">
            <v>THE PYAY KONE VILLAGE,KWIN GYI VILLAGE GROUP, YAY TAR SHAE TOWNSHIP,BAGO.</v>
          </cell>
          <cell r="CA173" t="str">
            <v>U HLA MYINT;09-794479529,09-250303660</v>
          </cell>
          <cell r="CB173" t="str">
            <v>15 July 15 : E// given C1 TSSR updated checklist because TND team added one link for protection;7May15: C1 SAR Sub</v>
          </cell>
          <cell r="CC173" t="str">
            <v>Residential</v>
          </cell>
          <cell r="CE173">
            <v>1</v>
          </cell>
          <cell r="CF173">
            <v>42203</v>
          </cell>
          <cell r="CG173">
            <v>42186</v>
          </cell>
          <cell r="CH173">
            <v>42205</v>
          </cell>
          <cell r="CJ173">
            <v>42191</v>
          </cell>
          <cell r="CK173" t="str">
            <v>45</v>
          </cell>
          <cell r="CL173" t="str">
            <v>47</v>
          </cell>
          <cell r="CM173" t="str">
            <v>50</v>
          </cell>
          <cell r="CN173">
            <v>7</v>
          </cell>
          <cell r="CO173">
            <v>42208</v>
          </cell>
          <cell r="CP173">
            <v>42193</v>
          </cell>
          <cell r="CQ173" t="str">
            <v>M4: solar + DG + battery</v>
          </cell>
          <cell r="CR173">
            <v>1</v>
          </cell>
          <cell r="CS173">
            <v>42209</v>
          </cell>
          <cell r="CT173">
            <v>42194</v>
          </cell>
          <cell r="CU173" t="str">
            <v>BA0918</v>
          </cell>
          <cell r="DH173">
            <v>39</v>
          </cell>
          <cell r="DI173">
            <v>42219</v>
          </cell>
          <cell r="DJ173">
            <v>42158</v>
          </cell>
          <cell r="DK173">
            <v>42216</v>
          </cell>
          <cell r="DL173">
            <v>42160</v>
          </cell>
          <cell r="DM173">
            <v>42220</v>
          </cell>
          <cell r="DN173">
            <v>42160</v>
          </cell>
          <cell r="DO173">
            <v>0</v>
          </cell>
          <cell r="DP173">
            <v>42219</v>
          </cell>
          <cell r="DQ173">
            <v>42158</v>
          </cell>
          <cell r="DT173">
            <v>0</v>
          </cell>
          <cell r="DU173">
            <v>42234</v>
          </cell>
          <cell r="DW173">
            <v>0</v>
          </cell>
          <cell r="DY173">
            <v>42220</v>
          </cell>
          <cell r="DZ173">
            <v>42241</v>
          </cell>
          <cell r="EA173" t="str">
            <v>Leadcom</v>
          </cell>
          <cell r="ED173" t="str">
            <v>24Jun15 :ChoYee.Thaung: Backfilling done, Tower erection will start tomorrow_x000D_
18/6/15 : Template and tower on site (16/6/15 Night), Equ pad casted done, Pedestal will cast today_x000D_
16/6/15 : Rebar work done, Footing casted done (14/6/15), waiting for anchor bolt, nut and tower materials, Rebar work done for Equipment pad
11Jun15 :ChoYee.Thaung: Site Clearing start (5.6.15), Excavation and Lean done (11/6/15)</v>
          </cell>
          <cell r="EI173" t="str">
            <v>M7: 2DG + battery      </v>
          </cell>
          <cell r="EJ173">
            <v>0</v>
          </cell>
          <cell r="EK173">
            <v>42237</v>
          </cell>
          <cell r="EL173">
            <v>42175</v>
          </cell>
          <cell r="EM173">
            <v>42238</v>
          </cell>
          <cell r="EN173">
            <v>42172</v>
          </cell>
          <cell r="EQ173">
            <v>42247</v>
          </cell>
          <cell r="ER173">
            <v>42184</v>
          </cell>
          <cell r="ES173">
            <v>42172</v>
          </cell>
          <cell r="ET173">
            <v>42185</v>
          </cell>
          <cell r="EU173">
            <v>42185</v>
          </cell>
          <cell r="EW173">
            <v>0</v>
          </cell>
          <cell r="EX173">
            <v>42261</v>
          </cell>
          <cell r="EY173">
            <v>42200</v>
          </cell>
          <cell r="EZ173">
            <v>42257</v>
          </cell>
          <cell r="FA173">
            <v>42185</v>
          </cell>
          <cell r="FB173">
            <v>42259</v>
          </cell>
          <cell r="FC173">
            <v>42185</v>
          </cell>
          <cell r="FE173">
            <v>42179</v>
          </cell>
          <cell r="FU173">
            <v>42261</v>
          </cell>
          <cell r="FV173">
            <v>42200</v>
          </cell>
          <cell r="FW173">
            <v>42261</v>
          </cell>
          <cell r="FX173">
            <v>42185</v>
          </cell>
          <cell r="FY173" t="str">
            <v>UT</v>
          </cell>
          <cell r="FZ173">
            <v>42174</v>
          </cell>
          <cell r="GA173">
            <v>42176</v>
          </cell>
          <cell r="GB173">
            <v>42177</v>
          </cell>
          <cell r="GC173">
            <v>42186</v>
          </cell>
          <cell r="GD173">
            <v>42186</v>
          </cell>
          <cell r="GE173">
            <v>42177</v>
          </cell>
          <cell r="GF173">
            <v>42177</v>
          </cell>
          <cell r="GG173">
            <v>42187</v>
          </cell>
          <cell r="GH173">
            <v>42187</v>
          </cell>
          <cell r="GI173">
            <v>42185</v>
          </cell>
          <cell r="GJ173">
            <v>0</v>
          </cell>
          <cell r="GK173">
            <v>42187</v>
          </cell>
          <cell r="GN173" t="str">
            <v>ERICSSON</v>
          </cell>
          <cell r="GO173">
            <v>42150</v>
          </cell>
          <cell r="GS173" t="str">
            <v>4/4/4</v>
          </cell>
          <cell r="GU173" t="str">
            <v xml:space="preserve">		</v>
          </cell>
          <cell r="HD173">
            <v>1</v>
          </cell>
        </row>
        <row r="174">
          <cell r="A174" t="str">
            <v>BA0919</v>
          </cell>
          <cell r="B174" t="str">
            <v>ACBA_0223</v>
          </cell>
          <cell r="C174" t="str">
            <v>Apollo</v>
          </cell>
          <cell r="D174" t="str">
            <v>Robert</v>
          </cell>
          <cell r="F174" t="str">
            <v>Phyo Wai Maung</v>
          </cell>
          <cell r="G174" t="str">
            <v>Saw Pyie Zin Nyein</v>
          </cell>
          <cell r="H174" t="str">
            <v>RED</v>
          </cell>
          <cell r="I174" t="str">
            <v>South</v>
          </cell>
          <cell r="J174" t="str">
            <v>96.7507</v>
          </cell>
          <cell r="K174" t="str">
            <v>17.7768</v>
          </cell>
          <cell r="L174" t="str">
            <v>Rural</v>
          </cell>
          <cell r="M174" t="str">
            <v>Bago East</v>
          </cell>
          <cell r="N174" t="str">
            <v>Nyaunglebin</v>
          </cell>
          <cell r="O174" t="str">
            <v>Nyaunglebin</v>
          </cell>
          <cell r="P174" t="str">
            <v>Bago East</v>
          </cell>
          <cell r="Q174" t="str">
            <v>19</v>
          </cell>
          <cell r="R174" t="str">
            <v>Nyaunglebin</v>
          </cell>
          <cell r="S174" t="str">
            <v>93</v>
          </cell>
          <cell r="T174" t="str">
            <v>GSM+UMTS</v>
          </cell>
          <cell r="W174" t="str">
            <v>Ph2-Priority</v>
          </cell>
          <cell r="X174" t="str">
            <v>45</v>
          </cell>
          <cell r="Y174" t="str">
            <v>47</v>
          </cell>
          <cell r="Z174" t="str">
            <v>GBT</v>
          </cell>
          <cell r="AA174" t="str">
            <v>500</v>
          </cell>
          <cell r="AB174" t="str">
            <v>Access</v>
          </cell>
          <cell r="AC174" t="str">
            <v>Class C</v>
          </cell>
          <cell r="BH174" t="str">
            <v>Leadcom</v>
          </cell>
          <cell r="BJ174">
            <v>42155</v>
          </cell>
          <cell r="BK174">
            <v>42140</v>
          </cell>
          <cell r="BL174">
            <v>42160</v>
          </cell>
          <cell r="BM174">
            <v>42145</v>
          </cell>
          <cell r="BT174">
            <v>33</v>
          </cell>
          <cell r="BU174">
            <v>42202</v>
          </cell>
          <cell r="BV174">
            <v>42173</v>
          </cell>
          <cell r="BW174" t="str">
            <v>95.710431</v>
          </cell>
          <cell r="BX174" t="str">
            <v>16.150239</v>
          </cell>
          <cell r="BY174" t="str">
            <v>C1</v>
          </cell>
          <cell r="BZ174" t="str">
            <v>NO.56, KAN VILLLAGE, U SAN NAW MAIN ROAD, PYAR PON T/S,AYEYARWADDY</v>
          </cell>
          <cell r="CA174" t="str">
            <v>KO WIN MOE KYAW;09-49757286, 09-32316602</v>
          </cell>
          <cell r="CB174" t="str">
            <v>18Jun15: C1 SAR Sub</v>
          </cell>
          <cell r="CE174">
            <v>0</v>
          </cell>
          <cell r="CF174">
            <v>42203</v>
          </cell>
          <cell r="CG174">
            <v>42174</v>
          </cell>
          <cell r="CH174">
            <v>42205</v>
          </cell>
          <cell r="CJ174">
            <v>42177</v>
          </cell>
          <cell r="CK174" t="str">
            <v>45</v>
          </cell>
          <cell r="CL174" t="str">
            <v>47</v>
          </cell>
          <cell r="CM174" t="str">
            <v>50</v>
          </cell>
          <cell r="CN174">
            <v>0</v>
          </cell>
          <cell r="CO174">
            <v>42208</v>
          </cell>
          <cell r="CP174">
            <v>42179</v>
          </cell>
          <cell r="CQ174" t="str">
            <v>M1: grid power + battery</v>
          </cell>
          <cell r="CR174">
            <v>0</v>
          </cell>
          <cell r="CS174">
            <v>42209</v>
          </cell>
          <cell r="CT174">
            <v>42180</v>
          </cell>
          <cell r="CU174" t="str">
            <v>BA0919</v>
          </cell>
          <cell r="DH174">
            <v>0</v>
          </cell>
          <cell r="DI174">
            <v>42219</v>
          </cell>
          <cell r="DJ174">
            <v>42188</v>
          </cell>
          <cell r="DK174">
            <v>42216</v>
          </cell>
          <cell r="DL174">
            <v>42195</v>
          </cell>
          <cell r="DM174">
            <v>42220</v>
          </cell>
          <cell r="DN174">
            <v>42195</v>
          </cell>
          <cell r="DO174">
            <v>0</v>
          </cell>
          <cell r="DP174">
            <v>42219</v>
          </cell>
          <cell r="DQ174">
            <v>42188</v>
          </cell>
          <cell r="DT174">
            <v>0</v>
          </cell>
          <cell r="DU174">
            <v>42234</v>
          </cell>
          <cell r="DW174">
            <v>0</v>
          </cell>
          <cell r="DY174">
            <v>42220</v>
          </cell>
          <cell r="DZ174">
            <v>42193</v>
          </cell>
          <cell r="EA174" t="str">
            <v>Leadcom</v>
          </cell>
          <cell r="EE174" t="str">
            <v xml:space="preserve">10 Aug 15:Rain affected_Progress affected; 4-Aug-15:CW Started, Dewatering,on going excavation (remobilized Jul 26)								</v>
          </cell>
          <cell r="EJ174">
            <v>0</v>
          </cell>
          <cell r="EK174">
            <v>42237</v>
          </cell>
          <cell r="EM174">
            <v>42238</v>
          </cell>
          <cell r="EQ174">
            <v>42247</v>
          </cell>
          <cell r="EW174">
            <v>0</v>
          </cell>
          <cell r="EX174">
            <v>42261</v>
          </cell>
          <cell r="EZ174">
            <v>42257</v>
          </cell>
          <cell r="FB174">
            <v>42259</v>
          </cell>
          <cell r="FU174">
            <v>42261</v>
          </cell>
          <cell r="FW174">
            <v>42261</v>
          </cell>
          <cell r="GJ174">
            <v>0</v>
          </cell>
          <cell r="GN174" t="str">
            <v>ERICSSON</v>
          </cell>
          <cell r="GS174" t="str">
            <v>4/4/4</v>
          </cell>
          <cell r="GU174" t="str">
            <v xml:space="preserve">		</v>
          </cell>
          <cell r="HD174">
            <v>1</v>
          </cell>
        </row>
        <row r="175">
          <cell r="A175" t="str">
            <v>BA0920</v>
          </cell>
          <cell r="B175" t="str">
            <v>ACBA_0224</v>
          </cell>
          <cell r="C175" t="str">
            <v>Apollo</v>
          </cell>
          <cell r="D175" t="str">
            <v>Robert</v>
          </cell>
          <cell r="F175" t="str">
            <v>Phyo Wai Maung</v>
          </cell>
          <cell r="G175" t="str">
            <v>Saw Pyie Zin Nyein</v>
          </cell>
          <cell r="H175" t="str">
            <v>YELLOW</v>
          </cell>
          <cell r="I175" t="str">
            <v>South</v>
          </cell>
          <cell r="J175" t="str">
            <v>96.395</v>
          </cell>
          <cell r="K175" t="str">
            <v>17.0285</v>
          </cell>
          <cell r="L175" t="str">
            <v>Rural</v>
          </cell>
          <cell r="M175" t="str">
            <v>Bago East</v>
          </cell>
          <cell r="N175" t="str">
            <v>Kawa</v>
          </cell>
          <cell r="O175" t="str">
            <v>Kawa</v>
          </cell>
          <cell r="P175" t="str">
            <v>Bago East</v>
          </cell>
          <cell r="Q175" t="str">
            <v>19</v>
          </cell>
          <cell r="R175" t="str">
            <v>Kawa</v>
          </cell>
          <cell r="S175" t="str">
            <v>91</v>
          </cell>
          <cell r="T175" t="str">
            <v>GSM+UMTS</v>
          </cell>
          <cell r="W175" t="str">
            <v>Ph2-Priority</v>
          </cell>
          <cell r="X175" t="str">
            <v>45</v>
          </cell>
          <cell r="Y175" t="str">
            <v>47</v>
          </cell>
          <cell r="Z175" t="str">
            <v>GBT</v>
          </cell>
          <cell r="AA175" t="str">
            <v>500</v>
          </cell>
          <cell r="AB175" t="str">
            <v>Access</v>
          </cell>
          <cell r="AC175" t="str">
            <v>Class C</v>
          </cell>
          <cell r="BH175" t="str">
            <v>Leadcom</v>
          </cell>
          <cell r="BJ175">
            <v>42155</v>
          </cell>
          <cell r="BK175">
            <v>42149</v>
          </cell>
          <cell r="BL175">
            <v>42160</v>
          </cell>
          <cell r="BM175">
            <v>42167</v>
          </cell>
          <cell r="BT175">
            <v>18</v>
          </cell>
          <cell r="BU175">
            <v>42202</v>
          </cell>
          <cell r="BV175">
            <v>42167</v>
          </cell>
          <cell r="BW175" t="str">
            <v>96.39412</v>
          </cell>
          <cell r="BX175" t="str">
            <v>17.02803</v>
          </cell>
          <cell r="BY175" t="str">
            <v>C1</v>
          </cell>
          <cell r="BZ175" t="str">
            <v>NO.(5/977),Aung Yadanar 2nd St. 5th Quarter Tha Byut Village, Bago.</v>
          </cell>
          <cell r="CA175" t="str">
            <v>U KYAW AUNG;09- 428 012 368, 09-250 818 380</v>
          </cell>
          <cell r="CB175" t="str">
            <v>12Jun15: C1 Rev submitted on Friday 8pm. 12 June 15 : C1 SAR rejected( RND rejected because this site is 1.16km far from the nominal point and the rural area. Please fine the new candidate at near the nominal point.); 11Jun15: C1 SAR Sub</v>
          </cell>
          <cell r="CC175" t="str">
            <v>VILLAGE LAND</v>
          </cell>
          <cell r="CE175">
            <v>3</v>
          </cell>
          <cell r="CF175">
            <v>42203</v>
          </cell>
          <cell r="CG175">
            <v>42170</v>
          </cell>
          <cell r="CH175">
            <v>42205</v>
          </cell>
          <cell r="CJ175">
            <v>42186</v>
          </cell>
          <cell r="CK175" t="str">
            <v>45</v>
          </cell>
          <cell r="CL175" t="str">
            <v>47</v>
          </cell>
          <cell r="CM175" t="str">
            <v>50</v>
          </cell>
          <cell r="CN175">
            <v>18</v>
          </cell>
          <cell r="CO175">
            <v>42208</v>
          </cell>
          <cell r="CP175">
            <v>42188</v>
          </cell>
          <cell r="CQ175" t="str">
            <v>M1: grid power + battery</v>
          </cell>
          <cell r="CR175">
            <v>3</v>
          </cell>
          <cell r="CS175">
            <v>42209</v>
          </cell>
          <cell r="CT175">
            <v>42191</v>
          </cell>
          <cell r="CU175" t="str">
            <v>BA0920</v>
          </cell>
          <cell r="DH175">
            <v>10</v>
          </cell>
          <cell r="DI175">
            <v>42219</v>
          </cell>
          <cell r="DJ175">
            <v>42201</v>
          </cell>
          <cell r="DK175">
            <v>42216</v>
          </cell>
          <cell r="DL175">
            <v>42242</v>
          </cell>
          <cell r="DM175">
            <v>42220</v>
          </cell>
          <cell r="DO175">
            <v>0</v>
          </cell>
          <cell r="DP175">
            <v>42219</v>
          </cell>
          <cell r="DQ175">
            <v>42201</v>
          </cell>
          <cell r="DT175">
            <v>32</v>
          </cell>
          <cell r="DU175">
            <v>42234</v>
          </cell>
          <cell r="DW175">
            <v>0</v>
          </cell>
          <cell r="DY175">
            <v>42220</v>
          </cell>
          <cell r="DZ175">
            <v>42202</v>
          </cell>
          <cell r="EA175" t="str">
            <v>Leadcom</v>
          </cell>
          <cell r="EB175">
            <v>42214</v>
          </cell>
          <cell r="EE175" t="str">
            <v xml:space="preserve">10 Aug 15:Flood affected_Hold-No access; 29-Jul-15:muddy access road -slow progress								</v>
          </cell>
          <cell r="EJ175">
            <v>26</v>
          </cell>
          <cell r="EK175">
            <v>42237</v>
          </cell>
          <cell r="EL175">
            <v>42228</v>
          </cell>
          <cell r="EM175">
            <v>42238</v>
          </cell>
          <cell r="EN175">
            <v>42233</v>
          </cell>
          <cell r="EQ175">
            <v>42247</v>
          </cell>
          <cell r="ER175">
            <v>42236</v>
          </cell>
          <cell r="ES175">
            <v>42237</v>
          </cell>
          <cell r="ET175">
            <v>42240</v>
          </cell>
          <cell r="EU175">
            <v>42240</v>
          </cell>
          <cell r="EW175">
            <v>31</v>
          </cell>
          <cell r="EX175">
            <v>42261</v>
          </cell>
          <cell r="EZ175">
            <v>42257</v>
          </cell>
          <cell r="FA175">
            <v>42241</v>
          </cell>
          <cell r="FB175">
            <v>42259</v>
          </cell>
          <cell r="FC175">
            <v>42244</v>
          </cell>
          <cell r="FU175">
            <v>42261</v>
          </cell>
          <cell r="FW175">
            <v>42261</v>
          </cell>
          <cell r="FX175">
            <v>42244</v>
          </cell>
          <cell r="FY175" t="str">
            <v>RT</v>
          </cell>
          <cell r="FZ175">
            <v>42234</v>
          </cell>
          <cell r="GA175">
            <v>42236</v>
          </cell>
          <cell r="GB175">
            <v>42240</v>
          </cell>
          <cell r="GC175">
            <v>42240</v>
          </cell>
          <cell r="GD175">
            <v>42241</v>
          </cell>
          <cell r="GE175">
            <v>42242</v>
          </cell>
          <cell r="GF175">
            <v>42244</v>
          </cell>
          <cell r="GG175">
            <v>42244</v>
          </cell>
          <cell r="GH175">
            <v>42244</v>
          </cell>
          <cell r="GI175">
            <v>42246</v>
          </cell>
          <cell r="GJ175" t="str">
            <v>44-2015</v>
          </cell>
          <cell r="GK175">
            <v>42244</v>
          </cell>
          <cell r="GL175" t="str">
            <v>RT to UT</v>
          </cell>
          <cell r="GN175" t="str">
            <v xml:space="preserve">ERICSSON </v>
          </cell>
          <cell r="GQ175">
            <v>0</v>
          </cell>
          <cell r="GS175" t="str">
            <v>4/4/4</v>
          </cell>
          <cell r="GU175" t="str">
            <v xml:space="preserve">		</v>
          </cell>
          <cell r="HD175">
            <v>1</v>
          </cell>
        </row>
        <row r="176">
          <cell r="A176" t="str">
            <v>BA0923</v>
          </cell>
          <cell r="B176" t="str">
            <v>ACBA_0225</v>
          </cell>
          <cell r="C176" t="str">
            <v>Apollo</v>
          </cell>
          <cell r="D176" t="str">
            <v>Robert</v>
          </cell>
          <cell r="E176" t="str">
            <v>Joel Mendoza: 09254133613</v>
          </cell>
          <cell r="F176" t="str">
            <v>Phyo Wai Maung</v>
          </cell>
          <cell r="G176" t="str">
            <v>Saw Pyie Zin Nyein</v>
          </cell>
          <cell r="H176" t="str">
            <v>WHITE</v>
          </cell>
          <cell r="I176" t="str">
            <v>South</v>
          </cell>
          <cell r="J176" t="str">
            <v>96.8739</v>
          </cell>
          <cell r="K176" t="str">
            <v>17.9216</v>
          </cell>
          <cell r="L176" t="str">
            <v>SubUrban</v>
          </cell>
          <cell r="M176" t="str">
            <v>Bago East</v>
          </cell>
          <cell r="N176" t="str">
            <v>Shwegyin</v>
          </cell>
          <cell r="O176" t="str">
            <v>Shwegyin</v>
          </cell>
          <cell r="P176" t="str">
            <v>Bago East</v>
          </cell>
          <cell r="Q176" t="str">
            <v>19</v>
          </cell>
          <cell r="R176" t="str">
            <v>Shwegyin</v>
          </cell>
          <cell r="S176" t="str">
            <v>96</v>
          </cell>
          <cell r="T176" t="str">
            <v>GSM+UMTS</v>
          </cell>
          <cell r="U176" t="str">
            <v>KAY-N003</v>
          </cell>
          <cell r="W176" t="str">
            <v>Ph2-Priority</v>
          </cell>
          <cell r="X176" t="str">
            <v>35</v>
          </cell>
          <cell r="Y176" t="str">
            <v>35</v>
          </cell>
          <cell r="Z176" t="str">
            <v>GBT</v>
          </cell>
          <cell r="AA176" t="str">
            <v>250</v>
          </cell>
          <cell r="AB176" t="str">
            <v>Access</v>
          </cell>
          <cell r="AC176" t="str">
            <v>Class B</v>
          </cell>
          <cell r="AD176" t="str">
            <v>3561.09</v>
          </cell>
          <cell r="AE176" t="str">
            <v>4197.11</v>
          </cell>
          <cell r="AF176" t="str">
            <v>4</v>
          </cell>
          <cell r="BG176">
            <v>42124</v>
          </cell>
          <cell r="BH176" t="str">
            <v>KTT</v>
          </cell>
          <cell r="BJ176">
            <v>42152</v>
          </cell>
          <cell r="BK176">
            <v>42130</v>
          </cell>
          <cell r="BL176">
            <v>42157</v>
          </cell>
          <cell r="BM176">
            <v>42147</v>
          </cell>
          <cell r="BT176">
            <v>27</v>
          </cell>
          <cell r="BU176">
            <v>42157</v>
          </cell>
          <cell r="BV176">
            <v>42157</v>
          </cell>
          <cell r="BW176" t="str">
            <v>96.87269</v>
          </cell>
          <cell r="BX176" t="str">
            <v>17.92215</v>
          </cell>
          <cell r="BY176" t="str">
            <v>C1</v>
          </cell>
          <cell r="BZ176" t="str">
            <v>No (82), Sabal Street, Naung Wyne- China Town Quarter, Shwegyin Township, Bago.</v>
          </cell>
          <cell r="CA176" t="str">
            <v>Daw Phu Zan;No (82), Sabal Street, Naung Wyne- China Town Quarter, Shwegyin Township, Bago;09-253027792</v>
          </cell>
          <cell r="CB176" t="str">
            <v>18 Aug 15:C1 TSSR updated checklist given from E// because one pole mount added at TND ends and changing link up site information;the actual antenna height is changes to 35 to 36 M; 2Jun15: C1 SAR Sub.</v>
          </cell>
          <cell r="CC176" t="str">
            <v>VILLAGE LAND</v>
          </cell>
          <cell r="CE176">
            <v>0</v>
          </cell>
          <cell r="CF176">
            <v>42158</v>
          </cell>
          <cell r="CG176">
            <v>42157</v>
          </cell>
          <cell r="CH176">
            <v>42165</v>
          </cell>
          <cell r="CJ176">
            <v>42164</v>
          </cell>
          <cell r="CK176" t="str">
            <v>36</v>
          </cell>
          <cell r="CL176" t="str">
            <v>37</v>
          </cell>
          <cell r="CM176" t="str">
            <v>35</v>
          </cell>
          <cell r="CN176">
            <v>9</v>
          </cell>
          <cell r="CO176">
            <v>42168</v>
          </cell>
          <cell r="CP176">
            <v>42166</v>
          </cell>
          <cell r="CQ176" t="str">
            <v>M1: grid power + battery</v>
          </cell>
          <cell r="CR176">
            <v>0</v>
          </cell>
          <cell r="CS176">
            <v>42169</v>
          </cell>
          <cell r="CT176">
            <v>42166</v>
          </cell>
          <cell r="CU176" t="str">
            <v>BA0923</v>
          </cell>
          <cell r="DH176">
            <v>8</v>
          </cell>
          <cell r="DI176">
            <v>42179</v>
          </cell>
          <cell r="DJ176">
            <v>42174</v>
          </cell>
          <cell r="DK176">
            <v>42176</v>
          </cell>
          <cell r="DL176">
            <v>42174</v>
          </cell>
          <cell r="DM176">
            <v>42180</v>
          </cell>
          <cell r="DN176">
            <v>42174</v>
          </cell>
          <cell r="DO176">
            <v>0</v>
          </cell>
          <cell r="DP176">
            <v>42179</v>
          </cell>
          <cell r="DQ176">
            <v>42174</v>
          </cell>
          <cell r="DR176" t="str">
            <v>Kawkareik CDC</v>
          </cell>
          <cell r="DT176">
            <v>59</v>
          </cell>
          <cell r="DU176">
            <v>42194</v>
          </cell>
          <cell r="DW176">
            <v>0</v>
          </cell>
          <cell r="DY176">
            <v>42180</v>
          </cell>
          <cell r="DZ176">
            <v>42179</v>
          </cell>
          <cell r="EA176" t="str">
            <v>Leadcom</v>
          </cell>
          <cell r="EI176" t="str">
            <v>M5: grid power + DG + battery      </v>
          </cell>
          <cell r="EJ176">
            <v>9</v>
          </cell>
          <cell r="EK176">
            <v>42195</v>
          </cell>
          <cell r="EL176">
            <v>42188</v>
          </cell>
          <cell r="EM176">
            <v>42196</v>
          </cell>
          <cell r="EN176">
            <v>42191</v>
          </cell>
          <cell r="EQ176">
            <v>42203</v>
          </cell>
          <cell r="ER176">
            <v>42195</v>
          </cell>
          <cell r="ES176">
            <v>42199</v>
          </cell>
          <cell r="ET176">
            <v>42200</v>
          </cell>
          <cell r="EU176">
            <v>42200</v>
          </cell>
          <cell r="EW176">
            <v>54</v>
          </cell>
          <cell r="EX176">
            <v>42212</v>
          </cell>
          <cell r="EZ176">
            <v>42213</v>
          </cell>
          <cell r="FA176">
            <v>42207</v>
          </cell>
          <cell r="FB176">
            <v>42215</v>
          </cell>
          <cell r="FC176">
            <v>42207</v>
          </cell>
          <cell r="FD176">
            <v>41928</v>
          </cell>
          <cell r="FE176">
            <v>42193</v>
          </cell>
          <cell r="FF176">
            <v>41935</v>
          </cell>
          <cell r="FH176">
            <v>41937</v>
          </cell>
          <cell r="FJ176">
            <v>41940</v>
          </cell>
          <cell r="FN176">
            <v>41944</v>
          </cell>
          <cell r="FP176">
            <v>41946</v>
          </cell>
          <cell r="FR176">
            <v>41960</v>
          </cell>
          <cell r="FU176">
            <v>42217</v>
          </cell>
          <cell r="FV176">
            <v>42213</v>
          </cell>
          <cell r="FW176">
            <v>42217</v>
          </cell>
          <cell r="FX176">
            <v>42207</v>
          </cell>
          <cell r="FY176" t="str">
            <v>UT</v>
          </cell>
          <cell r="FZ176">
            <v>42192</v>
          </cell>
          <cell r="GA176">
            <v>42195</v>
          </cell>
          <cell r="GB176">
            <v>42197</v>
          </cell>
          <cell r="GC176">
            <v>42202</v>
          </cell>
          <cell r="GD176">
            <v>42202</v>
          </cell>
          <cell r="GE176">
            <v>42197</v>
          </cell>
          <cell r="GF176">
            <v>42208</v>
          </cell>
          <cell r="GG176">
            <v>42208</v>
          </cell>
          <cell r="GH176">
            <v>42208</v>
          </cell>
          <cell r="GI176">
            <v>42216</v>
          </cell>
          <cell r="GJ176" t="str">
            <v>30-2015</v>
          </cell>
          <cell r="GK176">
            <v>42209</v>
          </cell>
          <cell r="GN176" t="str">
            <v xml:space="preserve">ERICSSON </v>
          </cell>
          <cell r="GS176" t="str">
            <v>4/4/4</v>
          </cell>
          <cell r="GU176" t="str">
            <v xml:space="preserve">		</v>
          </cell>
          <cell r="HD176">
            <v>1</v>
          </cell>
        </row>
        <row r="177">
          <cell r="A177" t="str">
            <v>BA0924</v>
          </cell>
          <cell r="B177" t="str">
            <v>ACBA_0226</v>
          </cell>
          <cell r="C177" t="str">
            <v>Apollo</v>
          </cell>
          <cell r="D177" t="str">
            <v>Robert</v>
          </cell>
          <cell r="F177" t="str">
            <v>Phyo Wai Maung</v>
          </cell>
          <cell r="G177" t="str">
            <v>Saw Pyie Zin Nyein</v>
          </cell>
          <cell r="H177" t="str">
            <v>RED</v>
          </cell>
          <cell r="I177" t="str">
            <v>South</v>
          </cell>
          <cell r="J177" t="str">
            <v>96.8562</v>
          </cell>
          <cell r="K177" t="str">
            <v>17.8957</v>
          </cell>
          <cell r="L177" t="str">
            <v>Rural</v>
          </cell>
          <cell r="M177" t="str">
            <v>Bago East</v>
          </cell>
          <cell r="N177" t="str">
            <v>Shwegyin</v>
          </cell>
          <cell r="O177" t="str">
            <v>Shwegyin</v>
          </cell>
          <cell r="P177" t="str">
            <v>Bago East</v>
          </cell>
          <cell r="Q177" t="str">
            <v>19</v>
          </cell>
          <cell r="R177" t="str">
            <v>Shwegyin</v>
          </cell>
          <cell r="S177" t="str">
            <v>96</v>
          </cell>
          <cell r="T177" t="str">
            <v>GSM+UMTS</v>
          </cell>
          <cell r="W177" t="str">
            <v>Ph2-Priority</v>
          </cell>
          <cell r="X177" t="str">
            <v>45</v>
          </cell>
          <cell r="Y177" t="str">
            <v>47</v>
          </cell>
          <cell r="Z177" t="str">
            <v>GBT</v>
          </cell>
          <cell r="AA177" t="str">
            <v>500</v>
          </cell>
          <cell r="AB177" t="str">
            <v>Access</v>
          </cell>
          <cell r="AC177" t="str">
            <v>Class C</v>
          </cell>
          <cell r="BH177" t="str">
            <v>Leadcom</v>
          </cell>
          <cell r="BJ177">
            <v>42155</v>
          </cell>
          <cell r="BK177">
            <v>42166</v>
          </cell>
          <cell r="BL177">
            <v>42160</v>
          </cell>
          <cell r="BM177">
            <v>42173</v>
          </cell>
          <cell r="BT177">
            <v>67</v>
          </cell>
          <cell r="BU177">
            <v>42202</v>
          </cell>
          <cell r="BV177">
            <v>42241</v>
          </cell>
          <cell r="BW177" t="str">
            <v>96.85662</v>
          </cell>
          <cell r="BX177" t="str">
            <v>17.8986</v>
          </cell>
          <cell r="BY177" t="str">
            <v>C1</v>
          </cell>
          <cell r="CB177" t="str">
            <v>25 Aug 15: C1 SAR sub</v>
          </cell>
          <cell r="CC177" t="str">
            <v>GARDEN LAND</v>
          </cell>
          <cell r="CE177">
            <v>0</v>
          </cell>
          <cell r="CF177">
            <v>42203</v>
          </cell>
          <cell r="CG177">
            <v>42242</v>
          </cell>
          <cell r="CH177">
            <v>42205</v>
          </cell>
          <cell r="CN177">
            <v>0</v>
          </cell>
          <cell r="CO177">
            <v>42208</v>
          </cell>
          <cell r="CQ177" t="str">
            <v>M1: grid power + battery</v>
          </cell>
          <cell r="CR177">
            <v>0</v>
          </cell>
          <cell r="CS177">
            <v>42209</v>
          </cell>
          <cell r="CU177" t="str">
            <v>BA0924</v>
          </cell>
          <cell r="DH177">
            <v>0</v>
          </cell>
          <cell r="DI177">
            <v>42219</v>
          </cell>
          <cell r="DK177">
            <v>42216</v>
          </cell>
          <cell r="DM177">
            <v>42220</v>
          </cell>
          <cell r="DO177">
            <v>0</v>
          </cell>
          <cell r="DP177">
            <v>42219</v>
          </cell>
          <cell r="DT177">
            <v>0</v>
          </cell>
          <cell r="DU177">
            <v>42234</v>
          </cell>
          <cell r="DW177">
            <v>0</v>
          </cell>
          <cell r="DY177">
            <v>42220</v>
          </cell>
          <cell r="EA177" t="str">
            <v>Leadcom</v>
          </cell>
          <cell r="EJ177">
            <v>0</v>
          </cell>
          <cell r="EK177">
            <v>42237</v>
          </cell>
          <cell r="EM177">
            <v>42238</v>
          </cell>
          <cell r="EQ177">
            <v>42247</v>
          </cell>
          <cell r="EW177">
            <v>0</v>
          </cell>
          <cell r="EX177">
            <v>42261</v>
          </cell>
          <cell r="EZ177">
            <v>42257</v>
          </cell>
          <cell r="FB177">
            <v>42259</v>
          </cell>
          <cell r="FU177">
            <v>42261</v>
          </cell>
          <cell r="FW177">
            <v>42261</v>
          </cell>
          <cell r="GJ177">
            <v>0</v>
          </cell>
          <cell r="GN177" t="str">
            <v>ERICSSON</v>
          </cell>
          <cell r="GS177" t="str">
            <v>4/4/4</v>
          </cell>
          <cell r="GU177" t="str">
            <v xml:space="preserve">		</v>
          </cell>
          <cell r="HD177">
            <v>1</v>
          </cell>
        </row>
        <row r="178">
          <cell r="A178" t="str">
            <v>BA0926</v>
          </cell>
          <cell r="B178" t="str">
            <v>ACBA_0227</v>
          </cell>
          <cell r="C178" t="str">
            <v>Apollo</v>
          </cell>
          <cell r="D178" t="str">
            <v>Chris Thomson</v>
          </cell>
          <cell r="F178" t="str">
            <v>Phyo Wai Maung</v>
          </cell>
          <cell r="G178" t="str">
            <v>Paing Thu Soe</v>
          </cell>
          <cell r="H178" t="str">
            <v>RED</v>
          </cell>
          <cell r="I178" t="str">
            <v>South</v>
          </cell>
          <cell r="J178" t="str">
            <v>96.2855</v>
          </cell>
          <cell r="K178" t="str">
            <v>19.3206</v>
          </cell>
          <cell r="L178" t="str">
            <v>Rural</v>
          </cell>
          <cell r="M178" t="str">
            <v>Bago East</v>
          </cell>
          <cell r="N178" t="str">
            <v>Yedashe</v>
          </cell>
          <cell r="O178" t="str">
            <v>Yedashe</v>
          </cell>
          <cell r="P178" t="str">
            <v>Bago East</v>
          </cell>
          <cell r="Q178" t="str">
            <v>19</v>
          </cell>
          <cell r="R178" t="str">
            <v>Yedashe</v>
          </cell>
          <cell r="S178" t="str">
            <v>98</v>
          </cell>
          <cell r="T178" t="str">
            <v>GSM+UMTS</v>
          </cell>
          <cell r="W178" t="str">
            <v>Ph2-Priority</v>
          </cell>
          <cell r="X178" t="str">
            <v>45</v>
          </cell>
          <cell r="Y178" t="str">
            <v>47</v>
          </cell>
          <cell r="Z178" t="str">
            <v>GBT</v>
          </cell>
          <cell r="AA178" t="str">
            <v>500</v>
          </cell>
          <cell r="AB178" t="str">
            <v>Access</v>
          </cell>
          <cell r="AC178" t="str">
            <v>Class C</v>
          </cell>
          <cell r="BE178" t="str">
            <v>Route 10 Mandalay - Myitkyina</v>
          </cell>
          <cell r="BH178" t="str">
            <v>Leadcom</v>
          </cell>
          <cell r="BJ178">
            <v>42155</v>
          </cell>
          <cell r="BK178">
            <v>42166</v>
          </cell>
          <cell r="BL178">
            <v>42160</v>
          </cell>
          <cell r="BM178">
            <v>42173</v>
          </cell>
          <cell r="BT178">
            <v>22</v>
          </cell>
          <cell r="BU178">
            <v>42205</v>
          </cell>
          <cell r="BV178">
            <v>42188</v>
          </cell>
          <cell r="BW178" t="str">
            <v>96.28678</v>
          </cell>
          <cell r="BX178" t="str">
            <v>19.3207</v>
          </cell>
          <cell r="BY178" t="str">
            <v>C3</v>
          </cell>
          <cell r="BZ178" t="str">
            <v>No(237), Sin Su Ward, Thar Ga Ya Town, Yay Tar Shae Tsp</v>
          </cell>
          <cell r="CA178" t="str">
            <v>U Saw Gentry</v>
          </cell>
          <cell r="CB178" t="str">
            <v>29 July 15: C3 SAR updated technical info released because  Tower height reduce to 35 M as per Apollo request;3 July 15 : C3 SAR sub(135 M from Nominal)</v>
          </cell>
          <cell r="CC178" t="str">
            <v>Residential</v>
          </cell>
          <cell r="CE178">
            <v>3</v>
          </cell>
          <cell r="CF178">
            <v>42206</v>
          </cell>
          <cell r="CG178">
            <v>42191</v>
          </cell>
          <cell r="CH178">
            <v>42208</v>
          </cell>
          <cell r="CJ178">
            <v>42199</v>
          </cell>
          <cell r="CK178" t="str">
            <v>45</v>
          </cell>
          <cell r="CL178" t="str">
            <v>47</v>
          </cell>
          <cell r="CM178" t="str">
            <v>60</v>
          </cell>
          <cell r="CN178">
            <v>10</v>
          </cell>
          <cell r="CO178">
            <v>42211</v>
          </cell>
          <cell r="CP178">
            <v>42201</v>
          </cell>
          <cell r="CQ178" t="str">
            <v>M1: grid power + battery</v>
          </cell>
          <cell r="CR178">
            <v>1</v>
          </cell>
          <cell r="CS178">
            <v>42212</v>
          </cell>
          <cell r="CT178">
            <v>42202</v>
          </cell>
          <cell r="CU178" t="str">
            <v>BA0926</v>
          </cell>
          <cell r="DH178">
            <v>31</v>
          </cell>
          <cell r="DI178">
            <v>42222</v>
          </cell>
          <cell r="DK178">
            <v>42219</v>
          </cell>
          <cell r="DM178">
            <v>42223</v>
          </cell>
          <cell r="DO178">
            <v>0</v>
          </cell>
          <cell r="DP178">
            <v>42222</v>
          </cell>
          <cell r="DT178">
            <v>0</v>
          </cell>
          <cell r="DU178">
            <v>42237</v>
          </cell>
          <cell r="DW178">
            <v>0</v>
          </cell>
          <cell r="DY178">
            <v>42223</v>
          </cell>
          <cell r="DZ178">
            <v>42238</v>
          </cell>
          <cell r="EA178" t="str">
            <v>Leadcom</v>
          </cell>
          <cell r="EJ178">
            <v>0</v>
          </cell>
          <cell r="EK178">
            <v>42245</v>
          </cell>
          <cell r="EM178">
            <v>42246</v>
          </cell>
          <cell r="EQ178">
            <v>42258</v>
          </cell>
          <cell r="EW178">
            <v>0</v>
          </cell>
          <cell r="EX178">
            <v>42272</v>
          </cell>
          <cell r="EZ178">
            <v>42268</v>
          </cell>
          <cell r="FB178">
            <v>42270</v>
          </cell>
          <cell r="FU178">
            <v>42272</v>
          </cell>
          <cell r="FW178">
            <v>42272</v>
          </cell>
          <cell r="GJ178">
            <v>0</v>
          </cell>
          <cell r="GN178" t="str">
            <v>ERICSSON</v>
          </cell>
          <cell r="GU178" t="str">
            <v xml:space="preserve">		</v>
          </cell>
          <cell r="HD178">
            <v>1</v>
          </cell>
        </row>
        <row r="179">
          <cell r="A179" t="str">
            <v>BA0927</v>
          </cell>
          <cell r="B179" t="str">
            <v>ACBA_0228</v>
          </cell>
          <cell r="C179" t="str">
            <v>Apollo</v>
          </cell>
          <cell r="D179" t="str">
            <v>Chris Thomson</v>
          </cell>
          <cell r="F179" t="str">
            <v>Phyo Wai Maung</v>
          </cell>
          <cell r="G179" t="str">
            <v>Paing Thu Soe</v>
          </cell>
          <cell r="H179" t="str">
            <v>RED</v>
          </cell>
          <cell r="I179" t="str">
            <v>South</v>
          </cell>
          <cell r="J179" t="str">
            <v>96.3689</v>
          </cell>
          <cell r="K179" t="str">
            <v>19.2599</v>
          </cell>
          <cell r="L179" t="str">
            <v>Rural</v>
          </cell>
          <cell r="M179" t="str">
            <v>Bago East</v>
          </cell>
          <cell r="N179" t="str">
            <v>Yedashe</v>
          </cell>
          <cell r="O179" t="str">
            <v>Yedashe</v>
          </cell>
          <cell r="P179" t="str">
            <v>Bago East</v>
          </cell>
          <cell r="Q179" t="str">
            <v>19</v>
          </cell>
          <cell r="R179" t="str">
            <v>Yedashe</v>
          </cell>
          <cell r="S179" t="str">
            <v>98</v>
          </cell>
          <cell r="T179" t="str">
            <v>GSM+UMTS</v>
          </cell>
          <cell r="W179" t="str">
            <v>Ph2-Priority</v>
          </cell>
          <cell r="X179" t="str">
            <v>45</v>
          </cell>
          <cell r="Y179" t="str">
            <v>47</v>
          </cell>
          <cell r="Z179" t="str">
            <v>GBT</v>
          </cell>
          <cell r="AA179" t="str">
            <v>500</v>
          </cell>
          <cell r="AB179" t="str">
            <v>Access</v>
          </cell>
          <cell r="AC179" t="str">
            <v>Class C</v>
          </cell>
          <cell r="BE179" t="str">
            <v>Indaw - Bhamo</v>
          </cell>
          <cell r="BH179" t="str">
            <v>Leadcom</v>
          </cell>
          <cell r="BJ179">
            <v>42155</v>
          </cell>
          <cell r="BK179">
            <v>42166</v>
          </cell>
          <cell r="BL179">
            <v>42160</v>
          </cell>
          <cell r="BM179">
            <v>42173</v>
          </cell>
          <cell r="BT179">
            <v>56</v>
          </cell>
          <cell r="BU179">
            <v>42202</v>
          </cell>
          <cell r="BV179">
            <v>42222</v>
          </cell>
          <cell r="BW179" t="str">
            <v>96.36988</v>
          </cell>
          <cell r="BX179" t="str">
            <v>19.25932</v>
          </cell>
          <cell r="BY179" t="str">
            <v>C3</v>
          </cell>
          <cell r="BZ179" t="str">
            <v>Si Pie Village and Group, Taungoo Distinct, Yay Tar She Township, Bago Division.</v>
          </cell>
          <cell r="CA179" t="str">
            <v>U Soe Win</v>
          </cell>
          <cell r="CB179" t="str">
            <v>16 Aug 15 : C3 TSSR sub(Road leading to the Site is unpassable during rainy season, construction can start on sunny days)</v>
          </cell>
          <cell r="CC179" t="str">
            <v>Residential</v>
          </cell>
          <cell r="CE179">
            <v>1</v>
          </cell>
          <cell r="CF179">
            <v>42203</v>
          </cell>
          <cell r="CG179">
            <v>42223</v>
          </cell>
          <cell r="CH179">
            <v>42205</v>
          </cell>
          <cell r="CJ179">
            <v>42230</v>
          </cell>
          <cell r="CK179" t="str">
            <v>45</v>
          </cell>
          <cell r="CL179" t="str">
            <v>47</v>
          </cell>
          <cell r="CM179" t="str">
            <v>50</v>
          </cell>
          <cell r="CN179">
            <v>9</v>
          </cell>
          <cell r="CO179">
            <v>42208</v>
          </cell>
          <cell r="CP179">
            <v>42232</v>
          </cell>
          <cell r="CQ179" t="str">
            <v>M4: solar + DG + battery</v>
          </cell>
          <cell r="CR179">
            <v>1</v>
          </cell>
          <cell r="CS179">
            <v>42209</v>
          </cell>
          <cell r="CT179">
            <v>42233</v>
          </cell>
          <cell r="CU179" t="str">
            <v>BA0927</v>
          </cell>
          <cell r="DH179">
            <v>0</v>
          </cell>
          <cell r="DI179">
            <v>42219</v>
          </cell>
          <cell r="DK179">
            <v>42216</v>
          </cell>
          <cell r="DM179">
            <v>42220</v>
          </cell>
          <cell r="DO179">
            <v>0</v>
          </cell>
          <cell r="DP179">
            <v>42219</v>
          </cell>
          <cell r="DT179">
            <v>0</v>
          </cell>
          <cell r="DU179">
            <v>42234</v>
          </cell>
          <cell r="DW179">
            <v>0</v>
          </cell>
          <cell r="DY179">
            <v>42220</v>
          </cell>
          <cell r="EA179" t="str">
            <v>Leadcom</v>
          </cell>
          <cell r="EJ179">
            <v>0</v>
          </cell>
          <cell r="EK179">
            <v>42237</v>
          </cell>
          <cell r="EM179">
            <v>42238</v>
          </cell>
          <cell r="EQ179">
            <v>42247</v>
          </cell>
          <cell r="EW179">
            <v>0</v>
          </cell>
          <cell r="EX179">
            <v>42261</v>
          </cell>
          <cell r="EZ179">
            <v>42257</v>
          </cell>
          <cell r="FB179">
            <v>42259</v>
          </cell>
          <cell r="FU179">
            <v>42261</v>
          </cell>
          <cell r="FW179">
            <v>42261</v>
          </cell>
          <cell r="GJ179">
            <v>0</v>
          </cell>
          <cell r="GN179" t="str">
            <v>ERICSSON</v>
          </cell>
          <cell r="GU179" t="str">
            <v xml:space="preserve">		</v>
          </cell>
          <cell r="HD179">
            <v>1</v>
          </cell>
        </row>
        <row r="180">
          <cell r="A180" t="str">
            <v>BA0928</v>
          </cell>
          <cell r="B180" t="str">
            <v>ACBA_0229</v>
          </cell>
          <cell r="C180" t="str">
            <v>Apollo</v>
          </cell>
          <cell r="D180" t="str">
            <v>Chris Thomson</v>
          </cell>
          <cell r="F180" t="str">
            <v>Phyo Wai Maung</v>
          </cell>
          <cell r="G180" t="str">
            <v>Paing Thu Soe</v>
          </cell>
          <cell r="H180" t="str">
            <v>RED</v>
          </cell>
          <cell r="I180" t="str">
            <v>South</v>
          </cell>
          <cell r="J180" t="str">
            <v>96.2917</v>
          </cell>
          <cell r="K180" t="str">
            <v>19.2806</v>
          </cell>
          <cell r="L180" t="str">
            <v>Rural</v>
          </cell>
          <cell r="M180" t="str">
            <v>Bago East</v>
          </cell>
          <cell r="N180" t="str">
            <v>Yedashe</v>
          </cell>
          <cell r="O180" t="str">
            <v>Yedashe</v>
          </cell>
          <cell r="P180" t="str">
            <v>Bago East</v>
          </cell>
          <cell r="Q180" t="str">
            <v>19</v>
          </cell>
          <cell r="R180" t="str">
            <v>Yedashe</v>
          </cell>
          <cell r="S180" t="str">
            <v>98</v>
          </cell>
          <cell r="T180" t="str">
            <v>GSM+UMTS</v>
          </cell>
          <cell r="W180" t="str">
            <v>Ph2-Priority</v>
          </cell>
          <cell r="X180" t="str">
            <v>45</v>
          </cell>
          <cell r="Y180" t="str">
            <v>47</v>
          </cell>
          <cell r="Z180" t="str">
            <v>GBT</v>
          </cell>
          <cell r="AA180" t="str">
            <v>500</v>
          </cell>
          <cell r="AB180" t="str">
            <v>Access</v>
          </cell>
          <cell r="AC180" t="str">
            <v>Class C</v>
          </cell>
          <cell r="BE180" t="str">
            <v>Route 12 Taunggyi-Taungoo</v>
          </cell>
          <cell r="BH180" t="str">
            <v>Leadcom</v>
          </cell>
          <cell r="BJ180">
            <v>42155</v>
          </cell>
          <cell r="BK180">
            <v>42169</v>
          </cell>
          <cell r="BL180">
            <v>42160</v>
          </cell>
          <cell r="BM180">
            <v>42176</v>
          </cell>
          <cell r="BT180">
            <v>30</v>
          </cell>
          <cell r="BU180">
            <v>42202</v>
          </cell>
          <cell r="BV180">
            <v>42199</v>
          </cell>
          <cell r="BW180" t="str">
            <v>96.29198</v>
          </cell>
          <cell r="BX180" t="str">
            <v>19.28142</v>
          </cell>
          <cell r="BY180" t="str">
            <v>C1</v>
          </cell>
          <cell r="BZ180" t="str">
            <v>Padauk Myaing, Swar, Yaetarshay Tsp, Bago.</v>
          </cell>
          <cell r="CA180" t="str">
            <v>U Tin Maung Myint Win, 09 973065299, 09 979057587</v>
          </cell>
          <cell r="CB180" t="str">
            <v>29 July 15: C1 SAR updated technical info released because  Tower height reduce to 35 M as per Apollo request.</v>
          </cell>
          <cell r="CC180" t="str">
            <v>RESIDENTIAL</v>
          </cell>
          <cell r="CE180">
            <v>1</v>
          </cell>
          <cell r="CF180">
            <v>42203</v>
          </cell>
          <cell r="CG180">
            <v>42200</v>
          </cell>
          <cell r="CH180">
            <v>42205</v>
          </cell>
          <cell r="CJ180">
            <v>42203</v>
          </cell>
          <cell r="CK180" t="str">
            <v>45</v>
          </cell>
          <cell r="CL180" t="str">
            <v>47</v>
          </cell>
          <cell r="CM180" t="str">
            <v>50</v>
          </cell>
          <cell r="CN180">
            <v>5</v>
          </cell>
          <cell r="CO180">
            <v>42208</v>
          </cell>
          <cell r="CP180">
            <v>42205</v>
          </cell>
          <cell r="CQ180" t="str">
            <v>M1: grid power + battery</v>
          </cell>
          <cell r="CR180">
            <v>2</v>
          </cell>
          <cell r="CS180">
            <v>42209</v>
          </cell>
          <cell r="CT180">
            <v>42207</v>
          </cell>
          <cell r="CU180" t="str">
            <v>BA0928</v>
          </cell>
          <cell r="DH180">
            <v>26</v>
          </cell>
          <cell r="DI180">
            <v>42219</v>
          </cell>
          <cell r="DK180">
            <v>42216</v>
          </cell>
          <cell r="DM180">
            <v>42220</v>
          </cell>
          <cell r="DO180">
            <v>0</v>
          </cell>
          <cell r="DP180">
            <v>42219</v>
          </cell>
          <cell r="DT180">
            <v>0</v>
          </cell>
          <cell r="DU180">
            <v>42234</v>
          </cell>
          <cell r="DW180">
            <v>0</v>
          </cell>
          <cell r="DY180">
            <v>42220</v>
          </cell>
          <cell r="DZ180">
            <v>42240</v>
          </cell>
          <cell r="EA180" t="str">
            <v>Leadcom</v>
          </cell>
          <cell r="EJ180">
            <v>0</v>
          </cell>
          <cell r="EK180">
            <v>42237</v>
          </cell>
          <cell r="EM180">
            <v>42238</v>
          </cell>
          <cell r="EQ180">
            <v>42247</v>
          </cell>
          <cell r="EW180">
            <v>0</v>
          </cell>
          <cell r="EX180">
            <v>42261</v>
          </cell>
          <cell r="EZ180">
            <v>42257</v>
          </cell>
          <cell r="FB180">
            <v>42259</v>
          </cell>
          <cell r="FU180">
            <v>42261</v>
          </cell>
          <cell r="FW180">
            <v>42261</v>
          </cell>
          <cell r="GJ180">
            <v>0</v>
          </cell>
          <cell r="GN180" t="str">
            <v>ERICSSON</v>
          </cell>
          <cell r="GU180" t="str">
            <v xml:space="preserve">		</v>
          </cell>
          <cell r="HD180">
            <v>1</v>
          </cell>
        </row>
        <row r="181">
          <cell r="A181" t="str">
            <v>BA0929</v>
          </cell>
          <cell r="B181" t="str">
            <v>ACBA_0230</v>
          </cell>
          <cell r="C181" t="str">
            <v>Apollo</v>
          </cell>
          <cell r="D181" t="str">
            <v>Robert</v>
          </cell>
          <cell r="F181" t="str">
            <v>Phyo Wai Maung</v>
          </cell>
          <cell r="G181" t="str">
            <v>Paing Thu Soe</v>
          </cell>
          <cell r="H181" t="str">
            <v>RED</v>
          </cell>
          <cell r="I181" t="str">
            <v>South</v>
          </cell>
          <cell r="J181" t="str">
            <v>96.6068</v>
          </cell>
          <cell r="K181" t="str">
            <v>18.2622</v>
          </cell>
          <cell r="L181" t="str">
            <v>Rural</v>
          </cell>
          <cell r="M181" t="str">
            <v>Bago East</v>
          </cell>
          <cell r="N181" t="str">
            <v>Kyauktaga</v>
          </cell>
          <cell r="O181" t="str">
            <v>Kyauktaga</v>
          </cell>
          <cell r="P181" t="str">
            <v>Bago East</v>
          </cell>
          <cell r="Q181" t="str">
            <v>19</v>
          </cell>
          <cell r="R181" t="str">
            <v>Kyauktaga</v>
          </cell>
          <cell r="S181" t="str">
            <v>94</v>
          </cell>
          <cell r="T181" t="str">
            <v>GSM+UMTS</v>
          </cell>
          <cell r="W181" t="str">
            <v>Ph2-Priority</v>
          </cell>
          <cell r="X181" t="str">
            <v>45</v>
          </cell>
          <cell r="Y181" t="str">
            <v>47</v>
          </cell>
          <cell r="Z181" t="str">
            <v>GBT</v>
          </cell>
          <cell r="AA181" t="str">
            <v>500</v>
          </cell>
          <cell r="AB181" t="str">
            <v>Access</v>
          </cell>
          <cell r="AC181" t="str">
            <v>Class C</v>
          </cell>
          <cell r="BE181" t="str">
            <v>Route 9 Mandalay - Muse</v>
          </cell>
          <cell r="BH181" t="str">
            <v>Leadcom</v>
          </cell>
          <cell r="BJ181">
            <v>42155</v>
          </cell>
          <cell r="BK181">
            <v>42130</v>
          </cell>
          <cell r="BL181">
            <v>42160</v>
          </cell>
          <cell r="BM181">
            <v>42137</v>
          </cell>
          <cell r="BT181">
            <v>17</v>
          </cell>
          <cell r="BU181">
            <v>42202</v>
          </cell>
          <cell r="BV181">
            <v>42147</v>
          </cell>
          <cell r="BW181" t="str">
            <v>96.30516</v>
          </cell>
          <cell r="BX181" t="str">
            <v>21.8496</v>
          </cell>
          <cell r="BY181" t="str">
            <v>C1</v>
          </cell>
          <cell r="BZ181" t="str">
            <v>Nyaung Paw Village, PaePin Village Group, PyinOoLwin Township</v>
          </cell>
          <cell r="CA181" t="str">
            <v>U Bo Sate;Nyaung Paw Village, PaePin Village Group, PyinOoLwin Township;09-256617091, 09-256020220,09-258650902</v>
          </cell>
          <cell r="CB181" t="str">
            <v>23May15: C1 SAR Sub</v>
          </cell>
          <cell r="CC181" t="str">
            <v>Farmland</v>
          </cell>
          <cell r="CE181">
            <v>0</v>
          </cell>
          <cell r="CF181">
            <v>42203</v>
          </cell>
          <cell r="CG181">
            <v>42150</v>
          </cell>
          <cell r="CH181">
            <v>42205</v>
          </cell>
          <cell r="CJ181">
            <v>42168</v>
          </cell>
          <cell r="CK181" t="str">
            <v>45</v>
          </cell>
          <cell r="CL181" t="str">
            <v>47</v>
          </cell>
          <cell r="CM181" t="str">
            <v>47</v>
          </cell>
          <cell r="CN181">
            <v>0</v>
          </cell>
          <cell r="CO181">
            <v>42208</v>
          </cell>
          <cell r="CP181">
            <v>42157</v>
          </cell>
          <cell r="CQ181" t="str">
            <v>M4: solar + DG + battery</v>
          </cell>
          <cell r="CR181">
            <v>0</v>
          </cell>
          <cell r="CS181">
            <v>42209</v>
          </cell>
          <cell r="CT181">
            <v>42170</v>
          </cell>
          <cell r="CU181" t="str">
            <v>BA0929</v>
          </cell>
          <cell r="DH181">
            <v>0</v>
          </cell>
          <cell r="DI181">
            <v>42219</v>
          </cell>
          <cell r="DJ181">
            <v>42185</v>
          </cell>
          <cell r="DK181">
            <v>42216</v>
          </cell>
          <cell r="DL181">
            <v>42172</v>
          </cell>
          <cell r="DM181">
            <v>42220</v>
          </cell>
          <cell r="DN181">
            <v>42188</v>
          </cell>
          <cell r="DO181">
            <v>0</v>
          </cell>
          <cell r="DP181">
            <v>42219</v>
          </cell>
          <cell r="DQ181">
            <v>42185</v>
          </cell>
          <cell r="DT181">
            <v>0</v>
          </cell>
          <cell r="DU181">
            <v>42234</v>
          </cell>
          <cell r="DV181">
            <v>42200</v>
          </cell>
          <cell r="DW181">
            <v>0</v>
          </cell>
          <cell r="DY181">
            <v>42220</v>
          </cell>
          <cell r="DZ181">
            <v>42188</v>
          </cell>
          <cell r="EA181" t="str">
            <v>Leadcom</v>
          </cell>
          <cell r="EE181" t="str">
            <v xml:space="preserve">10 Aug 15:Rain affected_Progress affected; 3-Aug-15: Rain affected_ Site is progressing but rain is affecting the work every day.  Excavation IP								</v>
          </cell>
          <cell r="EJ181">
            <v>0</v>
          </cell>
          <cell r="EK181">
            <v>42237</v>
          </cell>
          <cell r="EM181">
            <v>42238</v>
          </cell>
          <cell r="EQ181">
            <v>42247</v>
          </cell>
          <cell r="EW181">
            <v>0</v>
          </cell>
          <cell r="EX181">
            <v>42261</v>
          </cell>
          <cell r="EZ181">
            <v>42257</v>
          </cell>
          <cell r="FB181">
            <v>42259</v>
          </cell>
          <cell r="FU181">
            <v>42261</v>
          </cell>
          <cell r="FW181">
            <v>42261</v>
          </cell>
          <cell r="GJ181">
            <v>0</v>
          </cell>
          <cell r="GN181" t="str">
            <v>ERICSSON</v>
          </cell>
          <cell r="GP181">
            <v>42206</v>
          </cell>
          <cell r="GU181" t="str">
            <v xml:space="preserve">		</v>
          </cell>
          <cell r="HD181">
            <v>1</v>
          </cell>
        </row>
        <row r="182">
          <cell r="A182" t="str">
            <v>BA0930</v>
          </cell>
          <cell r="B182" t="str">
            <v>ACBA_0231</v>
          </cell>
          <cell r="C182" t="str">
            <v>Apollo</v>
          </cell>
          <cell r="D182" t="str">
            <v>Chris Thomson</v>
          </cell>
          <cell r="F182" t="str">
            <v>Phyo Wai Maung</v>
          </cell>
          <cell r="G182" t="str">
            <v>Cho Yee Thaung</v>
          </cell>
          <cell r="H182" t="str">
            <v>YELLOW</v>
          </cell>
          <cell r="I182" t="str">
            <v>South</v>
          </cell>
          <cell r="J182" t="str">
            <v>95.4384</v>
          </cell>
          <cell r="K182" t="str">
            <v>18.3495</v>
          </cell>
          <cell r="L182" t="str">
            <v>Rural</v>
          </cell>
          <cell r="M182" t="str">
            <v>Bago West</v>
          </cell>
          <cell r="N182" t="str">
            <v>Nattalin</v>
          </cell>
          <cell r="O182" t="str">
            <v>Nattalin</v>
          </cell>
          <cell r="P182" t="str">
            <v>Bago West</v>
          </cell>
          <cell r="Q182" t="str">
            <v>20</v>
          </cell>
          <cell r="R182" t="str">
            <v>Nattalin</v>
          </cell>
          <cell r="S182" t="str">
            <v>114</v>
          </cell>
          <cell r="T182" t="str">
            <v>GSM+UMTS</v>
          </cell>
          <cell r="W182" t="str">
            <v>Ph2-Priority</v>
          </cell>
          <cell r="X182" t="str">
            <v>45</v>
          </cell>
          <cell r="Y182" t="str">
            <v>47</v>
          </cell>
          <cell r="Z182" t="str">
            <v>GBT</v>
          </cell>
          <cell r="AA182" t="str">
            <v>500</v>
          </cell>
          <cell r="AB182" t="str">
            <v>Access</v>
          </cell>
          <cell r="AC182" t="str">
            <v>Class C</v>
          </cell>
          <cell r="BE182" t="str">
            <v>Route 7 Bago - Pyawbwe</v>
          </cell>
          <cell r="BH182" t="str">
            <v>IENG</v>
          </cell>
          <cell r="BJ182">
            <v>42147</v>
          </cell>
          <cell r="BK182">
            <v>42132</v>
          </cell>
          <cell r="BL182">
            <v>42152</v>
          </cell>
          <cell r="BM182">
            <v>42139</v>
          </cell>
          <cell r="BT182">
            <v>17</v>
          </cell>
          <cell r="BU182">
            <v>42199</v>
          </cell>
          <cell r="BV182">
            <v>42149</v>
          </cell>
          <cell r="BW182" t="str">
            <v>95.43803</v>
          </cell>
          <cell r="BX182" t="str">
            <v>18.34873</v>
          </cell>
          <cell r="BY182" t="str">
            <v>C1</v>
          </cell>
          <cell r="BZ182" t="str">
            <v>Sat Khone Village, Nat Ta Lin Twonship,Bago.</v>
          </cell>
          <cell r="CA182" t="str">
            <v>U Than Zaw;Sat Khone Village, Nat Ta Lin Twonship,Bago;09-423706004</v>
          </cell>
          <cell r="CB182" t="str">
            <v>25May15: C1 SAR Sub</v>
          </cell>
          <cell r="CE182">
            <v>1</v>
          </cell>
          <cell r="CF182">
            <v>42200</v>
          </cell>
          <cell r="CG182">
            <v>42150</v>
          </cell>
          <cell r="CH182">
            <v>42202</v>
          </cell>
          <cell r="CJ182">
            <v>42155</v>
          </cell>
          <cell r="CK182" t="str">
            <v>45</v>
          </cell>
          <cell r="CL182" t="str">
            <v>47</v>
          </cell>
          <cell r="CM182" t="str">
            <v>50</v>
          </cell>
          <cell r="CN182">
            <v>7</v>
          </cell>
          <cell r="CO182">
            <v>42205</v>
          </cell>
          <cell r="CP182">
            <v>42157</v>
          </cell>
          <cell r="CQ182" t="str">
            <v>M4: solar + DG + battery</v>
          </cell>
          <cell r="CR182">
            <v>1</v>
          </cell>
          <cell r="CS182">
            <v>42206</v>
          </cell>
          <cell r="CT182">
            <v>42158</v>
          </cell>
          <cell r="CU182" t="str">
            <v>BA0930</v>
          </cell>
          <cell r="DH182">
            <v>75</v>
          </cell>
          <cell r="DI182">
            <v>42216</v>
          </cell>
          <cell r="DK182">
            <v>42213</v>
          </cell>
          <cell r="DL182">
            <v>42167</v>
          </cell>
          <cell r="DM182">
            <v>42217</v>
          </cell>
          <cell r="DN182">
            <v>42175</v>
          </cell>
          <cell r="DO182">
            <v>0</v>
          </cell>
          <cell r="DP182">
            <v>42216</v>
          </cell>
          <cell r="DT182">
            <v>0</v>
          </cell>
          <cell r="DU182">
            <v>42231</v>
          </cell>
          <cell r="DW182">
            <v>0</v>
          </cell>
          <cell r="DY182">
            <v>42217</v>
          </cell>
          <cell r="DZ182">
            <v>42175</v>
          </cell>
          <cell r="EA182" t="str">
            <v>IENG</v>
          </cell>
          <cell r="EB182">
            <v>42212</v>
          </cell>
          <cell r="ED182" t="str">
            <v>21Aug15 :ChoYee.Thaung: 23/7/15 : Tower erection start today, Equ slab will done tomorrow_x000D_
15/7/15 : Pedestal casted done, backfilling on going
14Jul15 :ChoYee.Thaung: 9/7/15 : Rebar work done, footing casted done, waiting for anchor bolt and nut, _x000D_
2/7/15 : Rebar work on going_x000D_
1/7/15 : Excavation done, rebar work on going
24Jun15 :ChoYee.Thaung: Excavation on going</v>
          </cell>
          <cell r="EE182" t="str">
            <v xml:space="preserve">10 Aug 15:Flood affected_Hold-No access; 27-Jul-15: ACCESS PROBLEM IF CONTINUOUS RAIN (DIRT ROAD),access road issue-broken bridge on the wat to site 								</v>
          </cell>
          <cell r="EJ182">
            <v>24</v>
          </cell>
          <cell r="EK182">
            <v>42234</v>
          </cell>
          <cell r="EL182">
            <v>42199</v>
          </cell>
          <cell r="EM182">
            <v>42235</v>
          </cell>
          <cell r="EN182">
            <v>42202</v>
          </cell>
          <cell r="EQ182">
            <v>42244</v>
          </cell>
          <cell r="ER182">
            <v>42247</v>
          </cell>
          <cell r="ES182">
            <v>42209</v>
          </cell>
          <cell r="ET182">
            <v>42247</v>
          </cell>
          <cell r="EU182">
            <v>42247</v>
          </cell>
          <cell r="EW182">
            <v>58</v>
          </cell>
          <cell r="EX182">
            <v>42258</v>
          </cell>
          <cell r="EZ182">
            <v>42254</v>
          </cell>
          <cell r="FA182">
            <v>42229</v>
          </cell>
          <cell r="FB182">
            <v>42256</v>
          </cell>
          <cell r="FC182">
            <v>42234</v>
          </cell>
          <cell r="FE182">
            <v>42193</v>
          </cell>
          <cell r="FU182">
            <v>42258</v>
          </cell>
          <cell r="FW182">
            <v>42258</v>
          </cell>
          <cell r="FX182">
            <v>42247</v>
          </cell>
          <cell r="FY182" t="str">
            <v>TN</v>
          </cell>
          <cell r="FZ182">
            <v>42205</v>
          </cell>
          <cell r="GA182">
            <v>42206</v>
          </cell>
          <cell r="GB182">
            <v>42221</v>
          </cell>
          <cell r="GC182">
            <v>42249</v>
          </cell>
          <cell r="GD182">
            <v>42249</v>
          </cell>
          <cell r="GE182">
            <v>42221</v>
          </cell>
          <cell r="GF182">
            <v>42221</v>
          </cell>
          <cell r="GG182">
            <v>42249</v>
          </cell>
          <cell r="GH182">
            <v>42249</v>
          </cell>
          <cell r="GI182">
            <v>42246</v>
          </cell>
          <cell r="GJ182" t="str">
            <v>36-2015</v>
          </cell>
          <cell r="GK182">
            <v>42249</v>
          </cell>
          <cell r="GL182" t="str">
            <v>AZM to TN</v>
          </cell>
          <cell r="GN182" t="str">
            <v xml:space="preserve">ERICSSON </v>
          </cell>
          <cell r="GQ182">
            <v>0</v>
          </cell>
          <cell r="GU182" t="str">
            <v xml:space="preserve">		</v>
          </cell>
          <cell r="HD182">
            <v>1</v>
          </cell>
        </row>
        <row r="183">
          <cell r="A183" t="str">
            <v>BA0931</v>
          </cell>
          <cell r="B183" t="str">
            <v>ACBA_0232</v>
          </cell>
          <cell r="C183" t="str">
            <v>Apollo</v>
          </cell>
          <cell r="D183" t="str">
            <v>Emilio Ruiz</v>
          </cell>
          <cell r="F183" t="str">
            <v>Phyo Wai Maung</v>
          </cell>
          <cell r="G183" t="str">
            <v>Cho Yee Thaung</v>
          </cell>
          <cell r="H183" t="str">
            <v>GREEN</v>
          </cell>
          <cell r="I183" t="str">
            <v>South</v>
          </cell>
          <cell r="J183" t="str">
            <v>95.7142</v>
          </cell>
          <cell r="K183" t="str">
            <v>17.9482</v>
          </cell>
          <cell r="L183" t="str">
            <v>Rural</v>
          </cell>
          <cell r="M183" t="str">
            <v>Bago West</v>
          </cell>
          <cell r="N183" t="str">
            <v>Minhla</v>
          </cell>
          <cell r="O183" t="str">
            <v>Minhla</v>
          </cell>
          <cell r="P183" t="str">
            <v>Bago West</v>
          </cell>
          <cell r="Q183" t="str">
            <v>20</v>
          </cell>
          <cell r="R183" t="str">
            <v>Minhla</v>
          </cell>
          <cell r="S183" t="str">
            <v>111</v>
          </cell>
          <cell r="T183" t="str">
            <v>GSM+UMTS</v>
          </cell>
          <cell r="W183" t="str">
            <v>Ph2-Priority</v>
          </cell>
          <cell r="X183" t="str">
            <v>45</v>
          </cell>
          <cell r="Y183" t="str">
            <v>47</v>
          </cell>
          <cell r="Z183" t="str">
            <v>GBT</v>
          </cell>
          <cell r="AA183" t="str">
            <v>500</v>
          </cell>
          <cell r="AB183" t="str">
            <v>Access</v>
          </cell>
          <cell r="AC183" t="str">
            <v>Class C</v>
          </cell>
          <cell r="BH183" t="str">
            <v>IENG</v>
          </cell>
          <cell r="BJ183">
            <v>42147</v>
          </cell>
          <cell r="BK183">
            <v>42127</v>
          </cell>
          <cell r="BL183">
            <v>42152</v>
          </cell>
          <cell r="BM183">
            <v>42134</v>
          </cell>
          <cell r="BT183">
            <v>17</v>
          </cell>
          <cell r="BU183">
            <v>42199</v>
          </cell>
          <cell r="BV183">
            <v>42144</v>
          </cell>
          <cell r="BW183" t="str">
            <v>95.71387</v>
          </cell>
          <cell r="BX183" t="str">
            <v>17.94971</v>
          </cell>
          <cell r="BY183" t="str">
            <v>C1</v>
          </cell>
          <cell r="BZ183" t="str">
            <v>Za Yi Chaung, Chaung Nar Village</v>
          </cell>
          <cell r="CA183" t="str">
            <v>U Kyaw Myo Htun;Za Yi Chaung Group,Chaung Nar Village.Min Hla tsp;09-262384745;09-452336413</v>
          </cell>
          <cell r="CB183" t="str">
            <v>13 Aug 15 : C1 updated checklist given from E because of adding 1 MW antenna and changing link up sites information but the actual antenna height  didn't change;  6 Aug 15 : C1 TSSR checklist updated agin from E// due to updating routing links;21 July 15 : C1 TSSR updated checklist given from E// because of  rerouting links;20May15: C1 SAR Sub</v>
          </cell>
          <cell r="CC183" t="str">
            <v>Garden Land</v>
          </cell>
          <cell r="CE183">
            <v>1</v>
          </cell>
          <cell r="CF183">
            <v>42200</v>
          </cell>
          <cell r="CG183">
            <v>42145</v>
          </cell>
          <cell r="CH183">
            <v>42202</v>
          </cell>
          <cell r="CJ183">
            <v>42148</v>
          </cell>
          <cell r="CK183" t="str">
            <v>45</v>
          </cell>
          <cell r="CL183" t="str">
            <v>47</v>
          </cell>
          <cell r="CM183" t="str">
            <v>50</v>
          </cell>
          <cell r="CN183">
            <v>5</v>
          </cell>
          <cell r="CO183">
            <v>42205</v>
          </cell>
          <cell r="CP183">
            <v>42150</v>
          </cell>
          <cell r="CQ183" t="str">
            <v>M4: solar + DG + battery</v>
          </cell>
          <cell r="CR183">
            <v>1</v>
          </cell>
          <cell r="CS183">
            <v>42206</v>
          </cell>
          <cell r="CT183">
            <v>42151</v>
          </cell>
          <cell r="CU183" t="str">
            <v>BA0931</v>
          </cell>
          <cell r="DH183">
            <v>14</v>
          </cell>
          <cell r="DI183">
            <v>42216</v>
          </cell>
          <cell r="DJ183">
            <v>42165</v>
          </cell>
          <cell r="DK183">
            <v>42213</v>
          </cell>
          <cell r="DL183">
            <v>42172</v>
          </cell>
          <cell r="DM183">
            <v>42217</v>
          </cell>
          <cell r="DN183">
            <v>42172</v>
          </cell>
          <cell r="DO183">
            <v>0</v>
          </cell>
          <cell r="DP183">
            <v>42216</v>
          </cell>
          <cell r="DQ183">
            <v>42165</v>
          </cell>
          <cell r="DT183">
            <v>68</v>
          </cell>
          <cell r="DU183">
            <v>42231</v>
          </cell>
          <cell r="DW183">
            <v>0</v>
          </cell>
          <cell r="DY183">
            <v>42217</v>
          </cell>
          <cell r="DZ183">
            <v>42172</v>
          </cell>
          <cell r="EA183" t="str">
            <v>IENG</v>
          </cell>
          <cell r="EB183">
            <v>42216</v>
          </cell>
          <cell r="ED183" t="str">
            <v>30Jul15 :ChoYee.Thaung: 23/7/15 : Backfilling on going (50%), tower on site (18/7/15)_x000D_
14/7/15 : Pedestal will cast tomorrow
14Jul15 :ChoYee.Thaung: 10/7/15 : Footing done, Anchor bolt, nut and template will arrive today_x000D_
2/7/15 : bottom bar done, column layout done _x000D_
1/7/15 : Lean done (28/6/15), prepare to do rebar work and leveling excavated wall
24Jun15 :ChoYee.Thaung: Excavation on going (80%), tomorrow will done</v>
          </cell>
          <cell r="EE183" t="str">
            <v xml:space="preserve">10 Aug 15:Rain affected_Progress affected; 4-Aug-15:for AMB installation								</v>
          </cell>
          <cell r="EJ183">
            <v>32</v>
          </cell>
          <cell r="EK183">
            <v>42234</v>
          </cell>
          <cell r="EL183">
            <v>42204</v>
          </cell>
          <cell r="EM183">
            <v>42235</v>
          </cell>
          <cell r="EN183">
            <v>42203</v>
          </cell>
          <cell r="EQ183">
            <v>42244</v>
          </cell>
          <cell r="ER183">
            <v>42227</v>
          </cell>
          <cell r="ES183">
            <v>42222</v>
          </cell>
          <cell r="ET183">
            <v>42227</v>
          </cell>
          <cell r="EU183">
            <v>42227</v>
          </cell>
          <cell r="EW183">
            <v>61</v>
          </cell>
          <cell r="EX183">
            <v>42258</v>
          </cell>
          <cell r="EZ183">
            <v>42254</v>
          </cell>
          <cell r="FA183">
            <v>42229</v>
          </cell>
          <cell r="FB183">
            <v>42256</v>
          </cell>
          <cell r="FC183">
            <v>42231</v>
          </cell>
          <cell r="FE183">
            <v>42193</v>
          </cell>
          <cell r="FU183">
            <v>42258</v>
          </cell>
          <cell r="FW183">
            <v>42258</v>
          </cell>
          <cell r="FX183">
            <v>42232</v>
          </cell>
          <cell r="FY183" t="str">
            <v>TN</v>
          </cell>
          <cell r="FZ183">
            <v>42206</v>
          </cell>
          <cell r="GA183">
            <v>42208</v>
          </cell>
          <cell r="GB183">
            <v>42223</v>
          </cell>
          <cell r="GC183">
            <v>42233</v>
          </cell>
          <cell r="GD183">
            <v>42233</v>
          </cell>
          <cell r="GE183">
            <v>42223</v>
          </cell>
          <cell r="GF183">
            <v>42223</v>
          </cell>
          <cell r="GG183">
            <v>42234</v>
          </cell>
          <cell r="GH183">
            <v>42234</v>
          </cell>
          <cell r="GI183">
            <v>42246</v>
          </cell>
          <cell r="GJ183" t="str">
            <v>36-2015</v>
          </cell>
          <cell r="GK183">
            <v>42234</v>
          </cell>
          <cell r="GL183" t="str">
            <v>AZM to TN</v>
          </cell>
          <cell r="GN183" t="str">
            <v>ERICSSON</v>
          </cell>
          <cell r="GP183">
            <v>42198</v>
          </cell>
          <cell r="GQ183">
            <v>0</v>
          </cell>
          <cell r="GU183" t="str">
            <v xml:space="preserve">		</v>
          </cell>
          <cell r="HD183">
            <v>1</v>
          </cell>
        </row>
        <row r="184">
          <cell r="A184" t="str">
            <v>BA0932</v>
          </cell>
          <cell r="B184" t="str">
            <v>ACBA_0233</v>
          </cell>
          <cell r="C184" t="str">
            <v>Apollo</v>
          </cell>
          <cell r="D184" t="str">
            <v>Emilio Ruiz</v>
          </cell>
          <cell r="F184" t="str">
            <v>Phyo Wai Maung</v>
          </cell>
          <cell r="G184" t="str">
            <v>Cho Yee Thaung</v>
          </cell>
          <cell r="H184" t="str">
            <v>AMBER</v>
          </cell>
          <cell r="I184" t="str">
            <v>South</v>
          </cell>
          <cell r="J184" t="str">
            <v>95.6684</v>
          </cell>
          <cell r="K184" t="str">
            <v>18.1281</v>
          </cell>
          <cell r="L184" t="str">
            <v>SubUrban</v>
          </cell>
          <cell r="M184" t="str">
            <v>Bago West</v>
          </cell>
          <cell r="N184" t="str">
            <v>Okpho</v>
          </cell>
          <cell r="O184" t="str">
            <v>Okpho</v>
          </cell>
          <cell r="P184" t="str">
            <v>Bago West</v>
          </cell>
          <cell r="Q184" t="str">
            <v>20</v>
          </cell>
          <cell r="R184" t="str">
            <v>Okpho</v>
          </cell>
          <cell r="S184" t="str">
            <v>112</v>
          </cell>
          <cell r="T184" t="str">
            <v>GSM+UMTS</v>
          </cell>
          <cell r="W184" t="str">
            <v>Ph2-Priority</v>
          </cell>
          <cell r="X184" t="str">
            <v>35</v>
          </cell>
          <cell r="Y184" t="str">
            <v>37</v>
          </cell>
          <cell r="Z184" t="str">
            <v>GBT</v>
          </cell>
          <cell r="AA184" t="str">
            <v>250</v>
          </cell>
          <cell r="AB184" t="str">
            <v>Access</v>
          </cell>
          <cell r="AC184" t="str">
            <v>Class B</v>
          </cell>
          <cell r="BE184" t="str">
            <v>Indaw - Bhamo</v>
          </cell>
          <cell r="BH184" t="str">
            <v>IENG</v>
          </cell>
          <cell r="BJ184">
            <v>42124</v>
          </cell>
          <cell r="BK184">
            <v>42121</v>
          </cell>
          <cell r="BL184">
            <v>42129</v>
          </cell>
          <cell r="BM184">
            <v>42121</v>
          </cell>
          <cell r="BT184">
            <v>60</v>
          </cell>
          <cell r="BU184">
            <v>42124</v>
          </cell>
          <cell r="BV184">
            <v>42181</v>
          </cell>
          <cell r="BW184" t="str">
            <v>95.667561</v>
          </cell>
          <cell r="BX184" t="str">
            <v>18.127872</v>
          </cell>
          <cell r="BY184" t="str">
            <v>C2</v>
          </cell>
          <cell r="BZ184" t="str">
            <v>Myo Ma Quarter, Myo Ma (1) street,Okkpho Township,Bago Division.</v>
          </cell>
          <cell r="CA184" t="str">
            <v>Daw Nay Zar Lynn;Myo Ma Quarter, Myo Ma (1) street,Okkpho Township,Bago Division;09-794174299</v>
          </cell>
          <cell r="CB184" t="str">
            <v>26 June 15 : C2 SAR sub;20 May 15 : C1 TSSR app;7May15: C1 SAR Sub</v>
          </cell>
          <cell r="CC184" t="str">
            <v>VILLAGE LAND</v>
          </cell>
          <cell r="CE184">
            <v>3</v>
          </cell>
          <cell r="CF184">
            <v>42125</v>
          </cell>
          <cell r="CG184">
            <v>42184</v>
          </cell>
          <cell r="CH184">
            <v>42127</v>
          </cell>
          <cell r="CJ184">
            <v>42186</v>
          </cell>
          <cell r="CK184" t="str">
            <v>35</v>
          </cell>
          <cell r="CL184" t="str">
            <v>37</v>
          </cell>
          <cell r="CM184" t="str">
            <v>35</v>
          </cell>
          <cell r="CN184">
            <v>4</v>
          </cell>
          <cell r="CO184">
            <v>42130</v>
          </cell>
          <cell r="CP184">
            <v>42188</v>
          </cell>
          <cell r="CQ184" t="str">
            <v>M1: grid power + battery</v>
          </cell>
          <cell r="CR184">
            <v>4</v>
          </cell>
          <cell r="CS184">
            <v>42131</v>
          </cell>
          <cell r="CT184">
            <v>42192</v>
          </cell>
          <cell r="CU184" t="str">
            <v>BA0932</v>
          </cell>
          <cell r="DH184">
            <v>-27</v>
          </cell>
          <cell r="DI184">
            <v>42173</v>
          </cell>
          <cell r="DJ184">
            <v>42165</v>
          </cell>
          <cell r="DK184">
            <v>42170</v>
          </cell>
          <cell r="DL184">
            <v>42242</v>
          </cell>
          <cell r="DM184">
            <v>42174</v>
          </cell>
          <cell r="DO184">
            <v>0</v>
          </cell>
          <cell r="DP184">
            <v>42173</v>
          </cell>
          <cell r="DQ184">
            <v>42165</v>
          </cell>
          <cell r="DT184">
            <v>68</v>
          </cell>
          <cell r="DU184">
            <v>42188</v>
          </cell>
          <cell r="DW184">
            <v>0</v>
          </cell>
          <cell r="DY184">
            <v>42174</v>
          </cell>
          <cell r="DZ184">
            <v>42201</v>
          </cell>
          <cell r="EA184" t="str">
            <v>IENG</v>
          </cell>
          <cell r="EB184">
            <v>42216</v>
          </cell>
          <cell r="EE184" t="str">
            <v xml:space="preserve">10 Aug 15:Flood affected_Hold-No access; 31-Jul-15:  Site &amp; Area is flooded.								</v>
          </cell>
          <cell r="EJ184">
            <v>32</v>
          </cell>
          <cell r="EK184">
            <v>42191</v>
          </cell>
          <cell r="EL184">
            <v>42243</v>
          </cell>
          <cell r="EM184">
            <v>42192</v>
          </cell>
          <cell r="EN184">
            <v>42243</v>
          </cell>
          <cell r="EQ184">
            <v>42201</v>
          </cell>
          <cell r="ER184">
            <v>42250</v>
          </cell>
          <cell r="EW184">
            <v>32</v>
          </cell>
          <cell r="EX184">
            <v>42215</v>
          </cell>
          <cell r="EZ184">
            <v>42211</v>
          </cell>
          <cell r="FB184">
            <v>42213</v>
          </cell>
          <cell r="FU184">
            <v>42215</v>
          </cell>
          <cell r="FW184">
            <v>42215</v>
          </cell>
          <cell r="FY184" t="str">
            <v>AZM</v>
          </cell>
          <cell r="FZ184">
            <v>42244</v>
          </cell>
          <cell r="GA184">
            <v>42247</v>
          </cell>
          <cell r="GB184">
            <v>42248</v>
          </cell>
          <cell r="GE184">
            <v>42248</v>
          </cell>
          <cell r="GI184">
            <v>42307</v>
          </cell>
          <cell r="GJ184" t="str">
            <v>44-2015</v>
          </cell>
          <cell r="GN184" t="str">
            <v xml:space="preserve">ERICSSON </v>
          </cell>
          <cell r="GO184">
            <v>42152</v>
          </cell>
          <cell r="GU184" t="str">
            <v xml:space="preserve">		</v>
          </cell>
          <cell r="HD184">
            <v>1</v>
          </cell>
        </row>
        <row r="185">
          <cell r="A185" t="str">
            <v>BA0933</v>
          </cell>
          <cell r="B185" t="str">
            <v>ACBA_0234</v>
          </cell>
          <cell r="C185" t="str">
            <v>Apollo</v>
          </cell>
          <cell r="D185" t="str">
            <v>Emilio Ruiz</v>
          </cell>
          <cell r="F185" t="str">
            <v>Phyo Wai Maung</v>
          </cell>
          <cell r="G185" t="str">
            <v>Cho Yee Thaung</v>
          </cell>
          <cell r="H185" t="str">
            <v>WHITE</v>
          </cell>
          <cell r="I185" t="str">
            <v>South</v>
          </cell>
          <cell r="J185" t="str">
            <v>95.6485</v>
          </cell>
          <cell r="K185" t="str">
            <v>18.2353</v>
          </cell>
          <cell r="L185" t="str">
            <v>SubUrban</v>
          </cell>
          <cell r="M185" t="str">
            <v>Bago West</v>
          </cell>
          <cell r="N185" t="str">
            <v>Gyobingauk</v>
          </cell>
          <cell r="O185" t="str">
            <v>Gyobingauk</v>
          </cell>
          <cell r="P185" t="str">
            <v>Bago West</v>
          </cell>
          <cell r="Q185" t="str">
            <v>20</v>
          </cell>
          <cell r="R185" t="str">
            <v>Gyobingauk</v>
          </cell>
          <cell r="S185" t="str">
            <v>116</v>
          </cell>
          <cell r="T185" t="str">
            <v>GSM+UMTS</v>
          </cell>
          <cell r="W185" t="str">
            <v>Ph2-Priority</v>
          </cell>
          <cell r="X185" t="str">
            <v>35</v>
          </cell>
          <cell r="Y185" t="str">
            <v>35</v>
          </cell>
          <cell r="Z185" t="str">
            <v>GBT</v>
          </cell>
          <cell r="AA185" t="str">
            <v>250</v>
          </cell>
          <cell r="AB185" t="str">
            <v>Access</v>
          </cell>
          <cell r="AC185" t="str">
            <v>Class B</v>
          </cell>
          <cell r="BH185" t="str">
            <v>IENG</v>
          </cell>
          <cell r="BJ185">
            <v>42116</v>
          </cell>
          <cell r="BK185">
            <v>42121</v>
          </cell>
          <cell r="BL185">
            <v>42121</v>
          </cell>
          <cell r="BM185">
            <v>42132</v>
          </cell>
          <cell r="BT185">
            <v>21</v>
          </cell>
          <cell r="BU185">
            <v>42139</v>
          </cell>
          <cell r="BV185">
            <v>42142</v>
          </cell>
          <cell r="BW185" t="str">
            <v>95.651001</v>
          </cell>
          <cell r="BX185" t="str">
            <v>18.236279</v>
          </cell>
          <cell r="BY185" t="str">
            <v>C1</v>
          </cell>
          <cell r="BZ185" t="str">
            <v>Ywar Ma Taung Quarter,Gyobingouk Bago.</v>
          </cell>
          <cell r="CA185" t="str">
            <v>U Aye Myint;U Yin Htwe;Ywar Ma Taung Quarter,GyoBinGouk;09-5374063</v>
          </cell>
          <cell r="CB185" t="str">
            <v>18May15: C1 SAR Resubmitted with correct coordinates.7May15: C1 SAR Sub.</v>
          </cell>
          <cell r="CE185">
            <v>2</v>
          </cell>
          <cell r="CF185">
            <v>42140</v>
          </cell>
          <cell r="CG185">
            <v>42144</v>
          </cell>
          <cell r="CH185">
            <v>42160</v>
          </cell>
          <cell r="CJ185">
            <v>42153</v>
          </cell>
          <cell r="CK185" t="str">
            <v>35</v>
          </cell>
          <cell r="CL185" t="str">
            <v>37</v>
          </cell>
          <cell r="CM185" t="str">
            <v>35</v>
          </cell>
          <cell r="CN185">
            <v>12</v>
          </cell>
          <cell r="CO185">
            <v>42163</v>
          </cell>
          <cell r="CP185">
            <v>42156</v>
          </cell>
          <cell r="CQ185" t="str">
            <v>M1: grid power + battery</v>
          </cell>
          <cell r="CR185">
            <v>1</v>
          </cell>
          <cell r="CS185">
            <v>42164</v>
          </cell>
          <cell r="CT185">
            <v>42157</v>
          </cell>
          <cell r="CU185" t="str">
            <v>BA0933</v>
          </cell>
          <cell r="DH185">
            <v>9</v>
          </cell>
          <cell r="DI185">
            <v>42174</v>
          </cell>
          <cell r="DJ185">
            <v>42166</v>
          </cell>
          <cell r="DK185">
            <v>42171</v>
          </cell>
          <cell r="DL185">
            <v>42167</v>
          </cell>
          <cell r="DM185">
            <v>42175</v>
          </cell>
          <cell r="DN185">
            <v>42181</v>
          </cell>
          <cell r="DO185">
            <v>0</v>
          </cell>
          <cell r="DP185">
            <v>42174</v>
          </cell>
          <cell r="DQ185">
            <v>42166</v>
          </cell>
          <cell r="DT185">
            <v>67</v>
          </cell>
          <cell r="DU185">
            <v>42189</v>
          </cell>
          <cell r="DW185">
            <v>0</v>
          </cell>
          <cell r="DY185">
            <v>42175</v>
          </cell>
          <cell r="DZ185">
            <v>42180</v>
          </cell>
          <cell r="EA185" t="str">
            <v>IEng</v>
          </cell>
          <cell r="ED185" t="str">
            <v xml:space="preserve">14Jul15 :ChoYee.Thaung: 9/7/15 : Equipment pad casted done, waiting for anchor bolt, nut and template and will arrive tonight_x000D_
3/7/15: Excavation done, Lean done, Rebar work on going
</v>
          </cell>
          <cell r="EI185" t="str">
            <v>M5: grid power + DG + battery      </v>
          </cell>
          <cell r="EJ185">
            <v>22</v>
          </cell>
          <cell r="EK185">
            <v>42190</v>
          </cell>
          <cell r="EL185">
            <v>42202</v>
          </cell>
          <cell r="EM185">
            <v>42191</v>
          </cell>
          <cell r="EN185">
            <v>42202</v>
          </cell>
          <cell r="EQ185">
            <v>42198</v>
          </cell>
          <cell r="ER185">
            <v>42206</v>
          </cell>
          <cell r="ES185">
            <v>42192</v>
          </cell>
          <cell r="ET185">
            <v>42208</v>
          </cell>
          <cell r="EU185">
            <v>42208</v>
          </cell>
          <cell r="EW185">
            <v>53</v>
          </cell>
          <cell r="EX185">
            <v>42212</v>
          </cell>
          <cell r="EZ185">
            <v>42208</v>
          </cell>
          <cell r="FA185">
            <v>42209</v>
          </cell>
          <cell r="FB185">
            <v>42210</v>
          </cell>
          <cell r="FC185">
            <v>42212</v>
          </cell>
          <cell r="FE185">
            <v>42193</v>
          </cell>
          <cell r="FU185">
            <v>42212</v>
          </cell>
          <cell r="FV185">
            <v>42221</v>
          </cell>
          <cell r="FW185">
            <v>42212</v>
          </cell>
          <cell r="FX185">
            <v>42212</v>
          </cell>
          <cell r="FY185" t="str">
            <v>AZM</v>
          </cell>
          <cell r="FZ185">
            <v>42206</v>
          </cell>
          <cell r="GA185">
            <v>42208</v>
          </cell>
          <cell r="GB185">
            <v>42212</v>
          </cell>
          <cell r="GC185">
            <v>42214</v>
          </cell>
          <cell r="GD185">
            <v>42214</v>
          </cell>
          <cell r="GE185">
            <v>42215</v>
          </cell>
          <cell r="GF185">
            <v>42215</v>
          </cell>
          <cell r="GG185">
            <v>42215</v>
          </cell>
          <cell r="GH185">
            <v>42215</v>
          </cell>
          <cell r="GI185">
            <v>42216</v>
          </cell>
          <cell r="GJ185" t="str">
            <v>31-2015</v>
          </cell>
          <cell r="GK185">
            <v>42215</v>
          </cell>
          <cell r="GN185" t="str">
            <v>ERICSSON</v>
          </cell>
          <cell r="GO185">
            <v>42152</v>
          </cell>
          <cell r="GP185">
            <v>42198</v>
          </cell>
          <cell r="GU185" t="str">
            <v xml:space="preserve">		</v>
          </cell>
          <cell r="HD185">
            <v>1</v>
          </cell>
        </row>
        <row r="186">
          <cell r="A186" t="str">
            <v>BA0934</v>
          </cell>
          <cell r="B186" t="str">
            <v>ACBA_0235</v>
          </cell>
          <cell r="C186" t="str">
            <v>Apollo</v>
          </cell>
          <cell r="D186" t="str">
            <v>Emilio Ruiz</v>
          </cell>
          <cell r="F186" t="str">
            <v>Phyo Wai Maung</v>
          </cell>
          <cell r="G186" t="str">
            <v>Cho Yee Thaung</v>
          </cell>
          <cell r="H186" t="str">
            <v>AMBER</v>
          </cell>
          <cell r="I186" t="str">
            <v>South</v>
          </cell>
          <cell r="J186" t="str">
            <v>95.724</v>
          </cell>
          <cell r="K186" t="str">
            <v>17.8942</v>
          </cell>
          <cell r="L186" t="str">
            <v>Rural</v>
          </cell>
          <cell r="M186" t="str">
            <v>Bago West</v>
          </cell>
          <cell r="N186" t="str">
            <v>Minhla</v>
          </cell>
          <cell r="O186" t="str">
            <v>Minhla</v>
          </cell>
          <cell r="P186" t="str">
            <v>Bago West</v>
          </cell>
          <cell r="Q186" t="str">
            <v>20</v>
          </cell>
          <cell r="R186" t="str">
            <v>Minhla</v>
          </cell>
          <cell r="S186" t="str">
            <v>111</v>
          </cell>
          <cell r="T186" t="str">
            <v>GSM+UMTS</v>
          </cell>
          <cell r="W186" t="str">
            <v>Ph2-Priority</v>
          </cell>
          <cell r="X186" t="str">
            <v>45</v>
          </cell>
          <cell r="Y186" t="str">
            <v>47</v>
          </cell>
          <cell r="Z186" t="str">
            <v>GBT</v>
          </cell>
          <cell r="AA186" t="str">
            <v>500</v>
          </cell>
          <cell r="AB186" t="str">
            <v>Access</v>
          </cell>
          <cell r="AC186" t="str">
            <v>Class C</v>
          </cell>
          <cell r="BH186" t="str">
            <v>IENG</v>
          </cell>
          <cell r="BJ186">
            <v>42147</v>
          </cell>
          <cell r="BK186">
            <v>42126</v>
          </cell>
          <cell r="BL186">
            <v>42152</v>
          </cell>
          <cell r="BM186">
            <v>42133</v>
          </cell>
          <cell r="BT186">
            <v>72</v>
          </cell>
          <cell r="BU186">
            <v>42199</v>
          </cell>
          <cell r="BV186">
            <v>42198</v>
          </cell>
          <cell r="BW186" t="str">
            <v>95.72368</v>
          </cell>
          <cell r="BX186" t="str">
            <v>17.89443</v>
          </cell>
          <cell r="BY186" t="str">
            <v>C3</v>
          </cell>
          <cell r="BZ186" t="str">
            <v>B/Sit Kwin Myoe Ma Yat, U Paing (193), Sit Kwin Village Group, Min Hla Township.</v>
          </cell>
          <cell r="CA186" t="str">
            <v>U Kyaw Naing,09-972686740/09-970923470/09-252158098</v>
          </cell>
          <cell r="CB186" t="str">
            <v>13 July 15 : C3 SAR sub(C1 CANCELED NOC ISSUE);29 May 15 : C1 TSSR app;20 May 15 : C1 SAR app; ;19May14: C1 SAR Sub</v>
          </cell>
          <cell r="CC186" t="str">
            <v>TOWN LAND</v>
          </cell>
          <cell r="CE186">
            <v>2</v>
          </cell>
          <cell r="CF186">
            <v>42200</v>
          </cell>
          <cell r="CG186">
            <v>42200</v>
          </cell>
          <cell r="CH186">
            <v>42202</v>
          </cell>
          <cell r="CJ186">
            <v>42203</v>
          </cell>
          <cell r="CK186" t="str">
            <v>45</v>
          </cell>
          <cell r="CL186" t="str">
            <v>47</v>
          </cell>
          <cell r="CM186" t="str">
            <v>45</v>
          </cell>
          <cell r="CN186">
            <v>5</v>
          </cell>
          <cell r="CO186">
            <v>42205</v>
          </cell>
          <cell r="CP186">
            <v>42205</v>
          </cell>
          <cell r="CQ186" t="str">
            <v>M1: grid power + battery</v>
          </cell>
          <cell r="CR186">
            <v>2</v>
          </cell>
          <cell r="CS186">
            <v>42206</v>
          </cell>
          <cell r="CT186">
            <v>42207</v>
          </cell>
          <cell r="CU186" t="str">
            <v>BA0934</v>
          </cell>
          <cell r="DH186">
            <v>2</v>
          </cell>
          <cell r="DI186">
            <v>42216</v>
          </cell>
          <cell r="DJ186">
            <v>42209</v>
          </cell>
          <cell r="DK186">
            <v>42213</v>
          </cell>
          <cell r="DL186">
            <v>42242</v>
          </cell>
          <cell r="DM186">
            <v>42217</v>
          </cell>
          <cell r="DO186">
            <v>0</v>
          </cell>
          <cell r="DP186">
            <v>42216</v>
          </cell>
          <cell r="DQ186">
            <v>42209</v>
          </cell>
          <cell r="DT186">
            <v>24</v>
          </cell>
          <cell r="DU186">
            <v>42231</v>
          </cell>
          <cell r="DW186">
            <v>0</v>
          </cell>
          <cell r="DY186">
            <v>42217</v>
          </cell>
          <cell r="DZ186">
            <v>42216</v>
          </cell>
          <cell r="EA186" t="str">
            <v>IENG</v>
          </cell>
          <cell r="EB186">
            <v>42216</v>
          </cell>
          <cell r="EE186"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186">
            <v>17</v>
          </cell>
          <cell r="EK186">
            <v>42234</v>
          </cell>
          <cell r="EM186">
            <v>42235</v>
          </cell>
          <cell r="EN186">
            <v>42240</v>
          </cell>
          <cell r="EQ186">
            <v>42244</v>
          </cell>
          <cell r="EW186">
            <v>17</v>
          </cell>
          <cell r="EX186">
            <v>42258</v>
          </cell>
          <cell r="EZ186">
            <v>42254</v>
          </cell>
          <cell r="FB186">
            <v>42256</v>
          </cell>
          <cell r="FU186">
            <v>42258</v>
          </cell>
          <cell r="FW186">
            <v>42258</v>
          </cell>
          <cell r="FY186" t="str">
            <v>AZM</v>
          </cell>
          <cell r="FZ186">
            <v>42242</v>
          </cell>
          <cell r="GA186">
            <v>42244</v>
          </cell>
          <cell r="GB186">
            <v>42246</v>
          </cell>
          <cell r="GE186">
            <v>42246</v>
          </cell>
          <cell r="GI186">
            <v>42307</v>
          </cell>
          <cell r="GJ186" t="str">
            <v>44-2015</v>
          </cell>
          <cell r="GN186" t="str">
            <v xml:space="preserve">ERICSSON </v>
          </cell>
          <cell r="GO186">
            <v>42150</v>
          </cell>
          <cell r="GS186" t="str">
            <v>4/4/4</v>
          </cell>
          <cell r="GU186" t="str">
            <v xml:space="preserve">		</v>
          </cell>
          <cell r="HD186">
            <v>1</v>
          </cell>
        </row>
        <row r="187">
          <cell r="A187" t="str">
            <v>BA0935</v>
          </cell>
          <cell r="B187" t="str">
            <v>ACBA_0236</v>
          </cell>
          <cell r="C187" t="str">
            <v>Apollo</v>
          </cell>
          <cell r="D187" t="str">
            <v>Emilio Ruiz</v>
          </cell>
          <cell r="F187" t="str">
            <v>Phyo Wai Maung</v>
          </cell>
          <cell r="G187" t="str">
            <v>Cho Yee Thaung</v>
          </cell>
          <cell r="H187" t="str">
            <v>YELLOW</v>
          </cell>
          <cell r="I187" t="str">
            <v>South</v>
          </cell>
          <cell r="J187" t="str">
            <v>95.6363</v>
          </cell>
          <cell r="K187" t="str">
            <v>18.1459</v>
          </cell>
          <cell r="L187" t="str">
            <v>Rural</v>
          </cell>
          <cell r="M187" t="str">
            <v>Bago West</v>
          </cell>
          <cell r="N187" t="str">
            <v>Okpho</v>
          </cell>
          <cell r="O187" t="str">
            <v>Okpho</v>
          </cell>
          <cell r="P187" t="str">
            <v>Bago West</v>
          </cell>
          <cell r="Q187" t="str">
            <v>20</v>
          </cell>
          <cell r="R187" t="str">
            <v>Okpho</v>
          </cell>
          <cell r="S187" t="str">
            <v>112</v>
          </cell>
          <cell r="T187" t="str">
            <v>GSM+UMTS</v>
          </cell>
          <cell r="W187" t="str">
            <v>Ph2-Priority</v>
          </cell>
          <cell r="X187" t="str">
            <v>45</v>
          </cell>
          <cell r="Y187" t="str">
            <v>47</v>
          </cell>
          <cell r="Z187" t="str">
            <v>GBT</v>
          </cell>
          <cell r="AA187" t="str">
            <v>500</v>
          </cell>
          <cell r="AB187" t="str">
            <v>Access</v>
          </cell>
          <cell r="AC187" t="str">
            <v>Class C</v>
          </cell>
          <cell r="BH187" t="str">
            <v>IENG</v>
          </cell>
          <cell r="BJ187">
            <v>42147</v>
          </cell>
          <cell r="BK187">
            <v>42127</v>
          </cell>
          <cell r="BL187">
            <v>42152</v>
          </cell>
          <cell r="BM187">
            <v>42134</v>
          </cell>
          <cell r="BT187">
            <v>17</v>
          </cell>
          <cell r="BU187">
            <v>42199</v>
          </cell>
          <cell r="BV187">
            <v>42144</v>
          </cell>
          <cell r="BW187" t="str">
            <v>95.63657</v>
          </cell>
          <cell r="BX187" t="str">
            <v>18.14581</v>
          </cell>
          <cell r="BY187" t="str">
            <v>C1</v>
          </cell>
          <cell r="BZ187" t="str">
            <v>Nga Shint YoeGroup,Kyaung Su village,Okpho Tsp.</v>
          </cell>
          <cell r="CA187" t="str">
            <v>U Tin Ohn;Nga Shint Yoe Group.Kyaung Su Village,09-31609644,(U Kan Nyunt-CareTaker)</v>
          </cell>
          <cell r="CB187" t="str">
            <v>20May15: C1 SAR Sub</v>
          </cell>
          <cell r="CC187" t="str">
            <v>RESIDENTIAL</v>
          </cell>
          <cell r="CE187">
            <v>1</v>
          </cell>
          <cell r="CF187">
            <v>42200</v>
          </cell>
          <cell r="CG187">
            <v>42145</v>
          </cell>
          <cell r="CH187">
            <v>42202</v>
          </cell>
          <cell r="CJ187">
            <v>42156</v>
          </cell>
          <cell r="CK187" t="str">
            <v>45</v>
          </cell>
          <cell r="CL187" t="str">
            <v>47</v>
          </cell>
          <cell r="CM187" t="str">
            <v>50</v>
          </cell>
          <cell r="CN187">
            <v>13</v>
          </cell>
          <cell r="CO187">
            <v>42205</v>
          </cell>
          <cell r="CP187">
            <v>42158</v>
          </cell>
          <cell r="CQ187" t="str">
            <v>M4: solar + DG + battery</v>
          </cell>
          <cell r="CR187">
            <v>1</v>
          </cell>
          <cell r="CS187">
            <v>42206</v>
          </cell>
          <cell r="CT187">
            <v>42159</v>
          </cell>
          <cell r="CU187" t="str">
            <v>BA0935</v>
          </cell>
          <cell r="DH187">
            <v>12</v>
          </cell>
          <cell r="DI187">
            <v>42216</v>
          </cell>
          <cell r="DJ187">
            <v>42171</v>
          </cell>
          <cell r="DK187">
            <v>42213</v>
          </cell>
          <cell r="DL187">
            <v>42167</v>
          </cell>
          <cell r="DM187">
            <v>42217</v>
          </cell>
          <cell r="DN187">
            <v>42180</v>
          </cell>
          <cell r="DO187">
            <v>0</v>
          </cell>
          <cell r="DP187">
            <v>42216</v>
          </cell>
          <cell r="DQ187">
            <v>42171</v>
          </cell>
          <cell r="DT187">
            <v>62</v>
          </cell>
          <cell r="DU187">
            <v>42231</v>
          </cell>
          <cell r="DW187">
            <v>0</v>
          </cell>
          <cell r="DY187">
            <v>42217</v>
          </cell>
          <cell r="DZ187">
            <v>42180</v>
          </cell>
          <cell r="EA187" t="str">
            <v>IENG</v>
          </cell>
          <cell r="EB187">
            <v>42216</v>
          </cell>
          <cell r="ED187" t="str">
            <v>21Aug15 :ChoYee.Thaung: 20/8/15 : Tower erection full height, need to install pole mount, grounding on going_x000D_
15/7/15: Rebar installation 90%_x000D_
23/7/15 : Footing done, pedestal casted done, backfilling on going
14Jul15 :ChoYee.Thaung: 9/7/15 : Excavation done, bottom rebar installation</v>
          </cell>
          <cell r="EE187" t="str">
            <v xml:space="preserve">10 Aug 15:Flood affected_Hold-No access; 31-Jul-15:Tower foundation done,hauling of materials stopped due to inaccessible bridge								</v>
          </cell>
          <cell r="EI187" t="str">
            <v>M7: 2DG + battery      </v>
          </cell>
          <cell r="EJ187">
            <v>27</v>
          </cell>
          <cell r="EK187">
            <v>42234</v>
          </cell>
          <cell r="EL187">
            <v>42207</v>
          </cell>
          <cell r="EM187">
            <v>42235</v>
          </cell>
          <cell r="EN187">
            <v>42227</v>
          </cell>
          <cell r="EQ187">
            <v>42244</v>
          </cell>
          <cell r="ER187">
            <v>42237</v>
          </cell>
          <cell r="ES187">
            <v>42234</v>
          </cell>
          <cell r="ET187">
            <v>42238</v>
          </cell>
          <cell r="EU187">
            <v>42238</v>
          </cell>
          <cell r="EW187">
            <v>53</v>
          </cell>
          <cell r="EX187">
            <v>42258</v>
          </cell>
          <cell r="EZ187">
            <v>42254</v>
          </cell>
          <cell r="FA187">
            <v>42241</v>
          </cell>
          <cell r="FB187">
            <v>42256</v>
          </cell>
          <cell r="FC187">
            <v>42247</v>
          </cell>
          <cell r="FE187">
            <v>42193</v>
          </cell>
          <cell r="FU187">
            <v>42258</v>
          </cell>
          <cell r="FW187">
            <v>42258</v>
          </cell>
          <cell r="FX187">
            <v>42247</v>
          </cell>
          <cell r="FY187" t="str">
            <v>TN</v>
          </cell>
          <cell r="FZ187">
            <v>42228</v>
          </cell>
          <cell r="GA187">
            <v>42232</v>
          </cell>
          <cell r="GB187">
            <v>42248</v>
          </cell>
          <cell r="GC187">
            <v>42248</v>
          </cell>
          <cell r="GD187">
            <v>42248</v>
          </cell>
          <cell r="GE187">
            <v>42248</v>
          </cell>
          <cell r="GF187">
            <v>42248</v>
          </cell>
          <cell r="GG187">
            <v>42248</v>
          </cell>
          <cell r="GH187">
            <v>42248</v>
          </cell>
          <cell r="GI187">
            <v>42246</v>
          </cell>
          <cell r="GJ187" t="str">
            <v>36-2015</v>
          </cell>
          <cell r="GK187">
            <v>42248</v>
          </cell>
          <cell r="GL187" t="str">
            <v xml:space="preserve">Equipment Required :: </v>
          </cell>
          <cell r="GN187" t="str">
            <v xml:space="preserve">ERICSSON </v>
          </cell>
          <cell r="GO187">
            <v>42150</v>
          </cell>
          <cell r="GP187">
            <v>42198</v>
          </cell>
          <cell r="GQ187" t="str">
            <v xml:space="preserve">Equipment Not Delivered; </v>
          </cell>
          <cell r="GS187" t="str">
            <v>4/4/4</v>
          </cell>
          <cell r="GU187" t="str">
            <v xml:space="preserve">		</v>
          </cell>
          <cell r="HD187">
            <v>1</v>
          </cell>
        </row>
        <row r="188">
          <cell r="A188" t="str">
            <v>BA0936</v>
          </cell>
          <cell r="B188" t="str">
            <v>ACBA_0237</v>
          </cell>
          <cell r="C188" t="str">
            <v>Apollo</v>
          </cell>
          <cell r="D188" t="str">
            <v>Emilio Ruiz</v>
          </cell>
          <cell r="F188" t="str">
            <v>Phyo Wai Maung</v>
          </cell>
          <cell r="G188" t="str">
            <v>Cho Yee Thaung</v>
          </cell>
          <cell r="H188" t="str">
            <v>WHITE</v>
          </cell>
          <cell r="I188" t="str">
            <v>South</v>
          </cell>
          <cell r="J188" t="str">
            <v>95.6567</v>
          </cell>
          <cell r="K188" t="str">
            <v>18.1973</v>
          </cell>
          <cell r="L188" t="str">
            <v>Rural</v>
          </cell>
          <cell r="M188" t="str">
            <v>Bago West</v>
          </cell>
          <cell r="N188" t="str">
            <v>Gyobingauk</v>
          </cell>
          <cell r="O188" t="str">
            <v>Gyobingauk</v>
          </cell>
          <cell r="P188" t="str">
            <v>Bago West</v>
          </cell>
          <cell r="Q188" t="str">
            <v>20</v>
          </cell>
          <cell r="R188" t="str">
            <v>Gyobingauk</v>
          </cell>
          <cell r="S188" t="str">
            <v>116</v>
          </cell>
          <cell r="T188" t="str">
            <v>GSM+UMTS</v>
          </cell>
          <cell r="W188" t="str">
            <v>Ph2-Priority</v>
          </cell>
          <cell r="X188" t="str">
            <v>45</v>
          </cell>
          <cell r="Y188" t="str">
            <v>47</v>
          </cell>
          <cell r="Z188" t="str">
            <v>GBT</v>
          </cell>
          <cell r="AA188" t="str">
            <v>500</v>
          </cell>
          <cell r="AB188" t="str">
            <v>Access</v>
          </cell>
          <cell r="AC188" t="str">
            <v>Class C</v>
          </cell>
          <cell r="BE188" t="str">
            <v>MDL DC</v>
          </cell>
          <cell r="BH188" t="str">
            <v>IENG</v>
          </cell>
          <cell r="BJ188">
            <v>42147</v>
          </cell>
          <cell r="BK188">
            <v>42125</v>
          </cell>
          <cell r="BL188">
            <v>42152</v>
          </cell>
          <cell r="BM188">
            <v>42129</v>
          </cell>
          <cell r="BT188">
            <v>14</v>
          </cell>
          <cell r="BU188">
            <v>42199</v>
          </cell>
          <cell r="BV188">
            <v>42139</v>
          </cell>
          <cell r="BW188" t="str">
            <v>95.655075</v>
          </cell>
          <cell r="BX188" t="str">
            <v>18.195445</v>
          </cell>
          <cell r="BY188" t="str">
            <v>C1</v>
          </cell>
          <cell r="BZ188" t="str">
            <v>Pyay Lone Char Thar Monastery, Gone Mar.</v>
          </cell>
          <cell r="CA188" t="str">
            <v>Badanar Thatana Daza;Yangon-Pyay Road,PyayLoneChanThar Monestery ,GoneMarKwin Group;09-5374062,09-797105987</v>
          </cell>
          <cell r="CB188" t="str">
            <v>15May15: C1 SAR Sub.</v>
          </cell>
          <cell r="CC188" t="str">
            <v>Farmland</v>
          </cell>
          <cell r="CE188">
            <v>3</v>
          </cell>
          <cell r="CF188">
            <v>42200</v>
          </cell>
          <cell r="CG188">
            <v>42142</v>
          </cell>
          <cell r="CH188">
            <v>42202</v>
          </cell>
          <cell r="CJ188">
            <v>42155</v>
          </cell>
          <cell r="CK188" t="str">
            <v>45</v>
          </cell>
          <cell r="CL188" t="str">
            <v>47</v>
          </cell>
          <cell r="CM188" t="str">
            <v>50</v>
          </cell>
          <cell r="CN188">
            <v>15</v>
          </cell>
          <cell r="CO188">
            <v>42205</v>
          </cell>
          <cell r="CP188">
            <v>42157</v>
          </cell>
          <cell r="CQ188" t="str">
            <v>M1: grid power + battery</v>
          </cell>
          <cell r="CR188">
            <v>0</v>
          </cell>
          <cell r="CS188">
            <v>42206</v>
          </cell>
          <cell r="CT188">
            <v>42157</v>
          </cell>
          <cell r="CU188" t="str">
            <v>BA0936</v>
          </cell>
          <cell r="DH188">
            <v>-1</v>
          </cell>
          <cell r="DI188">
            <v>42216</v>
          </cell>
          <cell r="DJ188">
            <v>42156</v>
          </cell>
          <cell r="DK188">
            <v>42213</v>
          </cell>
          <cell r="DL188">
            <v>42164</v>
          </cell>
          <cell r="DM188">
            <v>42217</v>
          </cell>
          <cell r="DN188">
            <v>42164</v>
          </cell>
          <cell r="DO188">
            <v>1</v>
          </cell>
          <cell r="DP188">
            <v>42216</v>
          </cell>
          <cell r="DQ188">
            <v>42157</v>
          </cell>
          <cell r="DT188">
            <v>76</v>
          </cell>
          <cell r="DU188">
            <v>42231</v>
          </cell>
          <cell r="DW188">
            <v>0</v>
          </cell>
          <cell r="DY188">
            <v>42217</v>
          </cell>
          <cell r="DZ188">
            <v>42165</v>
          </cell>
          <cell r="EA188" t="str">
            <v>IEng</v>
          </cell>
          <cell r="ED188" t="str">
            <v>30Jul15 :ChoYee.Thaung: 30/7/15 : Canopy installation, On Air (27/7/15)_x000D_
23/7/15 : Tower erection done, cable tray and grounding done, RFI, telecom equipment on site_x000D_
15/7/15 : Tower erection on going (level 2)
13Jul15 :ChoYee.Thaung: 9/7/15 : Pedestal casted done (5.7.15), Backfilling on going, Rebar work will start tomorrow for equ pad_x000D_
2/7/15 : Anchor bolt and templete install and setting done,  Formwork on going, Pedestal will cast Satursday
24Jun15 :ChoYee.Thaung: 23/6/15 : Lean done, Rebar work on going, Template and anchor bolt, nut on site_x000D_
18/6/15 : Excavation done today_x000D_
17/6/15 : CW start date (15/6/15), Excavation on going (80%)
11Jun15 :ChoYee.Thaung: CW not yet start</v>
          </cell>
          <cell r="EF188" t="str">
            <v>Ko Ko Nyi Nyi</v>
          </cell>
          <cell r="EI188" t="str">
            <v>M5: grid power + DG + battery      </v>
          </cell>
          <cell r="EJ188">
            <v>26</v>
          </cell>
          <cell r="EK188">
            <v>42234</v>
          </cell>
          <cell r="EL188">
            <v>42191</v>
          </cell>
          <cell r="EM188">
            <v>42235</v>
          </cell>
          <cell r="EN188">
            <v>42191</v>
          </cell>
          <cell r="EQ188">
            <v>42244</v>
          </cell>
          <cell r="ER188">
            <v>42207</v>
          </cell>
          <cell r="ES188">
            <v>42202</v>
          </cell>
          <cell r="ET188">
            <v>42208</v>
          </cell>
          <cell r="EU188">
            <v>42208</v>
          </cell>
          <cell r="EW188">
            <v>68</v>
          </cell>
          <cell r="EX188">
            <v>42258</v>
          </cell>
          <cell r="EY188">
            <v>42248</v>
          </cell>
          <cell r="EZ188">
            <v>42254</v>
          </cell>
          <cell r="FA188">
            <v>42209</v>
          </cell>
          <cell r="FB188">
            <v>42256</v>
          </cell>
          <cell r="FC188">
            <v>42209</v>
          </cell>
          <cell r="FE188">
            <v>42179</v>
          </cell>
          <cell r="FU188">
            <v>42258</v>
          </cell>
          <cell r="FW188">
            <v>42258</v>
          </cell>
          <cell r="FX188">
            <v>42211</v>
          </cell>
          <cell r="FY188" t="str">
            <v>AZM</v>
          </cell>
          <cell r="FZ188">
            <v>42192</v>
          </cell>
          <cell r="GA188">
            <v>42194</v>
          </cell>
          <cell r="GB188">
            <v>42197</v>
          </cell>
          <cell r="GC188">
            <v>42209</v>
          </cell>
          <cell r="GD188">
            <v>42209</v>
          </cell>
          <cell r="GE188">
            <v>42197</v>
          </cell>
          <cell r="GF188">
            <v>42200</v>
          </cell>
          <cell r="GG188">
            <v>42210</v>
          </cell>
          <cell r="GH188">
            <v>42210</v>
          </cell>
          <cell r="GI188">
            <v>42216</v>
          </cell>
          <cell r="GJ188" t="str">
            <v>31-2015</v>
          </cell>
          <cell r="GK188">
            <v>42212</v>
          </cell>
          <cell r="GN188" t="str">
            <v xml:space="preserve">ERICSSON </v>
          </cell>
          <cell r="GO188">
            <v>42152</v>
          </cell>
          <cell r="GP188">
            <v>42198</v>
          </cell>
          <cell r="GS188" t="str">
            <v>4/4/4</v>
          </cell>
          <cell r="GU188" t="str">
            <v xml:space="preserve">		</v>
          </cell>
          <cell r="HD188">
            <v>1</v>
          </cell>
        </row>
        <row r="189">
          <cell r="A189" t="str">
            <v>BA0937</v>
          </cell>
          <cell r="B189" t="str">
            <v>ACBA_0238</v>
          </cell>
          <cell r="C189" t="str">
            <v>Apollo</v>
          </cell>
          <cell r="D189" t="str">
            <v>Chris Thomson</v>
          </cell>
          <cell r="F189" t="str">
            <v>Phyo Wai Maung</v>
          </cell>
          <cell r="G189" t="str">
            <v>Cho Yee Thaung</v>
          </cell>
          <cell r="H189" t="str">
            <v>YELLOW</v>
          </cell>
          <cell r="I189" t="str">
            <v>South</v>
          </cell>
          <cell r="J189" t="str">
            <v>95.4706</v>
          </cell>
          <cell r="K189" t="str">
            <v>18.5344</v>
          </cell>
          <cell r="L189" t="str">
            <v>Rural</v>
          </cell>
          <cell r="M189" t="str">
            <v>Bago West</v>
          </cell>
          <cell r="N189" t="str">
            <v>Paungde</v>
          </cell>
          <cell r="O189" t="str">
            <v>Paungde</v>
          </cell>
          <cell r="P189" t="str">
            <v>Bago West</v>
          </cell>
          <cell r="Q189" t="str">
            <v>20</v>
          </cell>
          <cell r="R189" t="str">
            <v>Paungde</v>
          </cell>
          <cell r="S189" t="str">
            <v>106</v>
          </cell>
          <cell r="T189" t="str">
            <v>GSM+UMTS</v>
          </cell>
          <cell r="W189" t="str">
            <v>Ph2-Priority</v>
          </cell>
          <cell r="X189" t="str">
            <v>45</v>
          </cell>
          <cell r="Y189" t="str">
            <v>47</v>
          </cell>
          <cell r="Z189" t="str">
            <v>GBT</v>
          </cell>
          <cell r="AA189" t="str">
            <v>500</v>
          </cell>
          <cell r="AB189" t="str">
            <v>Access</v>
          </cell>
          <cell r="AC189" t="str">
            <v>Class C</v>
          </cell>
          <cell r="BE189" t="str">
            <v>Route 8 Mandalay - Magwe</v>
          </cell>
          <cell r="BH189" t="str">
            <v>IENG</v>
          </cell>
          <cell r="BJ189">
            <v>42168</v>
          </cell>
          <cell r="BK189">
            <v>42130</v>
          </cell>
          <cell r="BL189">
            <v>42173</v>
          </cell>
          <cell r="BM189">
            <v>42151</v>
          </cell>
          <cell r="BT189">
            <v>31</v>
          </cell>
          <cell r="BU189">
            <v>42209</v>
          </cell>
          <cell r="BV189">
            <v>42161</v>
          </cell>
          <cell r="BW189" t="str">
            <v>95.470421</v>
          </cell>
          <cell r="BX189" t="str">
            <v>18.534509</v>
          </cell>
          <cell r="BY189" t="str">
            <v>C1</v>
          </cell>
          <cell r="BZ189" t="str">
            <v>Thae Gone Village, Taung Boe Hla Group,Paundge Tsp.</v>
          </cell>
          <cell r="CA189" t="str">
            <v>U THEIN MYINT SOE;No.86,Thae Gone village, Taung Bo Hla Group,Paundge Tsp.;09-250409099, 09-972942380,09-977041147</v>
          </cell>
          <cell r="CB189" t="str">
            <v>6Jun15: C1 SAR Sub</v>
          </cell>
          <cell r="CC189" t="str">
            <v>Village</v>
          </cell>
          <cell r="CE189">
            <v>2</v>
          </cell>
          <cell r="CF189">
            <v>42210</v>
          </cell>
          <cell r="CG189">
            <v>42163</v>
          </cell>
          <cell r="CH189">
            <v>42212</v>
          </cell>
          <cell r="CJ189">
            <v>42168</v>
          </cell>
          <cell r="CK189" t="str">
            <v>45</v>
          </cell>
          <cell r="CL189" t="str">
            <v>47</v>
          </cell>
          <cell r="CM189" t="str">
            <v>50</v>
          </cell>
          <cell r="CN189">
            <v>7</v>
          </cell>
          <cell r="CO189">
            <v>42215</v>
          </cell>
          <cell r="CP189">
            <v>42170</v>
          </cell>
          <cell r="CQ189" t="str">
            <v>M1: grid power + battery</v>
          </cell>
          <cell r="CR189">
            <v>1</v>
          </cell>
          <cell r="CS189">
            <v>42216</v>
          </cell>
          <cell r="CT189">
            <v>42171</v>
          </cell>
          <cell r="CU189" t="str">
            <v>BA0937</v>
          </cell>
          <cell r="DH189">
            <v>62</v>
          </cell>
          <cell r="DI189">
            <v>42226</v>
          </cell>
          <cell r="DJ189">
            <v>42217</v>
          </cell>
          <cell r="DK189">
            <v>42223</v>
          </cell>
          <cell r="DL189">
            <v>42186</v>
          </cell>
          <cell r="DM189">
            <v>42227</v>
          </cell>
          <cell r="DN189">
            <v>42186</v>
          </cell>
          <cell r="DO189">
            <v>0</v>
          </cell>
          <cell r="DP189">
            <v>42226</v>
          </cell>
          <cell r="DQ189">
            <v>42217</v>
          </cell>
          <cell r="DT189">
            <v>0</v>
          </cell>
          <cell r="DU189">
            <v>42241</v>
          </cell>
          <cell r="DW189">
            <v>0</v>
          </cell>
          <cell r="DY189">
            <v>42227</v>
          </cell>
          <cell r="DZ189">
            <v>42187</v>
          </cell>
          <cell r="EA189" t="str">
            <v>IEng</v>
          </cell>
          <cell r="EB189">
            <v>42221</v>
          </cell>
          <cell r="ED189" t="str">
            <v xml:space="preserve">15Jul15 :ChoYee.Thaung: 9/7/15 : Excavation start (6.7.15) and Excavation will done today, tomorrow will do lean concrete
</v>
          </cell>
          <cell r="EE189" t="str">
            <v xml:space="preserve">10 Aug 15:Rain affected_Progress affected; 4-Aug-15: On going slow progress,tower foundation done w/ backfill								</v>
          </cell>
          <cell r="EJ189">
            <v>16</v>
          </cell>
          <cell r="EK189">
            <v>42244</v>
          </cell>
          <cell r="EL189">
            <v>42203</v>
          </cell>
          <cell r="EM189">
            <v>42245</v>
          </cell>
          <cell r="EQ189">
            <v>42254</v>
          </cell>
          <cell r="ES189">
            <v>42242</v>
          </cell>
          <cell r="EW189">
            <v>46</v>
          </cell>
          <cell r="EX189">
            <v>42228</v>
          </cell>
          <cell r="EZ189">
            <v>42264</v>
          </cell>
          <cell r="FB189">
            <v>42266</v>
          </cell>
          <cell r="FU189">
            <v>42268</v>
          </cell>
          <cell r="FW189">
            <v>42268</v>
          </cell>
          <cell r="GI189">
            <v>42246</v>
          </cell>
          <cell r="GJ189" t="str">
            <v>36-2015</v>
          </cell>
          <cell r="GL189" t="str">
            <v>SMR Ready</v>
          </cell>
          <cell r="GN189" t="str">
            <v xml:space="preserve">ERICSSON </v>
          </cell>
          <cell r="GP189">
            <v>42199</v>
          </cell>
          <cell r="GQ189" t="str">
            <v xml:space="preserve">SMR Pending; </v>
          </cell>
          <cell r="GS189" t="str">
            <v>4/4/4</v>
          </cell>
          <cell r="GU189" t="str">
            <v xml:space="preserve">		</v>
          </cell>
          <cell r="HD189">
            <v>1</v>
          </cell>
        </row>
        <row r="190">
          <cell r="A190" t="str">
            <v>BA0938</v>
          </cell>
          <cell r="B190" t="str">
            <v>ACBA_0239</v>
          </cell>
          <cell r="C190" t="str">
            <v>Apollo</v>
          </cell>
          <cell r="D190" t="str">
            <v>Chris Thomson</v>
          </cell>
          <cell r="F190" t="str">
            <v>Phyo Wai Maung</v>
          </cell>
          <cell r="G190" t="str">
            <v>Cho Yee Thaung</v>
          </cell>
          <cell r="H190" t="str">
            <v>AMBER</v>
          </cell>
          <cell r="I190" t="str">
            <v>South</v>
          </cell>
          <cell r="J190" t="str">
            <v>95.6194</v>
          </cell>
          <cell r="K190" t="str">
            <v>18.5463</v>
          </cell>
          <cell r="L190" t="str">
            <v>Rural</v>
          </cell>
          <cell r="M190" t="str">
            <v>Bago West</v>
          </cell>
          <cell r="N190" t="str">
            <v>Paungde</v>
          </cell>
          <cell r="O190" t="str">
            <v>Paungde</v>
          </cell>
          <cell r="P190" t="str">
            <v>Bago West</v>
          </cell>
          <cell r="Q190" t="str">
            <v>20</v>
          </cell>
          <cell r="R190" t="str">
            <v>Paungde</v>
          </cell>
          <cell r="S190" t="str">
            <v>106</v>
          </cell>
          <cell r="T190" t="str">
            <v>GSM+UMTS</v>
          </cell>
          <cell r="W190" t="str">
            <v>Ph2-Priority</v>
          </cell>
          <cell r="X190" t="str">
            <v>45</v>
          </cell>
          <cell r="Y190" t="str">
            <v>47</v>
          </cell>
          <cell r="Z190" t="str">
            <v>GBT</v>
          </cell>
          <cell r="AA190" t="str">
            <v>500</v>
          </cell>
          <cell r="AB190" t="str">
            <v>Access</v>
          </cell>
          <cell r="AC190" t="str">
            <v>Class C</v>
          </cell>
          <cell r="BH190" t="str">
            <v>IENG</v>
          </cell>
          <cell r="BJ190">
            <v>42168</v>
          </cell>
          <cell r="BK190">
            <v>42135</v>
          </cell>
          <cell r="BL190">
            <v>42173</v>
          </cell>
          <cell r="BM190">
            <v>42135</v>
          </cell>
          <cell r="BT190">
            <v>43</v>
          </cell>
          <cell r="BU190">
            <v>42209</v>
          </cell>
          <cell r="BV190">
            <v>42178</v>
          </cell>
          <cell r="BW190" t="str">
            <v>95.61983</v>
          </cell>
          <cell r="BX190" t="str">
            <v>18.54457</v>
          </cell>
          <cell r="BY190" t="str">
            <v>C1</v>
          </cell>
          <cell r="BZ190" t="str">
            <v>Kyar Ni Kan Group Pyin Gyi Village, Paungde Township,Bago Division</v>
          </cell>
          <cell r="CA190" t="str">
            <v>U Mg Nyunt;09-796647897</v>
          </cell>
          <cell r="CB190" t="str">
            <v>19 Aug 15: C2 Foundation workdone date delete because wasn’t completed yet as per Gurwinder (19 Aug 15 )CW file; 5 Aug 15 :CW Start date removed from tracker as C1 has NOC issue(health &amp; hazard statements from radiation);29 Jul 15 : C2 TSSR app;28 Jul 15 : C2 TSSR sub;17 Jul 15:C1 SAR app;15 July 15 : C2 SAR sub(C1 CANCELED NOC ISSUE);24 June 15 : C1 TSSR app;15 June 15: C1 SAR app; 12Jun15: C1 SAR Sub on Friday 8PM</v>
          </cell>
          <cell r="CC190" t="str">
            <v>VILLAGE LAND</v>
          </cell>
          <cell r="CE190">
            <v>1</v>
          </cell>
          <cell r="CF190">
            <v>42210</v>
          </cell>
          <cell r="CG190">
            <v>42179</v>
          </cell>
          <cell r="CH190">
            <v>42212</v>
          </cell>
          <cell r="CJ190">
            <v>42191</v>
          </cell>
          <cell r="CK190" t="str">
            <v>45</v>
          </cell>
          <cell r="CL190" t="str">
            <v>47</v>
          </cell>
          <cell r="CM190" t="str">
            <v>50</v>
          </cell>
          <cell r="CN190">
            <v>14</v>
          </cell>
          <cell r="CO190">
            <v>42215</v>
          </cell>
          <cell r="CP190">
            <v>42193</v>
          </cell>
          <cell r="CQ190" t="str">
            <v>M4: solar + DG + battery</v>
          </cell>
          <cell r="CR190">
            <v>1</v>
          </cell>
          <cell r="CS190">
            <v>42216</v>
          </cell>
          <cell r="CT190">
            <v>42194</v>
          </cell>
          <cell r="CU190" t="str">
            <v>BA0938</v>
          </cell>
          <cell r="DH190">
            <v>39</v>
          </cell>
          <cell r="DI190">
            <v>42226</v>
          </cell>
          <cell r="DJ190">
            <v>42217</v>
          </cell>
          <cell r="DK190">
            <v>42223</v>
          </cell>
          <cell r="DL190">
            <v>42202</v>
          </cell>
          <cell r="DM190">
            <v>42227</v>
          </cell>
          <cell r="DN190">
            <v>42202</v>
          </cell>
          <cell r="DO190">
            <v>0</v>
          </cell>
          <cell r="DP190">
            <v>42226</v>
          </cell>
          <cell r="DQ190">
            <v>42217</v>
          </cell>
          <cell r="DT190">
            <v>0</v>
          </cell>
          <cell r="DU190">
            <v>42241</v>
          </cell>
          <cell r="DW190">
            <v>0</v>
          </cell>
          <cell r="DY190">
            <v>42227</v>
          </cell>
          <cell r="DZ190">
            <v>42205</v>
          </cell>
          <cell r="EA190" t="str">
            <v>IENG</v>
          </cell>
          <cell r="EB190">
            <v>42213</v>
          </cell>
          <cell r="EE190" t="str">
            <v xml:space="preserve">10 Aug 15:Rain affected_Progress affected; 4-Aug-15:excavation done, dewatering due to flood								</v>
          </cell>
          <cell r="EJ190">
            <v>28</v>
          </cell>
          <cell r="EK190">
            <v>42244</v>
          </cell>
          <cell r="EL190">
            <v>42233</v>
          </cell>
          <cell r="EM190">
            <v>42245</v>
          </cell>
          <cell r="EN190">
            <v>42233</v>
          </cell>
          <cell r="EQ190">
            <v>42254</v>
          </cell>
          <cell r="ER190">
            <v>42248</v>
          </cell>
          <cell r="ES190">
            <v>42249</v>
          </cell>
          <cell r="ET190">
            <v>42249</v>
          </cell>
          <cell r="EU190">
            <v>42249</v>
          </cell>
          <cell r="EW190">
            <v>28</v>
          </cell>
          <cell r="EX190">
            <v>42228</v>
          </cell>
          <cell r="EZ190">
            <v>42264</v>
          </cell>
          <cell r="FB190">
            <v>42266</v>
          </cell>
          <cell r="FU190">
            <v>42268</v>
          </cell>
          <cell r="FW190">
            <v>42268</v>
          </cell>
          <cell r="FY190" t="str">
            <v>EM</v>
          </cell>
          <cell r="FZ190">
            <v>42234</v>
          </cell>
          <cell r="GA190">
            <v>42238</v>
          </cell>
          <cell r="GB190">
            <v>42243</v>
          </cell>
          <cell r="GC190">
            <v>42250</v>
          </cell>
          <cell r="GD190">
            <v>42250</v>
          </cell>
          <cell r="GE190">
            <v>42247</v>
          </cell>
          <cell r="GI190">
            <v>42246</v>
          </cell>
          <cell r="GJ190" t="str">
            <v>44-2015</v>
          </cell>
          <cell r="GL190" t="str">
            <v>Equipment Required :: Dispatch 20th Aug</v>
          </cell>
          <cell r="GN190" t="str">
            <v xml:space="preserve">ERICSSON </v>
          </cell>
          <cell r="GO190">
            <v>42200</v>
          </cell>
          <cell r="GS190" t="str">
            <v>4/4/4</v>
          </cell>
          <cell r="GU190" t="str">
            <v xml:space="preserve">		</v>
          </cell>
          <cell r="HD190">
            <v>1</v>
          </cell>
        </row>
        <row r="191">
          <cell r="A191" t="str">
            <v>BA0939</v>
          </cell>
          <cell r="B191" t="str">
            <v>ACBA_0240</v>
          </cell>
          <cell r="C191" t="str">
            <v>Apollo</v>
          </cell>
          <cell r="D191" t="str">
            <v>Chris Thomson</v>
          </cell>
          <cell r="F191" t="str">
            <v>Phyo Wai Maung</v>
          </cell>
          <cell r="G191" t="str">
            <v>Cho Yee Thaung</v>
          </cell>
          <cell r="H191" t="str">
            <v>AMBER</v>
          </cell>
          <cell r="I191" t="str">
            <v>South</v>
          </cell>
          <cell r="J191" t="str">
            <v>95.4313</v>
          </cell>
          <cell r="K191" t="str">
            <v>18.6001</v>
          </cell>
          <cell r="L191" t="str">
            <v>Rural</v>
          </cell>
          <cell r="M191" t="str">
            <v>Bago West</v>
          </cell>
          <cell r="N191" t="str">
            <v>Thegon</v>
          </cell>
          <cell r="O191" t="str">
            <v>Thegon</v>
          </cell>
          <cell r="P191" t="str">
            <v>Bago West</v>
          </cell>
          <cell r="Q191" t="str">
            <v>20</v>
          </cell>
          <cell r="R191" t="str">
            <v>Thegon</v>
          </cell>
          <cell r="S191" t="str">
            <v>107</v>
          </cell>
          <cell r="T191" t="str">
            <v>GSM+UMTS</v>
          </cell>
          <cell r="W191" t="str">
            <v>Ph2-Priority</v>
          </cell>
          <cell r="X191" t="str">
            <v>45</v>
          </cell>
          <cell r="Y191" t="str">
            <v>47</v>
          </cell>
          <cell r="Z191" t="str">
            <v>GBT</v>
          </cell>
          <cell r="AA191" t="str">
            <v>500</v>
          </cell>
          <cell r="AB191" t="str">
            <v>Access</v>
          </cell>
          <cell r="AC191" t="str">
            <v>Class C</v>
          </cell>
          <cell r="BH191" t="str">
            <v>IENG</v>
          </cell>
          <cell r="BJ191">
            <v>42168</v>
          </cell>
          <cell r="BK191">
            <v>42133</v>
          </cell>
          <cell r="BL191">
            <v>42173</v>
          </cell>
          <cell r="BM191">
            <v>42133</v>
          </cell>
          <cell r="BT191">
            <v>45</v>
          </cell>
          <cell r="BU191">
            <v>42222</v>
          </cell>
          <cell r="BV191">
            <v>42178</v>
          </cell>
          <cell r="BW191" t="str">
            <v>95.4312</v>
          </cell>
          <cell r="BX191" t="str">
            <v>18.6001</v>
          </cell>
          <cell r="BY191" t="str">
            <v>C2</v>
          </cell>
          <cell r="BZ191" t="str">
            <v>Za Lae Group,Za Lae Village Thegon Township,Bago Division</v>
          </cell>
          <cell r="CA191" t="str">
            <v>U Than Hlaing;09-250559976,09-976511898</v>
          </cell>
          <cell r="CE191">
            <v>1</v>
          </cell>
          <cell r="CF191">
            <v>42223</v>
          </cell>
          <cell r="CG191">
            <v>42179</v>
          </cell>
          <cell r="CH191">
            <v>42225</v>
          </cell>
          <cell r="CJ191">
            <v>42191</v>
          </cell>
          <cell r="CK191" t="str">
            <v>45</v>
          </cell>
          <cell r="CL191" t="str">
            <v>47</v>
          </cell>
          <cell r="CM191" t="str">
            <v>50</v>
          </cell>
          <cell r="CN191">
            <v>14</v>
          </cell>
          <cell r="CO191">
            <v>42228</v>
          </cell>
          <cell r="CP191">
            <v>42193</v>
          </cell>
          <cell r="CQ191" t="str">
            <v>M1: grid power + battery</v>
          </cell>
          <cell r="CR191">
            <v>1</v>
          </cell>
          <cell r="CS191">
            <v>42229</v>
          </cell>
          <cell r="CT191">
            <v>42194</v>
          </cell>
          <cell r="CU191" t="str">
            <v>BA0939</v>
          </cell>
          <cell r="DH191">
            <v>39</v>
          </cell>
          <cell r="DI191">
            <v>42239</v>
          </cell>
          <cell r="DK191">
            <v>42236</v>
          </cell>
          <cell r="DL191">
            <v>42202</v>
          </cell>
          <cell r="DM191">
            <v>42240</v>
          </cell>
          <cell r="DN191">
            <v>42202</v>
          </cell>
          <cell r="DO191">
            <v>0</v>
          </cell>
          <cell r="DP191">
            <v>42239</v>
          </cell>
          <cell r="DT191">
            <v>0</v>
          </cell>
          <cell r="DU191">
            <v>42254</v>
          </cell>
          <cell r="DW191">
            <v>0</v>
          </cell>
          <cell r="DY191">
            <v>42240</v>
          </cell>
          <cell r="DZ191">
            <v>42205</v>
          </cell>
          <cell r="EA191" t="str">
            <v>IENG</v>
          </cell>
          <cell r="EB191">
            <v>42209</v>
          </cell>
          <cell r="ED191" t="str">
            <v xml:space="preserve">03Sep15 :ChoYee.Thaung: 20/8/15 : backfilling done, Tower on site_x000D_
1/9/15 : On Air (31/8/15)_x000D_
2/9/15 : Fencing on going
</v>
          </cell>
          <cell r="EE191" t="str">
            <v xml:space="preserve">10 Aug 15:Flood affected_Hold-No access; 24-Jul-15: excavation done, dewatering due to flood								</v>
          </cell>
          <cell r="EJ191">
            <v>28</v>
          </cell>
          <cell r="EK191">
            <v>42257</v>
          </cell>
          <cell r="EL191">
            <v>42237</v>
          </cell>
          <cell r="EM191">
            <v>42258</v>
          </cell>
          <cell r="EN191">
            <v>42233</v>
          </cell>
          <cell r="EQ191">
            <v>42267</v>
          </cell>
          <cell r="ER191">
            <v>42241</v>
          </cell>
          <cell r="ES191">
            <v>42243</v>
          </cell>
          <cell r="ET191">
            <v>42243</v>
          </cell>
          <cell r="EU191">
            <v>42243</v>
          </cell>
          <cell r="EW191">
            <v>28</v>
          </cell>
          <cell r="EX191">
            <v>42228</v>
          </cell>
          <cell r="EZ191">
            <v>42277</v>
          </cell>
          <cell r="FA191">
            <v>42245</v>
          </cell>
          <cell r="FB191">
            <v>42279</v>
          </cell>
          <cell r="FC191">
            <v>42246</v>
          </cell>
          <cell r="FU191">
            <v>42281</v>
          </cell>
          <cell r="FW191">
            <v>42281</v>
          </cell>
          <cell r="FX191">
            <v>42246</v>
          </cell>
          <cell r="FY191" t="str">
            <v>TN</v>
          </cell>
          <cell r="FZ191">
            <v>42236</v>
          </cell>
          <cell r="GA191">
            <v>42246</v>
          </cell>
          <cell r="GB191">
            <v>42246</v>
          </cell>
          <cell r="GC191">
            <v>42246</v>
          </cell>
          <cell r="GD191">
            <v>42247</v>
          </cell>
          <cell r="GE191">
            <v>42247</v>
          </cell>
          <cell r="GF191">
            <v>42247</v>
          </cell>
          <cell r="GG191">
            <v>42247</v>
          </cell>
          <cell r="GH191">
            <v>42247</v>
          </cell>
          <cell r="GI191">
            <v>42246</v>
          </cell>
          <cell r="GJ191" t="str">
            <v>44-2015</v>
          </cell>
          <cell r="GK191">
            <v>42247</v>
          </cell>
          <cell r="GL191" t="str">
            <v>Equipment Required :: Dispatch 21th Aug</v>
          </cell>
          <cell r="GN191" t="str">
            <v>ERICSSON</v>
          </cell>
          <cell r="GS191" t="str">
            <v>4/4/4</v>
          </cell>
          <cell r="GU191" t="str">
            <v xml:space="preserve">		</v>
          </cell>
          <cell r="HD191">
            <v>1</v>
          </cell>
        </row>
        <row r="192">
          <cell r="A192" t="str">
            <v>CH0059</v>
          </cell>
          <cell r="B192" t="str">
            <v>ANCH_0001</v>
          </cell>
          <cell r="C192" t="str">
            <v>Apollo</v>
          </cell>
          <cell r="D192" t="str">
            <v>Adriaan Coetsee</v>
          </cell>
          <cell r="F192" t="str">
            <v>Aung Thu Win</v>
          </cell>
          <cell r="G192" t="str">
            <v>Kyaw Zeyar</v>
          </cell>
          <cell r="H192" t="str">
            <v>RED</v>
          </cell>
          <cell r="I192" t="str">
            <v>North</v>
          </cell>
          <cell r="J192" t="str">
            <v>93.6849</v>
          </cell>
          <cell r="K192" t="str">
            <v>22.5367</v>
          </cell>
          <cell r="L192" t="str">
            <v>Highway</v>
          </cell>
          <cell r="M192" t="str">
            <v>Chin</v>
          </cell>
          <cell r="N192" t="str">
            <v>Hakha</v>
          </cell>
          <cell r="O192" t="str">
            <v>Hakha</v>
          </cell>
          <cell r="P192" t="str">
            <v>Chin</v>
          </cell>
          <cell r="Q192" t="str">
            <v>2</v>
          </cell>
          <cell r="R192" t="str">
            <v>Hakha</v>
          </cell>
          <cell r="S192" t="str">
            <v>34</v>
          </cell>
          <cell r="T192" t="str">
            <v>GSM+UMTS</v>
          </cell>
          <cell r="W192" t="str">
            <v>Ph2-Priority</v>
          </cell>
          <cell r="X192" t="str">
            <v>55</v>
          </cell>
          <cell r="Y192" t="str">
            <v>57</v>
          </cell>
          <cell r="Z192" t="str">
            <v>GBT</v>
          </cell>
          <cell r="AA192" t="str">
            <v>500</v>
          </cell>
          <cell r="AB192" t="str">
            <v>Access</v>
          </cell>
          <cell r="AC192" t="str">
            <v>Class C</v>
          </cell>
          <cell r="BE192" t="str">
            <v>Route 17 Monywa - Tamu</v>
          </cell>
          <cell r="BH192" t="str">
            <v>Camusat</v>
          </cell>
          <cell r="BJ192">
            <v>42155</v>
          </cell>
          <cell r="BK192">
            <v>42157</v>
          </cell>
          <cell r="BL192">
            <v>42160</v>
          </cell>
          <cell r="BM192">
            <v>42164</v>
          </cell>
          <cell r="BT192">
            <v>17</v>
          </cell>
          <cell r="BU192">
            <v>42256</v>
          </cell>
          <cell r="BV192">
            <v>42174</v>
          </cell>
          <cell r="BW192" t="str">
            <v>93.68476</v>
          </cell>
          <cell r="BX192" t="str">
            <v>22.53435</v>
          </cell>
          <cell r="BY192" t="str">
            <v>C1</v>
          </cell>
          <cell r="BZ192" t="str">
            <v>Kyar Ni Kan Group Pyin Gyi Village, Paungde Township,Bago Division</v>
          </cell>
          <cell r="CA192" t="str">
            <v>U Mg Nyunt;09-796647897</v>
          </cell>
          <cell r="CB192" t="str">
            <v>19Jun15: C1 SAR Sub</v>
          </cell>
          <cell r="CE192">
            <v>3</v>
          </cell>
          <cell r="CF192">
            <v>42257</v>
          </cell>
          <cell r="CG192">
            <v>42177</v>
          </cell>
          <cell r="CH192">
            <v>42259</v>
          </cell>
          <cell r="CJ192">
            <v>42191</v>
          </cell>
          <cell r="CK192" t="str">
            <v>45</v>
          </cell>
          <cell r="CL192" t="str">
            <v>47</v>
          </cell>
          <cell r="CM192" t="str">
            <v>50</v>
          </cell>
          <cell r="CN192">
            <v>56</v>
          </cell>
          <cell r="CO192">
            <v>42262</v>
          </cell>
          <cell r="CP192">
            <v>42193</v>
          </cell>
          <cell r="CQ192" t="str">
            <v>M4: solar + DG + battery</v>
          </cell>
          <cell r="CR192">
            <v>0</v>
          </cell>
          <cell r="CS192">
            <v>42263</v>
          </cell>
          <cell r="CT192">
            <v>42194</v>
          </cell>
          <cell r="CU192" t="str">
            <v>CH0059</v>
          </cell>
          <cell r="DH192">
            <v>0</v>
          </cell>
          <cell r="DI192">
            <v>42273</v>
          </cell>
          <cell r="DK192">
            <v>42270</v>
          </cell>
          <cell r="DL192">
            <v>42202</v>
          </cell>
          <cell r="DM192">
            <v>42274</v>
          </cell>
          <cell r="DN192">
            <v>42202</v>
          </cell>
          <cell r="DO192">
            <v>0</v>
          </cell>
          <cell r="DP192">
            <v>42273</v>
          </cell>
          <cell r="DT192">
            <v>0</v>
          </cell>
          <cell r="DU192">
            <v>42288</v>
          </cell>
          <cell r="DW192">
            <v>0</v>
          </cell>
          <cell r="DY192">
            <v>42274</v>
          </cell>
          <cell r="DZ192">
            <v>42205</v>
          </cell>
          <cell r="EA192" t="str">
            <v>Camusat</v>
          </cell>
          <cell r="EE192" t="str">
            <v xml:space="preserve">10 Aug 15:Rain affected_Progress affected; 4-Aug-15:excavation done, dewatering due to flood								</v>
          </cell>
          <cell r="EJ192">
            <v>0</v>
          </cell>
          <cell r="EK192">
            <v>42296</v>
          </cell>
          <cell r="EL192">
            <v>42233</v>
          </cell>
          <cell r="EM192">
            <v>42297</v>
          </cell>
          <cell r="EN192">
            <v>42233</v>
          </cell>
          <cell r="EQ192">
            <v>42309</v>
          </cell>
          <cell r="EW192">
            <v>0</v>
          </cell>
          <cell r="EX192">
            <v>42323</v>
          </cell>
          <cell r="EZ192">
            <v>42319</v>
          </cell>
          <cell r="FB192">
            <v>42321</v>
          </cell>
          <cell r="FU192">
            <v>42323</v>
          </cell>
          <cell r="FW192">
            <v>42323</v>
          </cell>
          <cell r="FY192" t="str">
            <v>EM</v>
          </cell>
          <cell r="FZ192">
            <v>42234</v>
          </cell>
          <cell r="GI192">
            <v>42246</v>
          </cell>
          <cell r="GJ192">
            <v>0</v>
          </cell>
          <cell r="GL192" t="str">
            <v>Equipment Required :: Dispatch 18th Aug</v>
          </cell>
          <cell r="GN192" t="str">
            <v>ERICSSON</v>
          </cell>
          <cell r="GS192" t="str">
            <v>4/4/4</v>
          </cell>
          <cell r="GU192" t="str">
            <v xml:space="preserve">		</v>
          </cell>
          <cell r="HD192">
            <v>1</v>
          </cell>
        </row>
        <row r="193">
          <cell r="A193" t="str">
            <v>CH0061</v>
          </cell>
          <cell r="B193" t="str">
            <v>ANCH_0002</v>
          </cell>
          <cell r="C193" t="str">
            <v>Apollo</v>
          </cell>
          <cell r="D193" t="str">
            <v>Adriaan Coetsee</v>
          </cell>
          <cell r="F193" t="str">
            <v>Aung Thu Win</v>
          </cell>
          <cell r="G193" t="str">
            <v>Kyaw Zeyar</v>
          </cell>
          <cell r="H193" t="str">
            <v>RED</v>
          </cell>
          <cell r="I193" t="str">
            <v>North</v>
          </cell>
          <cell r="J193" t="str">
            <v>93.8398</v>
          </cell>
          <cell r="K193" t="str">
            <v>22.4492</v>
          </cell>
          <cell r="L193" t="str">
            <v>Highway</v>
          </cell>
          <cell r="M193" t="str">
            <v>Chin</v>
          </cell>
          <cell r="N193" t="str">
            <v>Hakha</v>
          </cell>
          <cell r="O193" t="str">
            <v>Hakha</v>
          </cell>
          <cell r="P193" t="str">
            <v>Chin</v>
          </cell>
          <cell r="Q193" t="str">
            <v>2</v>
          </cell>
          <cell r="R193" t="str">
            <v>Hakha</v>
          </cell>
          <cell r="S193" t="str">
            <v>34</v>
          </cell>
          <cell r="T193" t="str">
            <v>GSM+UMTS</v>
          </cell>
          <cell r="W193" t="str">
            <v>Ph2-Priority</v>
          </cell>
          <cell r="X193" t="str">
            <v>55</v>
          </cell>
          <cell r="Y193" t="str">
            <v>57</v>
          </cell>
          <cell r="Z193" t="str">
            <v>GBT</v>
          </cell>
          <cell r="AA193" t="str">
            <v>500</v>
          </cell>
          <cell r="AB193" t="str">
            <v>Access</v>
          </cell>
          <cell r="AC193" t="str">
            <v>Class C</v>
          </cell>
          <cell r="BE193" t="str">
            <v>Route 17 Monywa - Tamu</v>
          </cell>
          <cell r="BH193" t="str">
            <v>Camusat</v>
          </cell>
          <cell r="BJ193">
            <v>42155</v>
          </cell>
          <cell r="BK193">
            <v>42157</v>
          </cell>
          <cell r="BL193">
            <v>42160</v>
          </cell>
          <cell r="BM193">
            <v>42164</v>
          </cell>
          <cell r="BT193">
            <v>17</v>
          </cell>
          <cell r="BU193">
            <v>42256</v>
          </cell>
          <cell r="BV193">
            <v>42174</v>
          </cell>
          <cell r="BW193" t="str">
            <v>93.842986</v>
          </cell>
          <cell r="BX193" t="str">
            <v>22.45123</v>
          </cell>
          <cell r="BY193" t="str">
            <v>C1</v>
          </cell>
          <cell r="CB193" t="str">
            <v>19Jun15: C1 SAR Sub</v>
          </cell>
          <cell r="CC193" t="str">
            <v>Town</v>
          </cell>
          <cell r="CE193">
            <v>5</v>
          </cell>
          <cell r="CF193">
            <v>42257</v>
          </cell>
          <cell r="CG193">
            <v>42179</v>
          </cell>
          <cell r="CH193">
            <v>42259</v>
          </cell>
          <cell r="CN193">
            <v>54</v>
          </cell>
          <cell r="CO193">
            <v>42262</v>
          </cell>
          <cell r="CQ193" t="str">
            <v>M4: solar + DG + battery</v>
          </cell>
          <cell r="CR193">
            <v>0</v>
          </cell>
          <cell r="CS193">
            <v>42263</v>
          </cell>
          <cell r="CU193" t="str">
            <v>CH0061</v>
          </cell>
          <cell r="DH193">
            <v>0</v>
          </cell>
          <cell r="DI193">
            <v>42273</v>
          </cell>
          <cell r="DK193">
            <v>42270</v>
          </cell>
          <cell r="DM193">
            <v>42274</v>
          </cell>
          <cell r="DO193">
            <v>0</v>
          </cell>
          <cell r="DP193">
            <v>42273</v>
          </cell>
          <cell r="DT193">
            <v>0</v>
          </cell>
          <cell r="DU193">
            <v>42288</v>
          </cell>
          <cell r="DW193">
            <v>0</v>
          </cell>
          <cell r="DY193">
            <v>42274</v>
          </cell>
          <cell r="EA193" t="str">
            <v>Camusat</v>
          </cell>
          <cell r="EJ193">
            <v>0</v>
          </cell>
          <cell r="EK193">
            <v>42296</v>
          </cell>
          <cell r="EM193">
            <v>42297</v>
          </cell>
          <cell r="EQ193">
            <v>42309</v>
          </cell>
          <cell r="EW193">
            <v>0</v>
          </cell>
          <cell r="EX193">
            <v>42323</v>
          </cell>
          <cell r="EZ193">
            <v>42319</v>
          </cell>
          <cell r="FB193">
            <v>42321</v>
          </cell>
          <cell r="FU193">
            <v>42323</v>
          </cell>
          <cell r="FW193">
            <v>42323</v>
          </cell>
          <cell r="GJ193">
            <v>0</v>
          </cell>
          <cell r="GN193" t="str">
            <v>ERICSSON</v>
          </cell>
          <cell r="HD193">
            <v>1</v>
          </cell>
        </row>
        <row r="194">
          <cell r="A194" t="str">
            <v>CH0063</v>
          </cell>
          <cell r="B194" t="str">
            <v>ANCH_0003</v>
          </cell>
          <cell r="C194" t="str">
            <v>Apollo</v>
          </cell>
          <cell r="D194" t="str">
            <v>Adriaan Coetsee</v>
          </cell>
          <cell r="F194" t="str">
            <v>Aung Thu Win</v>
          </cell>
          <cell r="G194" t="str">
            <v>Kyaw Zeyar</v>
          </cell>
          <cell r="H194" t="str">
            <v>RED</v>
          </cell>
          <cell r="I194" t="str">
            <v>North</v>
          </cell>
          <cell r="J194" t="str">
            <v>93.9666</v>
          </cell>
          <cell r="K194" t="str">
            <v>22.2692</v>
          </cell>
          <cell r="L194" t="str">
            <v>Highway</v>
          </cell>
          <cell r="M194" t="str">
            <v>Chin</v>
          </cell>
          <cell r="N194" t="str">
            <v>Hakha</v>
          </cell>
          <cell r="O194" t="str">
            <v>Hakha</v>
          </cell>
          <cell r="P194" t="str">
            <v>Chin</v>
          </cell>
          <cell r="Q194" t="str">
            <v>2</v>
          </cell>
          <cell r="R194" t="str">
            <v>Hakha</v>
          </cell>
          <cell r="S194" t="str">
            <v>34</v>
          </cell>
          <cell r="T194" t="str">
            <v>GSM+UMTS</v>
          </cell>
          <cell r="W194" t="str">
            <v>Ph2-Priority</v>
          </cell>
          <cell r="X194" t="str">
            <v>55</v>
          </cell>
          <cell r="Y194" t="str">
            <v>57</v>
          </cell>
          <cell r="Z194" t="str">
            <v>GBT</v>
          </cell>
          <cell r="AA194" t="str">
            <v>500</v>
          </cell>
          <cell r="AB194" t="str">
            <v>Access</v>
          </cell>
          <cell r="AC194" t="str">
            <v>Class C</v>
          </cell>
          <cell r="BE194" t="str">
            <v>Route 17 Monywa - Tamu</v>
          </cell>
          <cell r="BH194" t="str">
            <v>Camusat</v>
          </cell>
          <cell r="BJ194">
            <v>42155</v>
          </cell>
          <cell r="BK194">
            <v>42155</v>
          </cell>
          <cell r="BL194">
            <v>42160</v>
          </cell>
          <cell r="BM194">
            <v>42162</v>
          </cell>
          <cell r="BT194">
            <v>58</v>
          </cell>
          <cell r="BU194">
            <v>42256</v>
          </cell>
          <cell r="BV194">
            <v>42213</v>
          </cell>
          <cell r="BW194" t="str">
            <v>93.96716</v>
          </cell>
          <cell r="BX194" t="str">
            <v>22.27102</v>
          </cell>
          <cell r="BY194" t="str">
            <v>C2</v>
          </cell>
          <cell r="BZ194" t="str">
            <v>(10)Street,Yone Quarter East ,Quarter (9), Block (84/L) ,UP(133),U Kin Buddha, Min Hla Township,Magway Division.</v>
          </cell>
          <cell r="CA194" t="str">
            <v>U Than Aung;(10)Street,Yone Quarter East ,Quarter (9), Block (84/L) ,UP(133),U Kin Buddha, Min Hla Township,Magway Division;09-33256677</v>
          </cell>
          <cell r="CB194" t="str">
            <v>28 July 15:C2-SAR submission;17 June 15 : C1 SAR rejected(RND rejected because this site is 1.88km far from the nominal point. Please find the new candidate at near the nominal point.);15Jun15: C1 SAR Sub</v>
          </cell>
          <cell r="CC194" t="str">
            <v>Forestry</v>
          </cell>
          <cell r="CE194">
            <v>1</v>
          </cell>
          <cell r="CF194">
            <v>42257</v>
          </cell>
          <cell r="CG194">
            <v>42214</v>
          </cell>
          <cell r="CH194">
            <v>42259</v>
          </cell>
          <cell r="CJ194">
            <v>42148</v>
          </cell>
          <cell r="CK194" t="str">
            <v>35</v>
          </cell>
          <cell r="CL194" t="str">
            <v>37</v>
          </cell>
          <cell r="CM194" t="str">
            <v>40</v>
          </cell>
          <cell r="CN194">
            <v>19</v>
          </cell>
          <cell r="CO194">
            <v>42262</v>
          </cell>
          <cell r="CP194">
            <v>42150</v>
          </cell>
          <cell r="CQ194" t="str">
            <v>M4: solar + DG + battery</v>
          </cell>
          <cell r="CR194">
            <v>0</v>
          </cell>
          <cell r="CS194">
            <v>42263</v>
          </cell>
          <cell r="CT194">
            <v>42152</v>
          </cell>
          <cell r="CU194" t="str">
            <v>CH0063</v>
          </cell>
          <cell r="DH194">
            <v>0</v>
          </cell>
          <cell r="DI194">
            <v>42273</v>
          </cell>
          <cell r="DJ194">
            <v>42186</v>
          </cell>
          <cell r="DK194">
            <v>42270</v>
          </cell>
          <cell r="DL194">
            <v>42159</v>
          </cell>
          <cell r="DM194">
            <v>42274</v>
          </cell>
          <cell r="DN194">
            <v>42171</v>
          </cell>
          <cell r="DO194">
            <v>0</v>
          </cell>
          <cell r="DP194">
            <v>42273</v>
          </cell>
          <cell r="DQ194">
            <v>42186</v>
          </cell>
          <cell r="DT194">
            <v>0</v>
          </cell>
          <cell r="DU194">
            <v>42288</v>
          </cell>
          <cell r="DW194">
            <v>0</v>
          </cell>
          <cell r="DY194">
            <v>42274</v>
          </cell>
          <cell r="DZ194">
            <v>42167</v>
          </cell>
          <cell r="EA194" t="str">
            <v>Camusat</v>
          </cell>
          <cell r="EE194" t="str">
            <v xml:space="preserve">10 Aug 15:Rain affected_Progress affected; 3-Aug-15: Foundation casted. Equipment slab to proceed. 2. Rain affected_ Site is progressing but rain is affecting the work every day.								</v>
          </cell>
          <cell r="EJ194">
            <v>0</v>
          </cell>
          <cell r="EK194">
            <v>42296</v>
          </cell>
          <cell r="EL194">
            <v>42208</v>
          </cell>
          <cell r="EM194">
            <v>42297</v>
          </cell>
          <cell r="EN194">
            <v>42233</v>
          </cell>
          <cell r="EQ194">
            <v>42309</v>
          </cell>
          <cell r="ES194">
            <v>42233</v>
          </cell>
          <cell r="EW194">
            <v>0</v>
          </cell>
          <cell r="EX194">
            <v>42323</v>
          </cell>
          <cell r="EZ194">
            <v>42319</v>
          </cell>
          <cell r="FB194">
            <v>42321</v>
          </cell>
          <cell r="FU194">
            <v>42323</v>
          </cell>
          <cell r="FW194">
            <v>42323</v>
          </cell>
          <cell r="FY194" t="str">
            <v>RT</v>
          </cell>
          <cell r="GI194">
            <v>42171</v>
          </cell>
          <cell r="GJ194">
            <v>0</v>
          </cell>
          <cell r="GN194" t="str">
            <v>ERICSSON</v>
          </cell>
          <cell r="HD194">
            <v>1</v>
          </cell>
        </row>
        <row r="195">
          <cell r="A195" t="str">
            <v>CH0072</v>
          </cell>
          <cell r="B195" t="str">
            <v>ANCH_0004</v>
          </cell>
          <cell r="C195" t="str">
            <v>Apollo</v>
          </cell>
          <cell r="D195" t="str">
            <v>Adriaan Coetsee</v>
          </cell>
          <cell r="F195" t="str">
            <v>Aung Thu Win</v>
          </cell>
          <cell r="G195" t="str">
            <v>Kyaw Zeyar</v>
          </cell>
          <cell r="H195" t="str">
            <v>RED</v>
          </cell>
          <cell r="I195" t="str">
            <v>North</v>
          </cell>
          <cell r="J195" t="str">
            <v>94.057671</v>
          </cell>
          <cell r="K195" t="str">
            <v>21.193101</v>
          </cell>
          <cell r="L195" t="str">
            <v>Suburban</v>
          </cell>
          <cell r="M195" t="str">
            <v>Chin</v>
          </cell>
          <cell r="N195" t="str">
            <v>Kanpetlet</v>
          </cell>
          <cell r="O195" t="str">
            <v>Kanpetlet</v>
          </cell>
          <cell r="P195" t="str">
            <v>Chin</v>
          </cell>
          <cell r="Q195" t="str">
            <v>2</v>
          </cell>
          <cell r="R195" t="str">
            <v>Kanpetlet</v>
          </cell>
          <cell r="S195" t="str">
            <v>40</v>
          </cell>
          <cell r="T195" t="str">
            <v>GSM+UMTS</v>
          </cell>
          <cell r="W195" t="str">
            <v>Ph2-Priority</v>
          </cell>
          <cell r="X195" t="str">
            <v>40</v>
          </cell>
          <cell r="Y195" t="str">
            <v>42</v>
          </cell>
          <cell r="Z195" t="str">
            <v>GBT</v>
          </cell>
          <cell r="AA195" t="str">
            <v>250</v>
          </cell>
          <cell r="AB195" t="str">
            <v>Access</v>
          </cell>
          <cell r="AC195" t="str">
            <v>Class B</v>
          </cell>
          <cell r="BH195" t="str">
            <v>Camusat</v>
          </cell>
          <cell r="BJ195">
            <v>42155</v>
          </cell>
          <cell r="BK195">
            <v>42175</v>
          </cell>
          <cell r="BL195">
            <v>42160</v>
          </cell>
          <cell r="BM195">
            <v>42125</v>
          </cell>
          <cell r="BT195">
            <v>10</v>
          </cell>
          <cell r="BU195">
            <v>42256</v>
          </cell>
          <cell r="BV195">
            <v>42185</v>
          </cell>
          <cell r="BW195" t="str">
            <v>94.05694</v>
          </cell>
          <cell r="BX195" t="str">
            <v>21.19473</v>
          </cell>
          <cell r="BY195" t="str">
            <v>C1</v>
          </cell>
          <cell r="BZ195" t="str">
            <v>No(4/106),Kan Ka Lay Village,Kyaung Kone Tsp;Ayeyawady Division.</v>
          </cell>
          <cell r="CA195" t="str">
            <v>Ma Khaing Khaing Maw;No(4/106),Kan Ka Lay Village,Kyaung Kone Tsp;Ayeyawady Division;09-49720066,36329090,791225827</v>
          </cell>
          <cell r="CB195" t="str">
            <v>1 July 15 : C1 SAR approved as an option 1(TND approved 40m repeater MG0333_R1(21.12515,94.166379))</v>
          </cell>
          <cell r="CC195" t="str">
            <v>Town</v>
          </cell>
          <cell r="CE195">
            <v>1</v>
          </cell>
          <cell r="CF195">
            <v>42257</v>
          </cell>
          <cell r="CG195">
            <v>42186</v>
          </cell>
          <cell r="CH195">
            <v>42259</v>
          </cell>
          <cell r="CJ195">
            <v>42138</v>
          </cell>
          <cell r="CK195" t="str">
            <v>53</v>
          </cell>
          <cell r="CL195" t="str">
            <v>55</v>
          </cell>
          <cell r="CM195" t="str">
            <v>60</v>
          </cell>
          <cell r="CN195">
            <v>47</v>
          </cell>
          <cell r="CO195">
            <v>42262</v>
          </cell>
          <cell r="CP195">
            <v>42145</v>
          </cell>
          <cell r="CQ195" t="str">
            <v>M4: solar + DG + battery</v>
          </cell>
          <cell r="CR195">
            <v>0</v>
          </cell>
          <cell r="CS195">
            <v>42263</v>
          </cell>
          <cell r="CT195">
            <v>42146</v>
          </cell>
          <cell r="CU195" t="str">
            <v>CH0072</v>
          </cell>
          <cell r="DH195">
            <v>0</v>
          </cell>
          <cell r="DI195">
            <v>42273</v>
          </cell>
          <cell r="DJ195">
            <v>42166</v>
          </cell>
          <cell r="DK195">
            <v>42270</v>
          </cell>
          <cell r="DL195">
            <v>42166</v>
          </cell>
          <cell r="DM195">
            <v>42274</v>
          </cell>
          <cell r="DN195">
            <v>42187</v>
          </cell>
          <cell r="DO195">
            <v>0</v>
          </cell>
          <cell r="DP195">
            <v>42273</v>
          </cell>
          <cell r="DQ195">
            <v>42166</v>
          </cell>
          <cell r="DT195">
            <v>0</v>
          </cell>
          <cell r="DU195">
            <v>42288</v>
          </cell>
          <cell r="DW195">
            <v>0</v>
          </cell>
          <cell r="DY195">
            <v>42274</v>
          </cell>
          <cell r="DZ195">
            <v>42181</v>
          </cell>
          <cell r="EA195" t="str">
            <v>Camusat</v>
          </cell>
          <cell r="EE195" t="str">
            <v xml:space="preserve">10 Aug 15:Rain affected_Progress affected; 4-Aug-15: tower foundation done w/ backfill, on going material delivery for ODU pad								</v>
          </cell>
          <cell r="EJ195">
            <v>0</v>
          </cell>
          <cell r="EK195">
            <v>42291</v>
          </cell>
          <cell r="EL195">
            <v>42211</v>
          </cell>
          <cell r="EM195">
            <v>42292</v>
          </cell>
          <cell r="EQ195">
            <v>42301</v>
          </cell>
          <cell r="EW195">
            <v>0</v>
          </cell>
          <cell r="EX195">
            <v>42315</v>
          </cell>
          <cell r="EZ195">
            <v>42311</v>
          </cell>
          <cell r="FB195">
            <v>42313</v>
          </cell>
          <cell r="FS195">
            <v>42192</v>
          </cell>
          <cell r="FT195" t="str">
            <v>Off Grid</v>
          </cell>
          <cell r="FU195">
            <v>42315</v>
          </cell>
          <cell r="FW195">
            <v>42315</v>
          </cell>
          <cell r="GI195">
            <v>42216</v>
          </cell>
          <cell r="GJ195">
            <v>0</v>
          </cell>
          <cell r="GL195" t="str">
            <v>Need to Prepare SMR</v>
          </cell>
          <cell r="GN195" t="str">
            <v xml:space="preserve">ERICSSON </v>
          </cell>
          <cell r="GO195">
            <v>42173</v>
          </cell>
          <cell r="GQ195" t="str">
            <v xml:space="preserve">SMR Pending; </v>
          </cell>
          <cell r="GS195" t="str">
            <v>4/4/4</v>
          </cell>
          <cell r="GU195" t="str">
            <v xml:space="preserve">		</v>
          </cell>
          <cell r="HD195">
            <v>1</v>
          </cell>
        </row>
        <row r="196">
          <cell r="A196" t="str">
            <v>CH0101</v>
          </cell>
          <cell r="B196" t="str">
            <v>ANCH_0005</v>
          </cell>
          <cell r="C196" t="str">
            <v>Apollo</v>
          </cell>
          <cell r="D196" t="str">
            <v>Adriaan Coetsee</v>
          </cell>
          <cell r="E196" t="str">
            <v>Joselito Mapuyan : 9254374794</v>
          </cell>
          <cell r="F196" t="str">
            <v>Aung Thu Win</v>
          </cell>
          <cell r="G196" t="str">
            <v>Kyaw Zeyar</v>
          </cell>
          <cell r="H196" t="str">
            <v>RED</v>
          </cell>
          <cell r="I196" t="str">
            <v>North</v>
          </cell>
          <cell r="J196" t="str">
            <v>92.85566</v>
          </cell>
          <cell r="K196" t="str">
            <v>21.305221</v>
          </cell>
          <cell r="L196" t="str">
            <v>Suburban</v>
          </cell>
          <cell r="M196" t="str">
            <v>Chin</v>
          </cell>
          <cell r="N196" t="str">
            <v>Paletwa</v>
          </cell>
          <cell r="O196" t="str">
            <v>Paletwa</v>
          </cell>
          <cell r="P196" t="str">
            <v>Chin</v>
          </cell>
          <cell r="Q196" t="str">
            <v>2</v>
          </cell>
          <cell r="R196" t="str">
            <v>Paletwa</v>
          </cell>
          <cell r="S196" t="str">
            <v>41</v>
          </cell>
          <cell r="T196" t="str">
            <v>GSM+UMTS</v>
          </cell>
          <cell r="U196" t="str">
            <v>KAY-N003</v>
          </cell>
          <cell r="V196">
            <v>0</v>
          </cell>
          <cell r="W196" t="str">
            <v>Ph2-Priority</v>
          </cell>
          <cell r="X196" t="str">
            <v>40</v>
          </cell>
          <cell r="Y196" t="str">
            <v>42</v>
          </cell>
          <cell r="Z196" t="str">
            <v>GBT</v>
          </cell>
          <cell r="AA196" t="str">
            <v>250</v>
          </cell>
          <cell r="AB196" t="str">
            <v>Access</v>
          </cell>
          <cell r="AC196" t="str">
            <v>Class B</v>
          </cell>
          <cell r="AD196">
            <v>3561.09</v>
          </cell>
          <cell r="AE196">
            <v>4197.1099999999997</v>
          </cell>
          <cell r="AF196">
            <v>4</v>
          </cell>
          <cell r="AG196" t="str">
            <v>BA0570</v>
          </cell>
          <cell r="AH196" t="str">
            <v>BA0561</v>
          </cell>
          <cell r="BC196" t="str">
            <v>BA0561</v>
          </cell>
          <cell r="BD196" t="str">
            <v>2</v>
          </cell>
          <cell r="BE196" t="str">
            <v>Route 2 Yangon -Mawlamyine</v>
          </cell>
          <cell r="BF196">
            <v>41973</v>
          </cell>
          <cell r="BG196">
            <v>42124</v>
          </cell>
          <cell r="BH196" t="str">
            <v>KTT</v>
          </cell>
          <cell r="BJ196">
            <v>42155</v>
          </cell>
          <cell r="BK196">
            <v>42170</v>
          </cell>
          <cell r="BL196">
            <v>42160</v>
          </cell>
          <cell r="BM196">
            <v>42177</v>
          </cell>
          <cell r="BT196">
            <v>18</v>
          </cell>
          <cell r="BU196">
            <v>42233</v>
          </cell>
          <cell r="BV196">
            <v>42188</v>
          </cell>
          <cell r="BW196" t="str">
            <v>92.85531</v>
          </cell>
          <cell r="BX196" t="str">
            <v>21.3064</v>
          </cell>
          <cell r="BY196" t="str">
            <v>C1</v>
          </cell>
          <cell r="CB196" t="str">
            <v>21 July 15 : C6 SAR rejected(RND rejected because this site is 789m far from the nominal point and 305m close with on air site (BA0687_C01). Please find the new candidate near the nominal.);17 July 15 : C6 SAR sub;11May15: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196" t="str">
            <v>Village</v>
          </cell>
          <cell r="CE196">
            <v>3</v>
          </cell>
          <cell r="CF196">
            <v>42234</v>
          </cell>
          <cell r="CG196">
            <v>42191</v>
          </cell>
          <cell r="CH196">
            <v>42236</v>
          </cell>
          <cell r="CN196">
            <v>42</v>
          </cell>
          <cell r="CO196">
            <v>42239</v>
          </cell>
          <cell r="CQ196" t="str">
            <v>M1: grid power + battery</v>
          </cell>
          <cell r="CR196">
            <v>0</v>
          </cell>
          <cell r="CS196">
            <v>42240</v>
          </cell>
          <cell r="CU196" t="str">
            <v>CH0101</v>
          </cell>
          <cell r="CV196" t="str">
            <v>Y</v>
          </cell>
          <cell r="CW196" t="str">
            <v>Y</v>
          </cell>
          <cell r="CX196" t="str">
            <v>Y</v>
          </cell>
          <cell r="CY196" t="str">
            <v>Y</v>
          </cell>
          <cell r="DB196" t="str">
            <v>Y</v>
          </cell>
          <cell r="DE196" t="str">
            <v>Y</v>
          </cell>
          <cell r="DF196" t="str">
            <v>Y</v>
          </cell>
          <cell r="DG196" t="str">
            <v>Y</v>
          </cell>
          <cell r="DH196">
            <v>0</v>
          </cell>
          <cell r="DI196">
            <v>42250</v>
          </cell>
          <cell r="DK196">
            <v>42247</v>
          </cell>
          <cell r="DM196">
            <v>42251</v>
          </cell>
          <cell r="DO196">
            <v>0</v>
          </cell>
          <cell r="DP196">
            <v>42250</v>
          </cell>
          <cell r="DR196" t="str">
            <v>Bago CDC</v>
          </cell>
          <cell r="DS196" t="str">
            <v>052-22903</v>
          </cell>
          <cell r="DT196">
            <v>0</v>
          </cell>
          <cell r="DU196">
            <v>42265</v>
          </cell>
          <cell r="DW196">
            <v>0</v>
          </cell>
          <cell r="DY196">
            <v>42251</v>
          </cell>
          <cell r="EA196" t="str">
            <v>Leadcom</v>
          </cell>
          <cell r="EJ196">
            <v>0</v>
          </cell>
          <cell r="EK196">
            <v>42268</v>
          </cell>
          <cell r="EM196">
            <v>42269</v>
          </cell>
          <cell r="EQ196">
            <v>42278</v>
          </cell>
          <cell r="EW196">
            <v>0</v>
          </cell>
          <cell r="EX196">
            <v>42292</v>
          </cell>
          <cell r="EZ196">
            <v>42288</v>
          </cell>
          <cell r="FB196">
            <v>42290</v>
          </cell>
          <cell r="FD196">
            <v>41937</v>
          </cell>
          <cell r="FF196">
            <v>41944</v>
          </cell>
          <cell r="FH196">
            <v>41946</v>
          </cell>
          <cell r="FJ196">
            <v>41949</v>
          </cell>
          <cell r="FN196">
            <v>41953</v>
          </cell>
          <cell r="FP196">
            <v>41955</v>
          </cell>
          <cell r="FR196">
            <v>41969</v>
          </cell>
          <cell r="FU196">
            <v>42292</v>
          </cell>
          <cell r="FW196">
            <v>42292</v>
          </cell>
          <cell r="GJ196">
            <v>0</v>
          </cell>
          <cell r="GN196" t="str">
            <v>ERICSSON</v>
          </cell>
          <cell r="GO196">
            <v>41710</v>
          </cell>
          <cell r="GS196" t="str">
            <v>4/4/4</v>
          </cell>
          <cell r="GU196" t="str">
            <v xml:space="preserve">		</v>
          </cell>
          <cell r="HD196">
            <v>1</v>
          </cell>
        </row>
        <row r="197">
          <cell r="A197" t="str">
            <v>KA0263</v>
          </cell>
          <cell r="B197" t="str">
            <v>ASKA_0154</v>
          </cell>
          <cell r="C197" t="str">
            <v>Apollo</v>
          </cell>
          <cell r="D197" t="str">
            <v>Robert</v>
          </cell>
          <cell r="E197" t="str">
            <v>Joel Mendoza: 09254133613</v>
          </cell>
          <cell r="F197" t="str">
            <v>Phyo Wai Maung</v>
          </cell>
          <cell r="G197" t="str">
            <v>Thant Zin Oo</v>
          </cell>
          <cell r="H197" t="str">
            <v>RED</v>
          </cell>
          <cell r="I197" t="str">
            <v>South</v>
          </cell>
          <cell r="J197" t="str">
            <v>97.436017</v>
          </cell>
          <cell r="K197" t="str">
            <v>18.029953</v>
          </cell>
          <cell r="L197" t="str">
            <v>Rural</v>
          </cell>
          <cell r="M197" t="str">
            <v>Kayin</v>
          </cell>
          <cell r="N197" t="str">
            <v>Kawkareik Township</v>
          </cell>
          <cell r="O197" t="str">
            <v>Hpapun</v>
          </cell>
          <cell r="P197" t="str">
            <v>Kayin</v>
          </cell>
          <cell r="Q197" t="str">
            <v>21</v>
          </cell>
          <cell r="R197" t="str">
            <v>Hpapun</v>
          </cell>
          <cell r="S197" t="str">
            <v>28</v>
          </cell>
          <cell r="T197" t="str">
            <v>GSM+UMTS</v>
          </cell>
          <cell r="U197" t="str">
            <v>KAY-N003</v>
          </cell>
          <cell r="W197" t="str">
            <v>Ph2-Priority</v>
          </cell>
          <cell r="X197" t="str">
            <v>55</v>
          </cell>
          <cell r="Y197" t="str">
            <v>57</v>
          </cell>
          <cell r="Z197" t="str">
            <v>GBT</v>
          </cell>
          <cell r="AA197" t="str">
            <v>250</v>
          </cell>
          <cell r="AB197" t="str">
            <v>Access</v>
          </cell>
          <cell r="AC197" t="str">
            <v>Class C</v>
          </cell>
          <cell r="AD197" t="str">
            <v>3561.09</v>
          </cell>
          <cell r="AE197" t="str">
            <v>4197.11</v>
          </cell>
          <cell r="AF197" t="str">
            <v>4</v>
          </cell>
          <cell r="BE197" t="str">
            <v>Yangon Ring 4</v>
          </cell>
          <cell r="BG197">
            <v>42124</v>
          </cell>
          <cell r="BH197" t="str">
            <v>GTL</v>
          </cell>
          <cell r="BJ197">
            <v>42170</v>
          </cell>
          <cell r="BK197">
            <v>41684</v>
          </cell>
          <cell r="BL197">
            <v>42175</v>
          </cell>
          <cell r="BM197">
            <v>42165</v>
          </cell>
          <cell r="BT197">
            <v>536</v>
          </cell>
          <cell r="BU197">
            <v>42235</v>
          </cell>
          <cell r="BV197">
            <v>42220</v>
          </cell>
          <cell r="BW197" t="str">
            <v>97.43672</v>
          </cell>
          <cell r="BX197" t="str">
            <v>18.01194</v>
          </cell>
          <cell r="BY197" t="str">
            <v>C4</v>
          </cell>
          <cell r="BZ197" t="str">
            <v>No (1/16), KaLai Village, Thanatpin Township, Bago West Division.</v>
          </cell>
          <cell r="CA197" t="str">
            <v>U Win Myint,09-251095724, 09-261381463</v>
          </cell>
          <cell r="CB197" t="str">
            <v>4 Aug 15 : C4 SAR sub(AS PER RECOMMENDATIONS FROM CIVIL AVIATION);13 Nov 14 : C1 SAR rejected(RND rejected as it is 2.4km far from nominal point.) and also C2 SAR rejected (RND rejected as it is 2.5km far from nominal point.)</v>
          </cell>
          <cell r="CC197" t="str">
            <v>GARDEN LAND</v>
          </cell>
          <cell r="CE197">
            <v>7</v>
          </cell>
          <cell r="CF197">
            <v>42236</v>
          </cell>
          <cell r="CG197">
            <v>42227</v>
          </cell>
          <cell r="CH197">
            <v>42238</v>
          </cell>
          <cell r="CJ197">
            <v>42198</v>
          </cell>
          <cell r="CK197" t="str">
            <v>35</v>
          </cell>
          <cell r="CL197" t="str">
            <v>37</v>
          </cell>
          <cell r="CM197" t="str">
            <v>35</v>
          </cell>
          <cell r="CN197">
            <v>6</v>
          </cell>
          <cell r="CO197">
            <v>42241</v>
          </cell>
          <cell r="CP197">
            <v>42200</v>
          </cell>
          <cell r="CQ197" t="str">
            <v>M1: grid power + battery</v>
          </cell>
          <cell r="CR197">
            <v>0</v>
          </cell>
          <cell r="CS197">
            <v>42242</v>
          </cell>
          <cell r="CT197">
            <v>42202</v>
          </cell>
          <cell r="CU197" t="str">
            <v>KA0263</v>
          </cell>
          <cell r="DH197">
            <v>0</v>
          </cell>
          <cell r="DI197">
            <v>42252</v>
          </cell>
          <cell r="DK197">
            <v>42249</v>
          </cell>
          <cell r="DM197">
            <v>42253</v>
          </cell>
          <cell r="DO197">
            <v>0</v>
          </cell>
          <cell r="DP197">
            <v>42252</v>
          </cell>
          <cell r="DR197" t="str">
            <v>Kawkareik CDC</v>
          </cell>
          <cell r="DT197">
            <v>0</v>
          </cell>
          <cell r="DU197">
            <v>42267</v>
          </cell>
          <cell r="DW197">
            <v>0</v>
          </cell>
          <cell r="DY197">
            <v>42253</v>
          </cell>
          <cell r="EA197" t="str">
            <v>Leadcom</v>
          </cell>
          <cell r="EB197">
            <v>42213</v>
          </cell>
          <cell r="EE197" t="str">
            <v xml:space="preserve">10 Aug 15:Flood affected_Hold-No access; 28-Jul-15: BP complete_payment can be done  floods access  issues 								</v>
          </cell>
          <cell r="EJ197">
            <v>0</v>
          </cell>
          <cell r="EK197">
            <v>42275</v>
          </cell>
          <cell r="EM197">
            <v>42276</v>
          </cell>
          <cell r="EQ197">
            <v>42288</v>
          </cell>
          <cell r="EW197">
            <v>0</v>
          </cell>
          <cell r="EX197">
            <v>42302</v>
          </cell>
          <cell r="EZ197">
            <v>42298</v>
          </cell>
          <cell r="FB197">
            <v>42300</v>
          </cell>
          <cell r="FD197">
            <v>41928</v>
          </cell>
          <cell r="FF197">
            <v>41935</v>
          </cell>
          <cell r="FH197">
            <v>41937</v>
          </cell>
          <cell r="FJ197">
            <v>41940</v>
          </cell>
          <cell r="FN197">
            <v>41944</v>
          </cell>
          <cell r="FP197">
            <v>41946</v>
          </cell>
          <cell r="FR197">
            <v>41960</v>
          </cell>
          <cell r="FU197">
            <v>42302</v>
          </cell>
          <cell r="FW197">
            <v>42302</v>
          </cell>
          <cell r="GJ197">
            <v>0</v>
          </cell>
          <cell r="GN197" t="str">
            <v>ERICSSON</v>
          </cell>
          <cell r="GS197" t="str">
            <v>4/4/4</v>
          </cell>
          <cell r="GU197" t="str">
            <v xml:space="preserve">		</v>
          </cell>
          <cell r="HD197">
            <v>1</v>
          </cell>
        </row>
        <row r="198">
          <cell r="A198" t="str">
            <v>KA0268</v>
          </cell>
          <cell r="B198" t="str">
            <v>ASKA_0169</v>
          </cell>
          <cell r="C198" t="str">
            <v>Apollo</v>
          </cell>
          <cell r="D198" t="str">
            <v>Robert</v>
          </cell>
          <cell r="F198" t="str">
            <v>Phyo Wai Maung</v>
          </cell>
          <cell r="G198" t="str">
            <v>Thant Zin Oo</v>
          </cell>
          <cell r="H198" t="str">
            <v>GREEN</v>
          </cell>
          <cell r="I198" t="str">
            <v>South</v>
          </cell>
          <cell r="J198" t="str">
            <v>97.6488655785118</v>
          </cell>
          <cell r="K198" t="str">
            <v>17.1684891510073</v>
          </cell>
          <cell r="L198" t="str">
            <v>Rural</v>
          </cell>
          <cell r="M198" t="str">
            <v>Kayin</v>
          </cell>
          <cell r="N198" t="str">
            <v>Hlaingbwe</v>
          </cell>
          <cell r="O198" t="str">
            <v>Hlaingbwe</v>
          </cell>
          <cell r="P198" t="str">
            <v>Kayin</v>
          </cell>
          <cell r="Q198" t="str">
            <v>21</v>
          </cell>
          <cell r="R198" t="str">
            <v>Hlaingbwe</v>
          </cell>
          <cell r="S198" t="str">
            <v>27</v>
          </cell>
          <cell r="T198" t="str">
            <v>GSM+UMTS</v>
          </cell>
          <cell r="W198" t="str">
            <v>Ph2-Priority</v>
          </cell>
          <cell r="X198" t="str">
            <v>45</v>
          </cell>
          <cell r="Y198" t="str">
            <v>45</v>
          </cell>
          <cell r="Z198" t="str">
            <v>GBT</v>
          </cell>
          <cell r="AA198" t="str">
            <v>500</v>
          </cell>
          <cell r="AB198" t="str">
            <v>Access</v>
          </cell>
          <cell r="AC198" t="str">
            <v>Class C</v>
          </cell>
          <cell r="BE198" t="str">
            <v>Route 3 Thaton-Myawaddy</v>
          </cell>
          <cell r="BH198" t="str">
            <v>GTL</v>
          </cell>
          <cell r="BJ198">
            <v>42128</v>
          </cell>
          <cell r="BK198">
            <v>42121</v>
          </cell>
          <cell r="BL198">
            <v>42133</v>
          </cell>
          <cell r="BM198">
            <v>42127</v>
          </cell>
          <cell r="BT198">
            <v>16</v>
          </cell>
          <cell r="BU198">
            <v>42137</v>
          </cell>
          <cell r="BV198">
            <v>42137</v>
          </cell>
          <cell r="BW198" t="str">
            <v>97.64652</v>
          </cell>
          <cell r="BX198" t="str">
            <v>17.16716</v>
          </cell>
          <cell r="BY198" t="str">
            <v>C1</v>
          </cell>
          <cell r="BZ198" t="str">
            <v>No-504, Bo Gyoke Street, Shwe Gone Village Group, Hlaing Bawe .</v>
          </cell>
          <cell r="CA198" t="str">
            <v>U Myint Aye;No-504, Bo Gyoke Street, Shwe Gone Village Group, Hlaing Bawe Township;09 8730110,09 255818579</v>
          </cell>
          <cell r="CB198" t="str">
            <v>7 July 15 : C1 TSSR updated checklist released again from Ericsson because of changing Link up site and MW antenna height also; 15 May 15 :C1 SAR  approved as an option1(RND approved with 45m/60m GBT as priority 1 and this site is 290m far from the nominal point ;TND approved 15M clearance with 60M tower height for KA0268 and KA0296)and  Apollo confirmed that they can support 60 M Tower ; 14May15: Query (For 50m for KA0349 &amp; KA0268). 13May15: C1 SAR Sub</v>
          </cell>
          <cell r="CE198">
            <v>2</v>
          </cell>
          <cell r="CF198">
            <v>42138</v>
          </cell>
          <cell r="CG198">
            <v>42139</v>
          </cell>
          <cell r="CH198">
            <v>42163</v>
          </cell>
          <cell r="CJ198">
            <v>42149</v>
          </cell>
          <cell r="CK198" t="str">
            <v>55</v>
          </cell>
          <cell r="CL198" t="str">
            <v>57</v>
          </cell>
          <cell r="CM198" t="str">
            <v>60</v>
          </cell>
          <cell r="CN198">
            <v>12</v>
          </cell>
          <cell r="CO198">
            <v>42166</v>
          </cell>
          <cell r="CP198">
            <v>42151</v>
          </cell>
          <cell r="CQ198" t="str">
            <v>M4: solar + DG + battery</v>
          </cell>
          <cell r="CR198">
            <v>1</v>
          </cell>
          <cell r="CS198">
            <v>42167</v>
          </cell>
          <cell r="CT198">
            <v>42152</v>
          </cell>
          <cell r="CU198" t="str">
            <v>KA0268</v>
          </cell>
          <cell r="DH198">
            <v>19</v>
          </cell>
          <cell r="DI198">
            <v>42177</v>
          </cell>
          <cell r="DJ198">
            <v>42171</v>
          </cell>
          <cell r="DK198">
            <v>42174</v>
          </cell>
          <cell r="DL198">
            <v>42178</v>
          </cell>
          <cell r="DM198">
            <v>42178</v>
          </cell>
          <cell r="DN198">
            <v>42178</v>
          </cell>
          <cell r="DO198">
            <v>1</v>
          </cell>
          <cell r="DP198">
            <v>42177</v>
          </cell>
          <cell r="DQ198">
            <v>42172</v>
          </cell>
          <cell r="DT198">
            <v>61</v>
          </cell>
          <cell r="DU198">
            <v>42192</v>
          </cell>
          <cell r="DW198">
            <v>0</v>
          </cell>
          <cell r="DY198">
            <v>42178</v>
          </cell>
          <cell r="DZ198">
            <v>42168</v>
          </cell>
          <cell r="EA198" t="str">
            <v>GTL</v>
          </cell>
          <cell r="EB198">
            <v>42214</v>
          </cell>
          <cell r="ED198" t="str">
            <v>10Aug15 :PaingThu.Soe: 7-8-15 Tower erection making in progress.Equipment pad done.
03Aug15 :PaingThu.Soe: 29-7-15 Tower erection making in progress.Equipment pad done.</v>
          </cell>
          <cell r="EE198" t="str">
            <v xml:space="preserve">10 Aug 15:Flood affected_Hold-No access; 29-Jul-15:No acces to site, Road blocked due to acces, water upto 5 feet.								</v>
          </cell>
          <cell r="EJ198">
            <v>25</v>
          </cell>
          <cell r="EK198">
            <v>42195</v>
          </cell>
          <cell r="EL198">
            <v>42193</v>
          </cell>
          <cell r="EM198">
            <v>42196</v>
          </cell>
          <cell r="EN198">
            <v>42201</v>
          </cell>
          <cell r="EQ198">
            <v>42205</v>
          </cell>
          <cell r="ER198">
            <v>42232</v>
          </cell>
          <cell r="ES198">
            <v>42209</v>
          </cell>
          <cell r="ET198">
            <v>42235</v>
          </cell>
          <cell r="EU198">
            <v>42235</v>
          </cell>
          <cell r="EW198">
            <v>65</v>
          </cell>
          <cell r="EX198">
            <v>42219</v>
          </cell>
          <cell r="EZ198">
            <v>42215</v>
          </cell>
          <cell r="FA198">
            <v>42225</v>
          </cell>
          <cell r="FB198">
            <v>42217</v>
          </cell>
          <cell r="FC198">
            <v>42235</v>
          </cell>
          <cell r="FE198">
            <v>42193</v>
          </cell>
          <cell r="FU198">
            <v>42219</v>
          </cell>
          <cell r="FW198">
            <v>42219</v>
          </cell>
          <cell r="FX198">
            <v>42235</v>
          </cell>
          <cell r="GI198">
            <v>42246</v>
          </cell>
          <cell r="GJ198" t="str">
            <v>44-2015</v>
          </cell>
          <cell r="GL198" t="str">
            <v>Upstream Dependency :: LoS not OK, Isolated site</v>
          </cell>
          <cell r="GN198" t="str">
            <v xml:space="preserve">ERICSSON </v>
          </cell>
          <cell r="GO198">
            <v>42151</v>
          </cell>
          <cell r="GP198">
            <v>42207</v>
          </cell>
          <cell r="GQ198" t="str">
            <v xml:space="preserve">Upstream Dependency; </v>
          </cell>
          <cell r="GS198" t="str">
            <v>4/4/4</v>
          </cell>
          <cell r="GU198" t="str">
            <v xml:space="preserve">		</v>
          </cell>
          <cell r="HD198">
            <v>1</v>
          </cell>
        </row>
        <row r="199">
          <cell r="A199" t="str">
            <v>KA0270</v>
          </cell>
          <cell r="B199" t="str">
            <v>ASKA_0155</v>
          </cell>
          <cell r="C199" t="str">
            <v>Apollo</v>
          </cell>
          <cell r="D199" t="str">
            <v>Robert</v>
          </cell>
          <cell r="F199" t="str">
            <v>Phyo Wai Maung</v>
          </cell>
          <cell r="G199" t="str">
            <v>Thant Zin Oo</v>
          </cell>
          <cell r="H199" t="str">
            <v>RED</v>
          </cell>
          <cell r="I199" t="str">
            <v>South</v>
          </cell>
          <cell r="J199" t="str">
            <v>97.5845</v>
          </cell>
          <cell r="K199" t="str">
            <v>16.8897</v>
          </cell>
          <cell r="L199" t="str">
            <v>Rural</v>
          </cell>
          <cell r="M199" t="str">
            <v>Kayin</v>
          </cell>
          <cell r="N199" t="str">
            <v>Hpa-An</v>
          </cell>
          <cell r="O199" t="str">
            <v>Hpa-An</v>
          </cell>
          <cell r="P199" t="str">
            <v>Kayin</v>
          </cell>
          <cell r="Q199" t="str">
            <v>21</v>
          </cell>
          <cell r="R199" t="str">
            <v>Hpa-An</v>
          </cell>
          <cell r="S199" t="str">
            <v>26</v>
          </cell>
          <cell r="T199" t="str">
            <v>GSM+UMTS</v>
          </cell>
          <cell r="W199" t="str">
            <v>Ph2-Priority</v>
          </cell>
          <cell r="X199" t="str">
            <v>45</v>
          </cell>
          <cell r="Y199" t="str">
            <v>47</v>
          </cell>
          <cell r="Z199" t="str">
            <v>GBT</v>
          </cell>
          <cell r="AA199" t="str">
            <v>250</v>
          </cell>
          <cell r="AB199" t="str">
            <v>Access</v>
          </cell>
          <cell r="AC199" t="str">
            <v>Class C</v>
          </cell>
          <cell r="BE199" t="str">
            <v>Route 3 Thaton-Myawaddy</v>
          </cell>
          <cell r="BH199" t="str">
            <v>GTL</v>
          </cell>
          <cell r="BJ199">
            <v>42165</v>
          </cell>
          <cell r="BK199">
            <v>42168</v>
          </cell>
          <cell r="BL199">
            <v>42170</v>
          </cell>
          <cell r="BM199">
            <v>42175</v>
          </cell>
          <cell r="BT199">
            <v>13</v>
          </cell>
          <cell r="BU199">
            <v>42264</v>
          </cell>
          <cell r="BV199">
            <v>42181</v>
          </cell>
          <cell r="BW199" t="str">
            <v>97.58424</v>
          </cell>
          <cell r="BX199" t="str">
            <v>16.89103</v>
          </cell>
          <cell r="BY199" t="str">
            <v>C1</v>
          </cell>
          <cell r="BZ199" t="str">
            <v>No.(3/59),Hlar Kar Village,Myaing Kalay,Hpa An Township</v>
          </cell>
          <cell r="CA199" t="str">
            <v>U Chit Sein,09 255926269 , 09 253581639</v>
          </cell>
          <cell r="CB199" t="str">
            <v>29May15: C1 SAR Sub</v>
          </cell>
          <cell r="CC199" t="str">
            <v>GARDEN LAND</v>
          </cell>
          <cell r="CE199">
            <v>3</v>
          </cell>
          <cell r="CF199">
            <v>42265</v>
          </cell>
          <cell r="CG199">
            <v>42184</v>
          </cell>
          <cell r="CH199">
            <v>42267</v>
          </cell>
          <cell r="CJ199">
            <v>42218</v>
          </cell>
          <cell r="CK199" t="str">
            <v>45</v>
          </cell>
          <cell r="CL199" t="str">
            <v>47</v>
          </cell>
          <cell r="CM199" t="str">
            <v>50</v>
          </cell>
          <cell r="CN199">
            <v>36</v>
          </cell>
          <cell r="CO199">
            <v>42270</v>
          </cell>
          <cell r="CP199">
            <v>42220</v>
          </cell>
          <cell r="CQ199" t="str">
            <v>M4: solar + DG + battery</v>
          </cell>
          <cell r="CR199">
            <v>1</v>
          </cell>
          <cell r="CS199">
            <v>42271</v>
          </cell>
          <cell r="CT199">
            <v>42221</v>
          </cell>
          <cell r="CU199" t="str">
            <v>KA0270</v>
          </cell>
          <cell r="DH199">
            <v>12</v>
          </cell>
          <cell r="DI199">
            <v>42281</v>
          </cell>
          <cell r="DJ199">
            <v>42191</v>
          </cell>
          <cell r="DK199">
            <v>42278</v>
          </cell>
          <cell r="DL199">
            <v>42173</v>
          </cell>
          <cell r="DM199">
            <v>42282</v>
          </cell>
          <cell r="DN199">
            <v>42188</v>
          </cell>
          <cell r="DO199">
            <v>0</v>
          </cell>
          <cell r="DP199">
            <v>42281</v>
          </cell>
          <cell r="DQ199">
            <v>42191</v>
          </cell>
          <cell r="DT199">
            <v>0</v>
          </cell>
          <cell r="DU199">
            <v>42296</v>
          </cell>
          <cell r="DV199">
            <v>42196</v>
          </cell>
          <cell r="DW199">
            <v>0</v>
          </cell>
          <cell r="DY199">
            <v>42282</v>
          </cell>
          <cell r="DZ199">
            <v>42238</v>
          </cell>
          <cell r="EA199" t="str">
            <v>Leadcom</v>
          </cell>
          <cell r="EI199" t="str">
            <v>M5: grid power + DG + battery      </v>
          </cell>
          <cell r="EJ199">
            <v>0</v>
          </cell>
          <cell r="EK199">
            <v>42299</v>
          </cell>
          <cell r="EL199">
            <v>42201</v>
          </cell>
          <cell r="EM199">
            <v>42300</v>
          </cell>
          <cell r="EN199">
            <v>42205</v>
          </cell>
          <cell r="EQ199">
            <v>42309</v>
          </cell>
          <cell r="ER199">
            <v>42213</v>
          </cell>
          <cell r="ES199">
            <v>42205</v>
          </cell>
          <cell r="ET199">
            <v>42213</v>
          </cell>
          <cell r="EU199">
            <v>42213</v>
          </cell>
          <cell r="EW199">
            <v>0</v>
          </cell>
          <cell r="EX199">
            <v>42323</v>
          </cell>
          <cell r="EZ199">
            <v>42319</v>
          </cell>
          <cell r="FA199">
            <v>42211</v>
          </cell>
          <cell r="FB199">
            <v>42321</v>
          </cell>
          <cell r="FC199">
            <v>42213</v>
          </cell>
          <cell r="FU199">
            <v>42323</v>
          </cell>
          <cell r="FW199">
            <v>42323</v>
          </cell>
          <cell r="FX199">
            <v>42213</v>
          </cell>
          <cell r="FY199" t="str">
            <v>GTL</v>
          </cell>
          <cell r="FZ199">
            <v>42214</v>
          </cell>
          <cell r="GA199">
            <v>42219</v>
          </cell>
          <cell r="GB199">
            <v>42226</v>
          </cell>
          <cell r="GC199">
            <v>42226</v>
          </cell>
          <cell r="GD199">
            <v>42226</v>
          </cell>
          <cell r="GE199">
            <v>42227</v>
          </cell>
          <cell r="GF199">
            <v>42228</v>
          </cell>
          <cell r="GG199">
            <v>42228</v>
          </cell>
          <cell r="GH199">
            <v>42228</v>
          </cell>
          <cell r="GI199">
            <v>42215</v>
          </cell>
          <cell r="GJ199">
            <v>0</v>
          </cell>
          <cell r="GK199">
            <v>42229</v>
          </cell>
          <cell r="GN199" t="str">
            <v>ERICSSON</v>
          </cell>
          <cell r="GS199" t="str">
            <v>4/4/4</v>
          </cell>
          <cell r="GU199" t="str">
            <v xml:space="preserve">		</v>
          </cell>
          <cell r="HD199">
            <v>1</v>
          </cell>
        </row>
        <row r="200">
          <cell r="A200" t="str">
            <v>KA0280</v>
          </cell>
          <cell r="B200" t="str">
            <v>ASKA_0170</v>
          </cell>
          <cell r="C200" t="str">
            <v>Apollo</v>
          </cell>
          <cell r="D200" t="str">
            <v>Robert</v>
          </cell>
          <cell r="F200" t="str">
            <v>Phyo Wai Maung</v>
          </cell>
          <cell r="G200" t="str">
            <v>Thant Zin Oo</v>
          </cell>
          <cell r="H200" t="str">
            <v>RED</v>
          </cell>
          <cell r="I200" t="str">
            <v>South</v>
          </cell>
          <cell r="J200" t="str">
            <v>97.4379</v>
          </cell>
          <cell r="K200" t="str">
            <v>18.0455</v>
          </cell>
          <cell r="L200" t="str">
            <v>Suburban</v>
          </cell>
          <cell r="M200" t="str">
            <v>Kayin</v>
          </cell>
          <cell r="N200" t="str">
            <v>Hpapun</v>
          </cell>
          <cell r="O200" t="str">
            <v>Hpapun</v>
          </cell>
          <cell r="P200" t="str">
            <v>Kayin</v>
          </cell>
          <cell r="Q200" t="str">
            <v>21</v>
          </cell>
          <cell r="R200" t="str">
            <v>Hpapun</v>
          </cell>
          <cell r="S200" t="str">
            <v>28</v>
          </cell>
          <cell r="T200" t="str">
            <v>GSM+UMTS</v>
          </cell>
          <cell r="W200" t="str">
            <v>Ph2-Priority</v>
          </cell>
          <cell r="X200" t="str">
            <v>35</v>
          </cell>
          <cell r="Y200" t="str">
            <v>35</v>
          </cell>
          <cell r="Z200" t="str">
            <v>GBT</v>
          </cell>
          <cell r="AA200" t="str">
            <v>250</v>
          </cell>
          <cell r="AB200" t="str">
            <v>Access</v>
          </cell>
          <cell r="AC200" t="str">
            <v>Class B</v>
          </cell>
          <cell r="BE200" t="str">
            <v>Route 1 Yangon - Mandalay</v>
          </cell>
          <cell r="BH200" t="str">
            <v>KTT</v>
          </cell>
          <cell r="BJ200">
            <v>42152</v>
          </cell>
          <cell r="BK200">
            <v>42130</v>
          </cell>
          <cell r="BL200">
            <v>42157</v>
          </cell>
          <cell r="BM200">
            <v>42138</v>
          </cell>
          <cell r="BT200">
            <v>103</v>
          </cell>
          <cell r="BU200">
            <v>42184</v>
          </cell>
          <cell r="BV200">
            <v>42148</v>
          </cell>
          <cell r="BW200" t="str">
            <v>95.855568</v>
          </cell>
          <cell r="BX200" t="str">
            <v>21.001068</v>
          </cell>
          <cell r="BY200" t="str">
            <v>C1</v>
          </cell>
          <cell r="BZ200" t="str">
            <v>Tha Phan Village, Wan Twin Township, Mandalay Division.</v>
          </cell>
          <cell r="CA200" t="str">
            <v>U Soe Shwe;Thahtaygone Quarter, Tha Phan Village, Wan Twin Township,Meikhtila District, Mandalay Division;09 33418144, 09 798917600</v>
          </cell>
          <cell r="CB200" t="str">
            <v>24May15: C1 SAR Sub.</v>
          </cell>
          <cell r="CE200">
            <v>0</v>
          </cell>
          <cell r="CF200">
            <v>42185</v>
          </cell>
          <cell r="CG200">
            <v>42149</v>
          </cell>
          <cell r="CH200">
            <v>42187</v>
          </cell>
          <cell r="CJ200">
            <v>42168</v>
          </cell>
          <cell r="CK200" t="str">
            <v>45</v>
          </cell>
          <cell r="CL200" t="str">
            <v>47</v>
          </cell>
          <cell r="CM200" t="str">
            <v>60</v>
          </cell>
          <cell r="CN200">
            <v>0</v>
          </cell>
          <cell r="CO200">
            <v>42190</v>
          </cell>
          <cell r="CP200">
            <v>42170</v>
          </cell>
          <cell r="CQ200" t="str">
            <v>M1: grid power + battery</v>
          </cell>
          <cell r="CR200">
            <v>0</v>
          </cell>
          <cell r="CS200">
            <v>42191</v>
          </cell>
          <cell r="CT200">
            <v>42170</v>
          </cell>
          <cell r="CU200" t="str">
            <v>KA0280</v>
          </cell>
          <cell r="DH200">
            <v>0</v>
          </cell>
          <cell r="DI200">
            <v>42201</v>
          </cell>
          <cell r="DJ200">
            <v>42186</v>
          </cell>
          <cell r="DK200">
            <v>42198</v>
          </cell>
          <cell r="DL200">
            <v>42173</v>
          </cell>
          <cell r="DM200">
            <v>42202</v>
          </cell>
          <cell r="DN200">
            <v>42189</v>
          </cell>
          <cell r="DO200">
            <v>0</v>
          </cell>
          <cell r="DP200">
            <v>42201</v>
          </cell>
          <cell r="DQ200">
            <v>42186</v>
          </cell>
          <cell r="DT200">
            <v>0</v>
          </cell>
          <cell r="DU200">
            <v>42216</v>
          </cell>
          <cell r="DV200">
            <v>42191</v>
          </cell>
          <cell r="DW200">
            <v>0</v>
          </cell>
          <cell r="DY200">
            <v>42202</v>
          </cell>
          <cell r="DZ200">
            <v>42189</v>
          </cell>
          <cell r="EA200" t="str">
            <v>GTL</v>
          </cell>
          <cell r="EE200" t="str">
            <v xml:space="preserve">10 Aug 15:Rain affected_Progress affected; 4-Aug-15: Awaiting tower EDA 8/15. Tower foundation and equipment slab casted								</v>
          </cell>
          <cell r="EJ200">
            <v>0</v>
          </cell>
          <cell r="EK200">
            <v>42217</v>
          </cell>
          <cell r="EL200">
            <v>42215</v>
          </cell>
          <cell r="EM200">
            <v>42218</v>
          </cell>
          <cell r="EN200">
            <v>42226</v>
          </cell>
          <cell r="EQ200">
            <v>42225</v>
          </cell>
          <cell r="ER200">
            <v>42234</v>
          </cell>
          <cell r="ES200">
            <v>42222</v>
          </cell>
          <cell r="EW200">
            <v>0</v>
          </cell>
          <cell r="EX200">
            <v>42212</v>
          </cell>
          <cell r="EZ200">
            <v>42235</v>
          </cell>
          <cell r="FA200">
            <v>42231</v>
          </cell>
          <cell r="FB200">
            <v>42237</v>
          </cell>
          <cell r="FC200">
            <v>42234</v>
          </cell>
          <cell r="FU200">
            <v>42239</v>
          </cell>
          <cell r="FW200">
            <v>42239</v>
          </cell>
          <cell r="FY200" t="str">
            <v>KT</v>
          </cell>
          <cell r="FZ200">
            <v>42229</v>
          </cell>
          <cell r="GA200">
            <v>42233</v>
          </cell>
          <cell r="GJ200">
            <v>0</v>
          </cell>
          <cell r="GN200" t="str">
            <v>ERICSSON</v>
          </cell>
          <cell r="GS200" t="str">
            <v>4/4/4</v>
          </cell>
          <cell r="GU200" t="str">
            <v xml:space="preserve">		</v>
          </cell>
          <cell r="HD200">
            <v>1</v>
          </cell>
        </row>
        <row r="201">
          <cell r="A201" t="str">
            <v>KA0286</v>
          </cell>
          <cell r="B201" t="str">
            <v>ASKA_0165</v>
          </cell>
          <cell r="C201" t="str">
            <v>Apollo</v>
          </cell>
          <cell r="D201" t="str">
            <v>Robert</v>
          </cell>
          <cell r="F201" t="str">
            <v>Phyo Wai Maung</v>
          </cell>
          <cell r="G201" t="str">
            <v>Thant Zin Oo</v>
          </cell>
          <cell r="H201" t="str">
            <v>RED</v>
          </cell>
          <cell r="I201" t="str">
            <v>South</v>
          </cell>
          <cell r="J201" t="str">
            <v>97.5959</v>
          </cell>
          <cell r="K201" t="str">
            <v>16.8756</v>
          </cell>
          <cell r="L201" t="str">
            <v>Rural</v>
          </cell>
          <cell r="M201" t="str">
            <v>Kayin</v>
          </cell>
          <cell r="N201" t="str">
            <v>Hpa-An</v>
          </cell>
          <cell r="O201" t="str">
            <v>Hpa-An</v>
          </cell>
          <cell r="P201" t="str">
            <v>Kayin</v>
          </cell>
          <cell r="Q201" t="str">
            <v>21</v>
          </cell>
          <cell r="R201" t="str">
            <v>Hpa-An</v>
          </cell>
          <cell r="S201" t="str">
            <v>26</v>
          </cell>
          <cell r="T201" t="str">
            <v>GSM+UMTS</v>
          </cell>
          <cell r="W201" t="str">
            <v>Ph2-Priority</v>
          </cell>
          <cell r="X201" t="str">
            <v>45</v>
          </cell>
          <cell r="Y201" t="str">
            <v>47</v>
          </cell>
          <cell r="Z201" t="str">
            <v>GBT</v>
          </cell>
          <cell r="AA201" t="str">
            <v>250</v>
          </cell>
          <cell r="AB201" t="str">
            <v>Access</v>
          </cell>
          <cell r="AC201" t="str">
            <v>Class C</v>
          </cell>
          <cell r="BE201" t="str">
            <v>Route 3 Thaton-Myawaddy</v>
          </cell>
          <cell r="BH201" t="str">
            <v>GTL</v>
          </cell>
          <cell r="BJ201">
            <v>42165</v>
          </cell>
          <cell r="BK201">
            <v>42168</v>
          </cell>
          <cell r="BL201">
            <v>42170</v>
          </cell>
          <cell r="BM201">
            <v>42175</v>
          </cell>
          <cell r="BT201">
            <v>13</v>
          </cell>
          <cell r="BU201">
            <v>42264</v>
          </cell>
          <cell r="BV201">
            <v>42181</v>
          </cell>
          <cell r="BW201" t="str">
            <v>97.59473</v>
          </cell>
          <cell r="BX201" t="str">
            <v>16.87499</v>
          </cell>
          <cell r="BY201" t="str">
            <v>C1</v>
          </cell>
          <cell r="BZ201" t="str">
            <v>Kyun Taw Kone Village,Myaing Kalay,Hpa An Township</v>
          </cell>
          <cell r="CA201" t="str">
            <v>U Saw Ngwe Kyi,09 425036361,09 255743268</v>
          </cell>
          <cell r="CB201" t="str">
            <v>16 Aug 15 : C3 TSSR sub(Road leading to the Site is unpassable during rainy season, construction can start on sunny days)</v>
          </cell>
          <cell r="CC201" t="str">
            <v>GARDEN LAND</v>
          </cell>
          <cell r="CE201">
            <v>3</v>
          </cell>
          <cell r="CF201">
            <v>42265</v>
          </cell>
          <cell r="CG201">
            <v>42184</v>
          </cell>
          <cell r="CH201">
            <v>42267</v>
          </cell>
          <cell r="CJ201">
            <v>42218</v>
          </cell>
          <cell r="CK201" t="str">
            <v>45</v>
          </cell>
          <cell r="CL201" t="str">
            <v>47</v>
          </cell>
          <cell r="CM201" t="str">
            <v>50</v>
          </cell>
          <cell r="CN201">
            <v>36</v>
          </cell>
          <cell r="CO201">
            <v>42270</v>
          </cell>
          <cell r="CP201">
            <v>42220</v>
          </cell>
          <cell r="CQ201" t="str">
            <v>M4: solar + DG + battery</v>
          </cell>
          <cell r="CR201">
            <v>1</v>
          </cell>
          <cell r="CS201">
            <v>42271</v>
          </cell>
          <cell r="CT201">
            <v>42221</v>
          </cell>
          <cell r="CU201" t="str">
            <v>KA0286</v>
          </cell>
          <cell r="DH201">
            <v>12</v>
          </cell>
          <cell r="DI201">
            <v>42281</v>
          </cell>
          <cell r="DK201">
            <v>42278</v>
          </cell>
          <cell r="DM201">
            <v>42282</v>
          </cell>
          <cell r="DO201">
            <v>0</v>
          </cell>
          <cell r="DP201">
            <v>42281</v>
          </cell>
          <cell r="DT201">
            <v>0</v>
          </cell>
          <cell r="DU201">
            <v>42296</v>
          </cell>
          <cell r="DW201">
            <v>0</v>
          </cell>
          <cell r="DY201">
            <v>42282</v>
          </cell>
          <cell r="EA201" t="str">
            <v>Leadcom</v>
          </cell>
          <cell r="EJ201">
            <v>0</v>
          </cell>
          <cell r="EK201">
            <v>42299</v>
          </cell>
          <cell r="EM201">
            <v>42300</v>
          </cell>
          <cell r="EQ201">
            <v>42309</v>
          </cell>
          <cell r="EW201">
            <v>0</v>
          </cell>
          <cell r="EX201">
            <v>42323</v>
          </cell>
          <cell r="EZ201">
            <v>42319</v>
          </cell>
          <cell r="FB201">
            <v>42321</v>
          </cell>
          <cell r="FU201">
            <v>42323</v>
          </cell>
          <cell r="FW201">
            <v>42323</v>
          </cell>
          <cell r="GJ201">
            <v>0</v>
          </cell>
          <cell r="GN201" t="str">
            <v>ERICSSON</v>
          </cell>
          <cell r="GS201" t="str">
            <v>4/4/4</v>
          </cell>
          <cell r="GU201" t="str">
            <v xml:space="preserve">		</v>
          </cell>
          <cell r="HD201">
            <v>1</v>
          </cell>
        </row>
        <row r="202">
          <cell r="A202" t="str">
            <v>KA0293</v>
          </cell>
          <cell r="B202" t="str">
            <v>ASKA_0167</v>
          </cell>
          <cell r="C202" t="str">
            <v>Apollo</v>
          </cell>
          <cell r="D202" t="str">
            <v>Robert</v>
          </cell>
          <cell r="F202" t="str">
            <v>Phyo Wai Maung</v>
          </cell>
          <cell r="G202" t="str">
            <v>Thant Zin Oo</v>
          </cell>
          <cell r="H202" t="str">
            <v>RED</v>
          </cell>
          <cell r="I202" t="str">
            <v>South</v>
          </cell>
          <cell r="J202" t="str">
            <v>97.6834</v>
          </cell>
          <cell r="K202" t="str">
            <v>16.911</v>
          </cell>
          <cell r="L202" t="str">
            <v>Rural</v>
          </cell>
          <cell r="M202" t="str">
            <v>Kayin</v>
          </cell>
          <cell r="N202" t="str">
            <v>Hpa-An</v>
          </cell>
          <cell r="O202" t="str">
            <v>Hpa-An</v>
          </cell>
          <cell r="P202" t="str">
            <v>Kayin</v>
          </cell>
          <cell r="Q202" t="str">
            <v>21</v>
          </cell>
          <cell r="R202" t="str">
            <v>Hpa-An</v>
          </cell>
          <cell r="S202" t="str">
            <v>26</v>
          </cell>
          <cell r="T202" t="str">
            <v>GSM+UMTS</v>
          </cell>
          <cell r="W202" t="str">
            <v>Ph2-Priority</v>
          </cell>
          <cell r="X202" t="str">
            <v>45</v>
          </cell>
          <cell r="Y202" t="str">
            <v>47</v>
          </cell>
          <cell r="Z202" t="str">
            <v>GBT</v>
          </cell>
          <cell r="AA202" t="str">
            <v>500</v>
          </cell>
          <cell r="AB202" t="str">
            <v>Access</v>
          </cell>
          <cell r="AC202" t="str">
            <v>Class C</v>
          </cell>
          <cell r="BE202" t="str">
            <v>Route 3 Thaton-Myawaddy</v>
          </cell>
          <cell r="BH202" t="str">
            <v>KTT</v>
          </cell>
          <cell r="BJ202">
            <v>42165</v>
          </cell>
          <cell r="BK202">
            <v>42167</v>
          </cell>
          <cell r="BL202">
            <v>42170</v>
          </cell>
          <cell r="BM202">
            <v>42174</v>
          </cell>
          <cell r="BT202">
            <v>65</v>
          </cell>
          <cell r="BU202">
            <v>42264</v>
          </cell>
          <cell r="BV202">
            <v>42232</v>
          </cell>
          <cell r="BW202" t="str">
            <v>96.36569</v>
          </cell>
          <cell r="BX202" t="str">
            <v>24.77686</v>
          </cell>
          <cell r="BY202" t="str">
            <v>C1</v>
          </cell>
          <cell r="CB202" t="str">
            <v>16 Aug 15 :C1-SAR Submission</v>
          </cell>
          <cell r="CC202" t="str">
            <v>Town</v>
          </cell>
          <cell r="CE202">
            <v>0</v>
          </cell>
          <cell r="CF202">
            <v>42265</v>
          </cell>
          <cell r="CG202">
            <v>42234</v>
          </cell>
          <cell r="CH202">
            <v>42267</v>
          </cell>
          <cell r="CN202">
            <v>0</v>
          </cell>
          <cell r="CO202">
            <v>42270</v>
          </cell>
          <cell r="CQ202" t="str">
            <v>M1: grid power + battery</v>
          </cell>
          <cell r="CR202">
            <v>0</v>
          </cell>
          <cell r="CS202">
            <v>42271</v>
          </cell>
          <cell r="CU202" t="str">
            <v>KA0293</v>
          </cell>
          <cell r="DH202">
            <v>0</v>
          </cell>
          <cell r="DI202">
            <v>42281</v>
          </cell>
          <cell r="DK202">
            <v>42278</v>
          </cell>
          <cell r="DM202">
            <v>42282</v>
          </cell>
          <cell r="DO202">
            <v>0</v>
          </cell>
          <cell r="DP202">
            <v>42281</v>
          </cell>
          <cell r="DT202">
            <v>0</v>
          </cell>
          <cell r="DU202">
            <v>42296</v>
          </cell>
          <cell r="DW202">
            <v>0</v>
          </cell>
          <cell r="DY202">
            <v>42282</v>
          </cell>
          <cell r="EA202" t="str">
            <v>Leadcom</v>
          </cell>
          <cell r="EJ202">
            <v>0</v>
          </cell>
          <cell r="EK202">
            <v>42299</v>
          </cell>
          <cell r="EM202">
            <v>42300</v>
          </cell>
          <cell r="EQ202">
            <v>42309</v>
          </cell>
          <cell r="EW202">
            <v>0</v>
          </cell>
          <cell r="EX202">
            <v>42323</v>
          </cell>
          <cell r="EZ202">
            <v>42319</v>
          </cell>
          <cell r="FB202">
            <v>42321</v>
          </cell>
          <cell r="FU202">
            <v>42323</v>
          </cell>
          <cell r="FW202">
            <v>42323</v>
          </cell>
          <cell r="GJ202">
            <v>0</v>
          </cell>
          <cell r="GN202" t="str">
            <v>ERICSSON</v>
          </cell>
          <cell r="GS202" t="str">
            <v>4/4/4</v>
          </cell>
          <cell r="GU202" t="str">
            <v xml:space="preserve">		</v>
          </cell>
          <cell r="HD202">
            <v>1</v>
          </cell>
        </row>
        <row r="203">
          <cell r="A203" t="str">
            <v>KA0322</v>
          </cell>
          <cell r="B203" t="str">
            <v>ASKA_0171</v>
          </cell>
          <cell r="C203" t="str">
            <v>Apollo</v>
          </cell>
          <cell r="D203" t="str">
            <v>Robert</v>
          </cell>
          <cell r="F203" t="str">
            <v>Phyo Wai Maung</v>
          </cell>
          <cell r="G203" t="str">
            <v>Thant Zin Oo</v>
          </cell>
          <cell r="H203" t="str">
            <v>RED</v>
          </cell>
          <cell r="I203" t="str">
            <v>South</v>
          </cell>
          <cell r="J203" t="str">
            <v>97.535977</v>
          </cell>
          <cell r="K203" t="str">
            <v>17.617899</v>
          </cell>
          <cell r="L203" t="str">
            <v>Rural</v>
          </cell>
          <cell r="M203" t="str">
            <v>Kayin</v>
          </cell>
          <cell r="N203" t="str">
            <v>Hpapun</v>
          </cell>
          <cell r="O203" t="str">
            <v>Hpapun</v>
          </cell>
          <cell r="P203" t="str">
            <v>Kayin</v>
          </cell>
          <cell r="Q203" t="str">
            <v>21</v>
          </cell>
          <cell r="R203" t="str">
            <v>Hpapun</v>
          </cell>
          <cell r="S203" t="str">
            <v>28</v>
          </cell>
          <cell r="T203" t="str">
            <v>GSM+UMTS</v>
          </cell>
          <cell r="W203" t="str">
            <v>Ph2-Priority</v>
          </cell>
          <cell r="X203" t="str">
            <v>55</v>
          </cell>
          <cell r="Y203" t="str">
            <v>57</v>
          </cell>
          <cell r="Z203" t="str">
            <v>GBT</v>
          </cell>
          <cell r="AA203" t="str">
            <v>500</v>
          </cell>
          <cell r="AB203" t="str">
            <v>Access</v>
          </cell>
          <cell r="AC203" t="str">
            <v>Class C</v>
          </cell>
          <cell r="BE203" t="str">
            <v>Route 10 Mandalay - Myitkyina</v>
          </cell>
          <cell r="BH203" t="str">
            <v>GTL</v>
          </cell>
          <cell r="BJ203">
            <v>42165</v>
          </cell>
          <cell r="BK203">
            <v>42168</v>
          </cell>
          <cell r="BL203">
            <v>42170</v>
          </cell>
          <cell r="BM203">
            <v>42175</v>
          </cell>
          <cell r="BT203">
            <v>13</v>
          </cell>
          <cell r="BU203">
            <v>42235</v>
          </cell>
          <cell r="BV203">
            <v>42181</v>
          </cell>
          <cell r="BW203" t="str">
            <v>97.53551</v>
          </cell>
          <cell r="BX203" t="str">
            <v>17.61803</v>
          </cell>
          <cell r="BY203" t="str">
            <v>C1</v>
          </cell>
          <cell r="BZ203" t="str">
            <v>U Paing N0-20,Tadar Oo Kyee Taing Pyin Kwin,War Kaw Village Group, Tadar Oo Village, Kamar Maung Township.</v>
          </cell>
          <cell r="CA203" t="str">
            <v>U Nyan Htun;War Kaw Village Group, Tadar Oo Village, Kamar Maung Township;09 255949181</v>
          </cell>
          <cell r="CB203" t="str">
            <v>3 Sept 15 : C3 SAR app as an option 1(MW2: Site dependence on Repeater  KA0347_R1. (35m) ( 17.701389, 97.399328 ).);2 Sept 15 : C3 SAR sub( C1 OWNERSHIP DOCUMENTS ISSUE);30 Jun 15: C1 SAR app;26 Jun 15:C1 SAR sub</v>
          </cell>
          <cell r="CC203" t="str">
            <v>RESIDENTIAL</v>
          </cell>
          <cell r="CE203">
            <v>4</v>
          </cell>
          <cell r="CF203">
            <v>42236</v>
          </cell>
          <cell r="CG203">
            <v>42185</v>
          </cell>
          <cell r="CH203">
            <v>42238</v>
          </cell>
          <cell r="CJ203">
            <v>42153</v>
          </cell>
          <cell r="CK203">
            <v>45</v>
          </cell>
          <cell r="CL203">
            <v>47</v>
          </cell>
          <cell r="CM203">
            <v>45</v>
          </cell>
          <cell r="CN203">
            <v>48</v>
          </cell>
          <cell r="CO203">
            <v>42241</v>
          </cell>
          <cell r="CP203">
            <v>42156</v>
          </cell>
          <cell r="CQ203" t="str">
            <v>M4: solar + DG + battery</v>
          </cell>
          <cell r="CR203">
            <v>0</v>
          </cell>
          <cell r="CS203">
            <v>42242</v>
          </cell>
          <cell r="CT203">
            <v>42157</v>
          </cell>
          <cell r="CU203" t="str">
            <v>KA0322</v>
          </cell>
          <cell r="DH203">
            <v>0</v>
          </cell>
          <cell r="DI203">
            <v>42252</v>
          </cell>
          <cell r="DK203">
            <v>42249</v>
          </cell>
          <cell r="DM203">
            <v>42253</v>
          </cell>
          <cell r="DO203">
            <v>0</v>
          </cell>
          <cell r="DP203">
            <v>42252</v>
          </cell>
          <cell r="DT203">
            <v>0</v>
          </cell>
          <cell r="DU203">
            <v>42267</v>
          </cell>
          <cell r="DW203">
            <v>0</v>
          </cell>
          <cell r="DY203">
            <v>42253</v>
          </cell>
          <cell r="EA203" t="str">
            <v>Leadcom</v>
          </cell>
          <cell r="EJ203">
            <v>0</v>
          </cell>
          <cell r="EK203">
            <v>42275</v>
          </cell>
          <cell r="EM203">
            <v>42276</v>
          </cell>
          <cell r="EQ203">
            <v>42288</v>
          </cell>
          <cell r="EW203">
            <v>0</v>
          </cell>
          <cell r="EX203">
            <v>42302</v>
          </cell>
          <cell r="EZ203">
            <v>42298</v>
          </cell>
          <cell r="FB203">
            <v>42300</v>
          </cell>
          <cell r="FU203">
            <v>42302</v>
          </cell>
          <cell r="FW203">
            <v>42302</v>
          </cell>
          <cell r="GJ203">
            <v>0</v>
          </cell>
          <cell r="GN203" t="str">
            <v>ERICSSON</v>
          </cell>
          <cell r="GS203" t="str">
            <v>4/4/4</v>
          </cell>
          <cell r="GU203" t="str">
            <v xml:space="preserve">		</v>
          </cell>
          <cell r="HD203">
            <v>1</v>
          </cell>
        </row>
        <row r="204">
          <cell r="A204" t="str">
            <v>KA0332</v>
          </cell>
          <cell r="B204" t="str">
            <v>ASKA_0172</v>
          </cell>
          <cell r="C204" t="str">
            <v>Apollo</v>
          </cell>
          <cell r="D204" t="str">
            <v>Robert</v>
          </cell>
          <cell r="F204" t="str">
            <v>Phyo Wai Maung</v>
          </cell>
          <cell r="G204" t="str">
            <v>Thant Zin Oo</v>
          </cell>
          <cell r="H204" t="str">
            <v>GREEN</v>
          </cell>
          <cell r="I204" t="str">
            <v>South</v>
          </cell>
          <cell r="J204" t="str">
            <v>97.617504</v>
          </cell>
          <cell r="K204" t="str">
            <v>17.403022</v>
          </cell>
          <cell r="L204" t="str">
            <v>Rural</v>
          </cell>
          <cell r="M204" t="str">
            <v>Kayin</v>
          </cell>
          <cell r="N204" t="str">
            <v>Hpapun</v>
          </cell>
          <cell r="O204" t="str">
            <v>Hpapun</v>
          </cell>
          <cell r="P204" t="str">
            <v>Kayin</v>
          </cell>
          <cell r="Q204" t="str">
            <v>21</v>
          </cell>
          <cell r="R204" t="str">
            <v>Hpapun</v>
          </cell>
          <cell r="S204" t="str">
            <v>28</v>
          </cell>
          <cell r="T204" t="str">
            <v>GSM+UMTS</v>
          </cell>
          <cell r="W204" t="str">
            <v>Ph2-Priority</v>
          </cell>
          <cell r="X204" t="str">
            <v>45</v>
          </cell>
          <cell r="Y204" t="str">
            <v>45</v>
          </cell>
          <cell r="Z204" t="str">
            <v>GBT</v>
          </cell>
          <cell r="AA204" t="str">
            <v>500</v>
          </cell>
          <cell r="AB204" t="str">
            <v>Access</v>
          </cell>
          <cell r="AC204" t="str">
            <v>Class C</v>
          </cell>
          <cell r="BE204" t="str">
            <v>Route 12 Taunggyi-Taungoo</v>
          </cell>
          <cell r="BH204" t="str">
            <v>GTL</v>
          </cell>
          <cell r="BJ204">
            <v>42131</v>
          </cell>
          <cell r="BK204">
            <v>42121</v>
          </cell>
          <cell r="BL204">
            <v>42136</v>
          </cell>
          <cell r="BM204">
            <v>42126</v>
          </cell>
          <cell r="BT204">
            <v>15</v>
          </cell>
          <cell r="BU204">
            <v>42136</v>
          </cell>
          <cell r="BV204">
            <v>42136</v>
          </cell>
          <cell r="BW204" t="str">
            <v>97.61742</v>
          </cell>
          <cell r="BX204" t="str">
            <v>17.40342</v>
          </cell>
          <cell r="BY204" t="str">
            <v>C1</v>
          </cell>
          <cell r="BZ204" t="str">
            <v>U Paing N0-20,Tadar Oo Kyee Taing Pyin Kwin,War Kaw Village Group, Tadar Oo Village, Kamar Maung Township.</v>
          </cell>
          <cell r="CA204" t="str">
            <v>U Nyan Htun;War Kaw Village Group, Tadar Oo Village, Kamar Maung Township;09 255949181</v>
          </cell>
          <cell r="CB204" t="str">
            <v>12May15: C1 SAR Sub</v>
          </cell>
          <cell r="CC204" t="str">
            <v>Garden Land</v>
          </cell>
          <cell r="CE204">
            <v>2</v>
          </cell>
          <cell r="CF204">
            <v>42137</v>
          </cell>
          <cell r="CG204">
            <v>42138</v>
          </cell>
          <cell r="CH204">
            <v>42158</v>
          </cell>
          <cell r="CJ204">
            <v>42153</v>
          </cell>
          <cell r="CK204" t="str">
            <v>45</v>
          </cell>
          <cell r="CL204" t="str">
            <v>47</v>
          </cell>
          <cell r="CM204" t="str">
            <v>45</v>
          </cell>
          <cell r="CN204">
            <v>18</v>
          </cell>
          <cell r="CO204">
            <v>42161</v>
          </cell>
          <cell r="CP204">
            <v>42156</v>
          </cell>
          <cell r="CQ204" t="str">
            <v>M4: solar + DG + battery</v>
          </cell>
          <cell r="CR204">
            <v>1</v>
          </cell>
          <cell r="CS204">
            <v>42162</v>
          </cell>
          <cell r="CT204">
            <v>42157</v>
          </cell>
          <cell r="CU204" t="str">
            <v>KA0332</v>
          </cell>
          <cell r="DH204">
            <v>14</v>
          </cell>
          <cell r="DI204">
            <v>42172</v>
          </cell>
          <cell r="DJ204">
            <v>42171</v>
          </cell>
          <cell r="DK204">
            <v>42169</v>
          </cell>
          <cell r="DL204">
            <v>42173</v>
          </cell>
          <cell r="DM204">
            <v>42173</v>
          </cell>
          <cell r="DN204">
            <v>42173</v>
          </cell>
          <cell r="DO204">
            <v>1</v>
          </cell>
          <cell r="DP204">
            <v>42172</v>
          </cell>
          <cell r="DQ204">
            <v>42172</v>
          </cell>
          <cell r="DT204">
            <v>61</v>
          </cell>
          <cell r="DU204">
            <v>42187</v>
          </cell>
          <cell r="DW204">
            <v>0</v>
          </cell>
          <cell r="DY204">
            <v>42173</v>
          </cell>
          <cell r="DZ204">
            <v>42173</v>
          </cell>
          <cell r="EA204" t="str">
            <v>GTL</v>
          </cell>
          <cell r="ED204" t="str">
            <v>10Aug15 :PaingThu.Soe: 7-8-15 Tower erection done.Power installation making.
03Aug15 :PaingThu.Soe: 29-7-15 Tower erection ongoing.Equipment slab done.Power on site.
13Jul15 :PaingThu.Soe: 13-7-15 Excavation done.
06Jul15 :PaingThu.Soe: Excavation ongoing.
29Jun15 :PaingThu.Soe: Excavation ongoing.</v>
          </cell>
          <cell r="EI204" t="str">
            <v>M5: grid power + DG + battery      </v>
          </cell>
          <cell r="EJ204">
            <v>25</v>
          </cell>
          <cell r="EK204">
            <v>42190</v>
          </cell>
          <cell r="EL204">
            <v>42198</v>
          </cell>
          <cell r="EM204">
            <v>42191</v>
          </cell>
          <cell r="EN204">
            <v>42201</v>
          </cell>
          <cell r="EQ204">
            <v>42200</v>
          </cell>
          <cell r="ER204">
            <v>42219</v>
          </cell>
          <cell r="ES204">
            <v>42202</v>
          </cell>
          <cell r="ET204">
            <v>42219</v>
          </cell>
          <cell r="EU204">
            <v>42219</v>
          </cell>
          <cell r="EW204">
            <v>60</v>
          </cell>
          <cell r="EX204">
            <v>42214</v>
          </cell>
          <cell r="EZ204">
            <v>42210</v>
          </cell>
          <cell r="FA204">
            <v>42208</v>
          </cell>
          <cell r="FB204">
            <v>42212</v>
          </cell>
          <cell r="FC204">
            <v>42222</v>
          </cell>
          <cell r="FE204">
            <v>42193</v>
          </cell>
          <cell r="FU204">
            <v>42214</v>
          </cell>
          <cell r="FW204">
            <v>42214</v>
          </cell>
          <cell r="FX204">
            <v>42222</v>
          </cell>
          <cell r="FY204" t="str">
            <v>UT</v>
          </cell>
          <cell r="FZ204">
            <v>42191</v>
          </cell>
          <cell r="GA204">
            <v>42196</v>
          </cell>
          <cell r="GB204">
            <v>42197</v>
          </cell>
          <cell r="GC204">
            <v>42220</v>
          </cell>
          <cell r="GD204">
            <v>42224</v>
          </cell>
          <cell r="GE204">
            <v>42197</v>
          </cell>
          <cell r="GF204">
            <v>42224</v>
          </cell>
          <cell r="GG204">
            <v>42224</v>
          </cell>
          <cell r="GH204">
            <v>42224</v>
          </cell>
          <cell r="GI204">
            <v>42246</v>
          </cell>
          <cell r="GJ204" t="str">
            <v>44-2015</v>
          </cell>
          <cell r="GK204">
            <v>42224</v>
          </cell>
          <cell r="GL204" t="str">
            <v>Upstream Dependency :: LoS not OK, Isolated site</v>
          </cell>
          <cell r="GN204" t="str">
            <v xml:space="preserve">ERICSSON </v>
          </cell>
          <cell r="GP204">
            <v>42186</v>
          </cell>
          <cell r="GQ204" t="str">
            <v xml:space="preserve">Upstream Dependency; </v>
          </cell>
          <cell r="GS204" t="str">
            <v>4/4/4</v>
          </cell>
          <cell r="GU204" t="str">
            <v xml:space="preserve">		</v>
          </cell>
          <cell r="HD204">
            <v>1</v>
          </cell>
        </row>
        <row r="205">
          <cell r="A205" t="str">
            <v>KA0341</v>
          </cell>
          <cell r="B205" t="str">
            <v>ASKA_0173</v>
          </cell>
          <cell r="C205" t="str">
            <v>Apollo</v>
          </cell>
          <cell r="D205" t="str">
            <v>Robert</v>
          </cell>
          <cell r="F205" t="str">
            <v>Phyo Wai Maung</v>
          </cell>
          <cell r="G205" t="str">
            <v>Thant Zin Oo</v>
          </cell>
          <cell r="H205" t="str">
            <v>RED</v>
          </cell>
          <cell r="I205" t="str">
            <v>South</v>
          </cell>
          <cell r="J205" t="str">
            <v>98.090964</v>
          </cell>
          <cell r="K205" t="str">
            <v>15.621308</v>
          </cell>
          <cell r="L205" t="str">
            <v>Rural</v>
          </cell>
          <cell r="M205" t="str">
            <v>Kayin</v>
          </cell>
          <cell r="N205" t="str">
            <v>Kyainseikgyi</v>
          </cell>
          <cell r="O205" t="str">
            <v>Kyainseikgyi</v>
          </cell>
          <cell r="P205" t="str">
            <v>Kayin</v>
          </cell>
          <cell r="Q205" t="str">
            <v>21</v>
          </cell>
          <cell r="R205" t="str">
            <v>Kyainseikgyi</v>
          </cell>
          <cell r="S205" t="str">
            <v>32</v>
          </cell>
          <cell r="T205" t="str">
            <v>GSM+UMTS</v>
          </cell>
          <cell r="W205" t="str">
            <v>Ph2-Priority</v>
          </cell>
          <cell r="X205" t="str">
            <v>55</v>
          </cell>
          <cell r="Y205" t="str">
            <v>57</v>
          </cell>
          <cell r="Z205" t="str">
            <v>GBT</v>
          </cell>
          <cell r="AA205" t="str">
            <v>500</v>
          </cell>
          <cell r="AB205" t="str">
            <v>Access</v>
          </cell>
          <cell r="AC205" t="str">
            <v>Class C</v>
          </cell>
          <cell r="BH205" t="str">
            <v>GTL</v>
          </cell>
          <cell r="BJ205">
            <v>42165</v>
          </cell>
          <cell r="BK205">
            <v>42170</v>
          </cell>
          <cell r="BL205">
            <v>42170</v>
          </cell>
          <cell r="BM205">
            <v>42177</v>
          </cell>
          <cell r="BT205">
            <v>63</v>
          </cell>
          <cell r="BU205">
            <v>42235</v>
          </cell>
          <cell r="BV205">
            <v>42136</v>
          </cell>
          <cell r="BW205" t="str">
            <v>97.22489</v>
          </cell>
          <cell r="BX205" t="str">
            <v>19.69631</v>
          </cell>
          <cell r="BY205" t="str">
            <v>C1</v>
          </cell>
          <cell r="BZ205" t="str">
            <v>Chi Kal Village Group, Htay Ta Ma Village, Loikaw Township.</v>
          </cell>
          <cell r="CA205" t="str">
            <v>U Mu Ral;Chi Kal Village Group, Htay Ta Ma Village, Loikaw Township;09 252289599</v>
          </cell>
          <cell r="CB205" t="str">
            <v>12May15: C1 SAR Sub</v>
          </cell>
          <cell r="CE205">
            <v>0</v>
          </cell>
          <cell r="CF205">
            <v>42236</v>
          </cell>
          <cell r="CG205">
            <v>42137</v>
          </cell>
          <cell r="CH205">
            <v>42238</v>
          </cell>
          <cell r="CJ205">
            <v>42144</v>
          </cell>
          <cell r="CK205" t="str">
            <v>35</v>
          </cell>
          <cell r="CL205" t="str">
            <v>37</v>
          </cell>
          <cell r="CM205" t="str">
            <v>35</v>
          </cell>
          <cell r="CN205">
            <v>0</v>
          </cell>
          <cell r="CO205">
            <v>42241</v>
          </cell>
          <cell r="CP205">
            <v>42146</v>
          </cell>
          <cell r="CQ205" t="str">
            <v>M1: grid power + battery</v>
          </cell>
          <cell r="CR205">
            <v>0</v>
          </cell>
          <cell r="CS205">
            <v>42242</v>
          </cell>
          <cell r="CT205">
            <v>42149</v>
          </cell>
          <cell r="CU205" t="str">
            <v>KA0341</v>
          </cell>
          <cell r="DH205">
            <v>0</v>
          </cell>
          <cell r="DI205">
            <v>42252</v>
          </cell>
          <cell r="DK205">
            <v>42249</v>
          </cell>
          <cell r="DL205">
            <v>42172</v>
          </cell>
          <cell r="DM205">
            <v>42253</v>
          </cell>
          <cell r="DN205">
            <v>42172</v>
          </cell>
          <cell r="DO205">
            <v>0</v>
          </cell>
          <cell r="DP205">
            <v>42252</v>
          </cell>
          <cell r="DT205">
            <v>0</v>
          </cell>
          <cell r="DU205">
            <v>42267</v>
          </cell>
          <cell r="DW205">
            <v>0</v>
          </cell>
          <cell r="DY205">
            <v>42253</v>
          </cell>
          <cell r="DZ205">
            <v>42166</v>
          </cell>
          <cell r="EA205" t="str">
            <v>Leadcom</v>
          </cell>
          <cell r="ED205" t="str">
            <v>10Aug15 :PaingThu.Soe: 7-8-15 Site On Air at 29.7.15.Fencing making in progress.
03Aug15 :PaingThu.Soe: 29-7-15 Site On Air at 29.7.15.
13Jul15 :PaingThu.Soe: 13-7-15 Equipment pad done.Backfilling done.Telecom eq on site.Tower on site.
06Jul15 :PaingThu.Soe: Backfilling done and tower material not available in site.Equipment pad on going.
29Jun15 :PaingThu.Soe: Column pedestal making in progress.
22Jun15 :PaingThu.Soe: 18-6-15 Excavation done.</v>
          </cell>
          <cell r="EJ205">
            <v>0</v>
          </cell>
          <cell r="EK205">
            <v>42275</v>
          </cell>
          <cell r="EL205">
            <v>42178</v>
          </cell>
          <cell r="EM205">
            <v>42276</v>
          </cell>
          <cell r="EN205">
            <v>42198</v>
          </cell>
          <cell r="EQ205">
            <v>42288</v>
          </cell>
          <cell r="ER205">
            <v>42210</v>
          </cell>
          <cell r="ES205">
            <v>42199</v>
          </cell>
          <cell r="ET205">
            <v>42212</v>
          </cell>
          <cell r="EU205">
            <v>42212</v>
          </cell>
          <cell r="EW205">
            <v>0</v>
          </cell>
          <cell r="EX205">
            <v>42302</v>
          </cell>
          <cell r="EZ205">
            <v>42298</v>
          </cell>
          <cell r="FA205">
            <v>42208</v>
          </cell>
          <cell r="FB205">
            <v>42300</v>
          </cell>
          <cell r="FC205">
            <v>42209</v>
          </cell>
          <cell r="FU205">
            <v>42302</v>
          </cell>
          <cell r="FW205">
            <v>42302</v>
          </cell>
          <cell r="FX205">
            <v>42212</v>
          </cell>
          <cell r="FY205" t="str">
            <v>AZM</v>
          </cell>
          <cell r="FZ205">
            <v>42191</v>
          </cell>
          <cell r="GA205">
            <v>42194</v>
          </cell>
          <cell r="GB205">
            <v>42194</v>
          </cell>
          <cell r="GC205">
            <v>42194</v>
          </cell>
          <cell r="GD205">
            <v>42213</v>
          </cell>
          <cell r="GE205">
            <v>42194</v>
          </cell>
          <cell r="GF205">
            <v>42199</v>
          </cell>
          <cell r="GG205">
            <v>42214</v>
          </cell>
          <cell r="GH205">
            <v>42214</v>
          </cell>
          <cell r="GI205">
            <v>42216</v>
          </cell>
          <cell r="GJ205">
            <v>0</v>
          </cell>
          <cell r="GK205">
            <v>42214</v>
          </cell>
          <cell r="GN205" t="str">
            <v xml:space="preserve">ERICSSON </v>
          </cell>
          <cell r="GP205">
            <v>42186</v>
          </cell>
          <cell r="GS205" t="str">
            <v>4/4/4</v>
          </cell>
          <cell r="GU205" t="str">
            <v xml:space="preserve">		</v>
          </cell>
          <cell r="HD205">
            <v>1</v>
          </cell>
        </row>
        <row r="206">
          <cell r="A206" t="str">
            <v>KA0349</v>
          </cell>
          <cell r="B206" t="str">
            <v>ASKA_0174</v>
          </cell>
          <cell r="C206" t="str">
            <v>Apollo</v>
          </cell>
          <cell r="D206" t="str">
            <v>Robert</v>
          </cell>
          <cell r="F206" t="str">
            <v>Phyo Wai Maung</v>
          </cell>
          <cell r="G206" t="str">
            <v>Thant Zin Oo</v>
          </cell>
          <cell r="H206" t="str">
            <v>AMBER</v>
          </cell>
          <cell r="I206" t="str">
            <v>South</v>
          </cell>
          <cell r="J206" t="str">
            <v>97.6513776</v>
          </cell>
          <cell r="K206" t="str">
            <v>17.34815263</v>
          </cell>
          <cell r="L206" t="str">
            <v>Suburban</v>
          </cell>
          <cell r="M206" t="str">
            <v>Kayin</v>
          </cell>
          <cell r="N206" t="str">
            <v>Hpapun</v>
          </cell>
          <cell r="O206" t="str">
            <v>Hpapun</v>
          </cell>
          <cell r="P206" t="str">
            <v>Kayin</v>
          </cell>
          <cell r="Q206" t="str">
            <v>21</v>
          </cell>
          <cell r="R206" t="str">
            <v>Hpapun</v>
          </cell>
          <cell r="S206" t="str">
            <v>28</v>
          </cell>
          <cell r="T206" t="str">
            <v>GSM+UMTS</v>
          </cell>
          <cell r="W206" t="str">
            <v>Ph2-Priority</v>
          </cell>
          <cell r="X206" t="str">
            <v>35</v>
          </cell>
          <cell r="Y206" t="str">
            <v>35</v>
          </cell>
          <cell r="Z206" t="str">
            <v>GBT</v>
          </cell>
          <cell r="AA206" t="str">
            <v>250</v>
          </cell>
          <cell r="AB206" t="str">
            <v>Access</v>
          </cell>
          <cell r="AC206" t="str">
            <v>Class B</v>
          </cell>
          <cell r="BE206" t="str">
            <v>Route 8 Mandalay - Magwe</v>
          </cell>
          <cell r="BH206" t="str">
            <v>GTL</v>
          </cell>
          <cell r="BJ206">
            <v>42131</v>
          </cell>
          <cell r="BK206">
            <v>42121</v>
          </cell>
          <cell r="BL206">
            <v>42136</v>
          </cell>
          <cell r="BM206">
            <v>42126</v>
          </cell>
          <cell r="BT206">
            <v>59</v>
          </cell>
          <cell r="BU206">
            <v>42136</v>
          </cell>
          <cell r="BV206">
            <v>42180</v>
          </cell>
          <cell r="BW206" t="str">
            <v>97.65166</v>
          </cell>
          <cell r="BX206" t="str">
            <v>17.34773</v>
          </cell>
          <cell r="BY206" t="str">
            <v>C2</v>
          </cell>
          <cell r="BZ206" t="str">
            <v>No-157/3, No-3 Ward, Kamar Maung Township.</v>
          </cell>
          <cell r="CA206" t="str">
            <v>Daw Khin Hla Yee;No-157/3, No-3 Ward, Kamar Maung Township;09 255772256,09 252249921</v>
          </cell>
          <cell r="CB206" t="str">
            <v>29 June 15 : C2 SAR approved as an option 2(TND approved with  50tower for KA0349 and KA0268.) and Apollo can support 60 M Tower; 25 June 15 : C2 SAR sub , C1 NOC issue;prev C1 TSSR app on2 June 15;15 May 15 :C1 SAR  approved as an option1(TND approved with  60M tower for KA0349 and KA0268.); 14May15: Query (For 50m for KA0349 &amp; KA0268); 12May15: C1 SAR Sub</v>
          </cell>
          <cell r="CC206" t="str">
            <v>RESIDENTIAL</v>
          </cell>
          <cell r="CE206">
            <v>4</v>
          </cell>
          <cell r="CF206">
            <v>42137</v>
          </cell>
          <cell r="CG206">
            <v>42184</v>
          </cell>
          <cell r="CH206">
            <v>42158</v>
          </cell>
          <cell r="CJ206">
            <v>42153</v>
          </cell>
          <cell r="CK206" t="str">
            <v>50</v>
          </cell>
          <cell r="CL206" t="str">
            <v>52</v>
          </cell>
          <cell r="CM206" t="str">
            <v>60</v>
          </cell>
          <cell r="CN206">
            <v>2</v>
          </cell>
          <cell r="CO206">
            <v>42161</v>
          </cell>
          <cell r="CP206">
            <v>42186</v>
          </cell>
          <cell r="CQ206" t="str">
            <v>M4: solar + DG + battery</v>
          </cell>
          <cell r="CR206">
            <v>5</v>
          </cell>
          <cell r="CS206">
            <v>42162</v>
          </cell>
          <cell r="CT206">
            <v>42191</v>
          </cell>
          <cell r="CU206" t="str">
            <v>KA0349</v>
          </cell>
          <cell r="DH206">
            <v>7</v>
          </cell>
          <cell r="DI206">
            <v>42172</v>
          </cell>
          <cell r="DJ206">
            <v>42198</v>
          </cell>
          <cell r="DK206">
            <v>42169</v>
          </cell>
          <cell r="DL206">
            <v>42242</v>
          </cell>
          <cell r="DM206">
            <v>42173</v>
          </cell>
          <cell r="DO206">
            <v>0</v>
          </cell>
          <cell r="DP206">
            <v>42172</v>
          </cell>
          <cell r="DQ206">
            <v>42198</v>
          </cell>
          <cell r="DT206">
            <v>35</v>
          </cell>
          <cell r="DU206">
            <v>42187</v>
          </cell>
          <cell r="DW206">
            <v>0</v>
          </cell>
          <cell r="DY206">
            <v>42173</v>
          </cell>
          <cell r="DZ206">
            <v>42207</v>
          </cell>
          <cell r="EA206" t="str">
            <v>GTL</v>
          </cell>
          <cell r="EB206">
            <v>42208</v>
          </cell>
          <cell r="ED206" t="str">
            <v>10Aug15 :PaingThu.Soe: 7-8-15 Excavation done.
03Aug15 :PaingThu.Soe: 29-7-15 Excavation making in progress.</v>
          </cell>
          <cell r="EE206" t="str">
            <v xml:space="preserve">10 Aug 15:Flood affected_Hold-No access; 23-Jul-15: Excaveted Pit &amp; Area is fully flooded.								</v>
          </cell>
          <cell r="EJ206">
            <v>26</v>
          </cell>
          <cell r="EK206">
            <v>42188</v>
          </cell>
          <cell r="EL206">
            <v>42237</v>
          </cell>
          <cell r="EM206">
            <v>42189</v>
          </cell>
          <cell r="EN206">
            <v>42242</v>
          </cell>
          <cell r="EQ206">
            <v>42196</v>
          </cell>
          <cell r="ES206">
            <v>42243</v>
          </cell>
          <cell r="EW206">
            <v>26</v>
          </cell>
          <cell r="EX206">
            <v>42210</v>
          </cell>
          <cell r="EZ206">
            <v>42206</v>
          </cell>
          <cell r="FA206">
            <v>42243</v>
          </cell>
          <cell r="FB206">
            <v>42208</v>
          </cell>
          <cell r="FC206">
            <v>42249</v>
          </cell>
          <cell r="FU206">
            <v>42210</v>
          </cell>
          <cell r="FW206">
            <v>42210</v>
          </cell>
          <cell r="GI206">
            <v>42307</v>
          </cell>
          <cell r="GJ206" t="str">
            <v>44-2015</v>
          </cell>
          <cell r="GL206" t="str">
            <v>Upstream Dependency :: LoS not OK, Isolated site</v>
          </cell>
          <cell r="GN206" t="str">
            <v xml:space="preserve">ERICSSON </v>
          </cell>
          <cell r="GQ206" t="str">
            <v xml:space="preserve">Upstream Dependency; </v>
          </cell>
          <cell r="GS206" t="str">
            <v>4/4/4</v>
          </cell>
          <cell r="GU206" t="str">
            <v xml:space="preserve">		</v>
          </cell>
          <cell r="HD206">
            <v>1</v>
          </cell>
        </row>
        <row r="207">
          <cell r="A207" t="str">
            <v>KA0374</v>
          </cell>
          <cell r="B207" t="str">
            <v>ASKA_0175</v>
          </cell>
          <cell r="C207" t="str">
            <v>Apollo</v>
          </cell>
          <cell r="D207" t="str">
            <v>Robert</v>
          </cell>
          <cell r="F207" t="str">
            <v>Phyo Wai Maung</v>
          </cell>
          <cell r="G207" t="str">
            <v>Thant Zin Oo</v>
          </cell>
          <cell r="H207" t="str">
            <v>AMBER</v>
          </cell>
          <cell r="I207" t="str">
            <v>South</v>
          </cell>
          <cell r="J207" t="str">
            <v>97.898295</v>
          </cell>
          <cell r="K207" t="str">
            <v>16.11712</v>
          </cell>
          <cell r="L207" t="str">
            <v>Rural</v>
          </cell>
          <cell r="M207" t="str">
            <v>Kayin</v>
          </cell>
          <cell r="N207" t="str">
            <v>Kyainseikgyi</v>
          </cell>
          <cell r="O207" t="str">
            <v>Kyainseikgyi</v>
          </cell>
          <cell r="P207" t="str">
            <v>Kayin</v>
          </cell>
          <cell r="Q207" t="str">
            <v>21</v>
          </cell>
          <cell r="R207" t="str">
            <v>Kyainseikgyi</v>
          </cell>
          <cell r="S207" t="str">
            <v>32</v>
          </cell>
          <cell r="T207" t="str">
            <v>GSM+UMTS</v>
          </cell>
          <cell r="W207" t="str">
            <v>Ph2-Priority</v>
          </cell>
          <cell r="X207" t="str">
            <v>45</v>
          </cell>
          <cell r="Y207" t="str">
            <v>47</v>
          </cell>
          <cell r="Z207" t="str">
            <v>GBT</v>
          </cell>
          <cell r="AA207" t="str">
            <v>500</v>
          </cell>
          <cell r="AB207" t="str">
            <v>Access</v>
          </cell>
          <cell r="AC207" t="str">
            <v>Class C</v>
          </cell>
          <cell r="BE207" t="str">
            <v>Route 2 Yangon -Mawlamyine</v>
          </cell>
          <cell r="BH207" t="str">
            <v>GTL</v>
          </cell>
          <cell r="BJ207">
            <v>42128</v>
          </cell>
          <cell r="BK207">
            <v>42126</v>
          </cell>
          <cell r="BL207">
            <v>42133</v>
          </cell>
          <cell r="BM207">
            <v>42133</v>
          </cell>
          <cell r="BT207">
            <v>17</v>
          </cell>
          <cell r="BU207">
            <v>42171</v>
          </cell>
          <cell r="BV207">
            <v>42143</v>
          </cell>
          <cell r="BW207" t="str">
            <v>97.89561</v>
          </cell>
          <cell r="BX207" t="str">
            <v>16.11795</v>
          </cell>
          <cell r="BY207" t="str">
            <v>C1 rev</v>
          </cell>
          <cell r="BZ207" t="str">
            <v>No-46, Kale Village Group, Myo Haung Village, Kyar Inn Seik Gyi,Mawlamyaing Township,Kayin.</v>
          </cell>
          <cell r="CA207" t="str">
            <v>U Sein La Min;No-46, Kale Village Group, Myo Haung Village, Kyar Inn Seik Gyi, Mawlamyaing Township,09 255949721.</v>
          </cell>
          <cell r="CB207" t="str">
            <v>6 July 15 : C1 rev TSSR sub(Changed 22m away from earlier approved location);1 June 15: C1 TSSR app;29 May 15 : C1 TSSR sub;20 May 15 : C1 SAR app;19May15: C1 SAR Sub.</v>
          </cell>
          <cell r="CC207" t="str">
            <v>Garden Land</v>
          </cell>
          <cell r="CE207">
            <v>1</v>
          </cell>
          <cell r="CF207">
            <v>42172</v>
          </cell>
          <cell r="CG207">
            <v>42144</v>
          </cell>
          <cell r="CH207">
            <v>42174</v>
          </cell>
          <cell r="CJ207">
            <v>42189</v>
          </cell>
          <cell r="CK207" t="str">
            <v>45</v>
          </cell>
          <cell r="CL207" t="str">
            <v>47</v>
          </cell>
          <cell r="CM207" t="str">
            <v>45</v>
          </cell>
          <cell r="CN207">
            <v>47</v>
          </cell>
          <cell r="CO207">
            <v>42177</v>
          </cell>
          <cell r="CP207">
            <v>42191</v>
          </cell>
          <cell r="CQ207" t="str">
            <v>M4: solar + DG + battery</v>
          </cell>
          <cell r="CR207">
            <v>4</v>
          </cell>
          <cell r="CS207">
            <v>42178</v>
          </cell>
          <cell r="CT207">
            <v>42195</v>
          </cell>
          <cell r="CU207" t="str">
            <v>KA0374</v>
          </cell>
          <cell r="DH207">
            <v>3</v>
          </cell>
          <cell r="DI207">
            <v>42188</v>
          </cell>
          <cell r="DJ207">
            <v>42198</v>
          </cell>
          <cell r="DK207">
            <v>42185</v>
          </cell>
          <cell r="DL207">
            <v>42242</v>
          </cell>
          <cell r="DM207">
            <v>42189</v>
          </cell>
          <cell r="DO207">
            <v>-10</v>
          </cell>
          <cell r="DP207">
            <v>42188</v>
          </cell>
          <cell r="DQ207">
            <v>42188</v>
          </cell>
          <cell r="DT207">
            <v>45</v>
          </cell>
          <cell r="DU207">
            <v>42203</v>
          </cell>
          <cell r="DW207">
            <v>0</v>
          </cell>
          <cell r="DY207">
            <v>42189</v>
          </cell>
          <cell r="DZ207">
            <v>42192</v>
          </cell>
          <cell r="EA207" t="str">
            <v>GTL</v>
          </cell>
          <cell r="EB207">
            <v>42214</v>
          </cell>
          <cell r="ED207" t="str">
            <v xml:space="preserve">10Aug15 :PaingThu.Soe: 7-8-15 Rebar done.
</v>
          </cell>
          <cell r="EE207" t="str">
            <v xml:space="preserve">10 Aug 15:Flood affected_Hold-No access; 29-Jul-15:  Access is flooded								</v>
          </cell>
          <cell r="EJ207">
            <v>41</v>
          </cell>
          <cell r="EK207">
            <v>42211</v>
          </cell>
          <cell r="EL207">
            <v>42233</v>
          </cell>
          <cell r="EM207">
            <v>42212</v>
          </cell>
          <cell r="EN207">
            <v>42241</v>
          </cell>
          <cell r="EQ207">
            <v>42224</v>
          </cell>
          <cell r="ES207">
            <v>42241</v>
          </cell>
          <cell r="EW207">
            <v>41</v>
          </cell>
          <cell r="EX207">
            <v>42238</v>
          </cell>
          <cell r="EZ207">
            <v>42234</v>
          </cell>
          <cell r="FB207">
            <v>42236</v>
          </cell>
          <cell r="FU207">
            <v>42238</v>
          </cell>
          <cell r="FW207">
            <v>42238</v>
          </cell>
          <cell r="FY207" t="str">
            <v>CFVL</v>
          </cell>
          <cell r="FZ207">
            <v>42242</v>
          </cell>
          <cell r="GA207">
            <v>42244</v>
          </cell>
          <cell r="GB207">
            <v>42246</v>
          </cell>
          <cell r="GE207">
            <v>42246</v>
          </cell>
          <cell r="GI207">
            <v>42307</v>
          </cell>
          <cell r="GJ207" t="str">
            <v>44-2015</v>
          </cell>
          <cell r="GN207" t="str">
            <v xml:space="preserve">ERICSSON </v>
          </cell>
          <cell r="GS207" t="str">
            <v>4/4/4</v>
          </cell>
          <cell r="GU207" t="str">
            <v xml:space="preserve">		</v>
          </cell>
          <cell r="HD207">
            <v>1</v>
          </cell>
        </row>
        <row r="208">
          <cell r="A208" t="str">
            <v>KA0377</v>
          </cell>
          <cell r="B208" t="str">
            <v>ASKA_0176</v>
          </cell>
          <cell r="C208" t="str">
            <v>Apollo</v>
          </cell>
          <cell r="D208" t="str">
            <v>Robert</v>
          </cell>
          <cell r="F208" t="str">
            <v>Phyo Wai Maung</v>
          </cell>
          <cell r="G208" t="str">
            <v>Thant Zin Oo</v>
          </cell>
          <cell r="H208" t="str">
            <v>RED</v>
          </cell>
          <cell r="I208" t="str">
            <v>South</v>
          </cell>
          <cell r="J208" t="str">
            <v>98.161333342</v>
          </cell>
          <cell r="K208" t="str">
            <v>16.078224629</v>
          </cell>
          <cell r="L208" t="str">
            <v>Rural</v>
          </cell>
          <cell r="M208" t="str">
            <v>Kayin</v>
          </cell>
          <cell r="N208" t="str">
            <v>Kyainseikgyi</v>
          </cell>
          <cell r="O208" t="str">
            <v>Kyainseikgyi</v>
          </cell>
          <cell r="P208" t="str">
            <v>Kayin</v>
          </cell>
          <cell r="Q208" t="str">
            <v>21</v>
          </cell>
          <cell r="R208" t="str">
            <v>Kyainseikgyi</v>
          </cell>
          <cell r="S208" t="str">
            <v>32</v>
          </cell>
          <cell r="T208" t="str">
            <v>GSM+UMTS</v>
          </cell>
          <cell r="W208" t="str">
            <v>Ph2-Priority</v>
          </cell>
          <cell r="X208" t="str">
            <v>45</v>
          </cell>
          <cell r="Y208" t="str">
            <v>47</v>
          </cell>
          <cell r="Z208" t="str">
            <v>GBT</v>
          </cell>
          <cell r="AA208" t="str">
            <v>500</v>
          </cell>
          <cell r="AB208" t="str">
            <v>Access</v>
          </cell>
          <cell r="AC208" t="str">
            <v>Class C</v>
          </cell>
          <cell r="BE208" t="str">
            <v>Route 2 Yangon -Mawlamyine</v>
          </cell>
          <cell r="BH208" t="str">
            <v>GTL</v>
          </cell>
          <cell r="BJ208">
            <v>42166</v>
          </cell>
          <cell r="BK208">
            <v>42170</v>
          </cell>
          <cell r="BL208">
            <v>42171</v>
          </cell>
          <cell r="BM208">
            <v>42177</v>
          </cell>
          <cell r="BT208">
            <v>63</v>
          </cell>
          <cell r="BU208">
            <v>42210</v>
          </cell>
          <cell r="BV208">
            <v>42175</v>
          </cell>
          <cell r="BW208" t="str">
            <v>97.24108</v>
          </cell>
          <cell r="BX208" t="str">
            <v>17.16852</v>
          </cell>
          <cell r="BY208" t="str">
            <v>C2</v>
          </cell>
          <cell r="BZ208" t="str">
            <v>Shwe Hlay Ywar Kwin, Kwin No. 305, Shwe Hlay Village, Belin Township, Thahton District, Mon State</v>
          </cell>
          <cell r="CA208" t="str">
            <v>U Shwe Than;09-255959337</v>
          </cell>
          <cell r="CB208" t="str">
            <v>20Jun15: C2 SAR Sub, C1 rejected by AT</v>
          </cell>
          <cell r="CE208">
            <v>0</v>
          </cell>
          <cell r="CF208">
            <v>42211</v>
          </cell>
          <cell r="CG208">
            <v>42178</v>
          </cell>
          <cell r="CH208">
            <v>42213</v>
          </cell>
          <cell r="CJ208">
            <v>42189</v>
          </cell>
          <cell r="CK208" t="str">
            <v>45</v>
          </cell>
          <cell r="CL208" t="str">
            <v>47</v>
          </cell>
          <cell r="CM208" t="str">
            <v>50</v>
          </cell>
          <cell r="CN208">
            <v>0</v>
          </cell>
          <cell r="CO208">
            <v>42216</v>
          </cell>
          <cell r="CP208">
            <v>42191</v>
          </cell>
          <cell r="CQ208" t="str">
            <v>M1: grid power + battery</v>
          </cell>
          <cell r="CR208">
            <v>0</v>
          </cell>
          <cell r="CS208">
            <v>42217</v>
          </cell>
          <cell r="CT208">
            <v>42192</v>
          </cell>
          <cell r="CU208" t="str">
            <v>KA0377</v>
          </cell>
          <cell r="DH208">
            <v>0</v>
          </cell>
          <cell r="DI208">
            <v>42227</v>
          </cell>
          <cell r="DJ208">
            <v>42198</v>
          </cell>
          <cell r="DK208">
            <v>42224</v>
          </cell>
          <cell r="DL208">
            <v>42207</v>
          </cell>
          <cell r="DM208">
            <v>42228</v>
          </cell>
          <cell r="DO208">
            <v>0</v>
          </cell>
          <cell r="DP208">
            <v>42227</v>
          </cell>
          <cell r="DQ208">
            <v>42198</v>
          </cell>
          <cell r="DT208">
            <v>0</v>
          </cell>
          <cell r="DU208">
            <v>42242</v>
          </cell>
          <cell r="DW208">
            <v>0</v>
          </cell>
          <cell r="DY208">
            <v>42228</v>
          </cell>
          <cell r="DZ208">
            <v>42201</v>
          </cell>
          <cell r="EA208" t="str">
            <v>Leadcom</v>
          </cell>
          <cell r="EB208">
            <v>42215</v>
          </cell>
          <cell r="EE208" t="str">
            <v xml:space="preserve">10 Aug 15:Flood affected_Hold-No access; 30-Jul-15:access road issue-broken bridge on the way to site 								</v>
          </cell>
          <cell r="EJ208">
            <v>0</v>
          </cell>
          <cell r="EK208">
            <v>42250</v>
          </cell>
          <cell r="EM208">
            <v>42251</v>
          </cell>
          <cell r="EQ208">
            <v>42263</v>
          </cell>
          <cell r="EW208">
            <v>0</v>
          </cell>
          <cell r="EX208">
            <v>42277</v>
          </cell>
          <cell r="EZ208">
            <v>42273</v>
          </cell>
          <cell r="FB208">
            <v>42275</v>
          </cell>
          <cell r="FU208">
            <v>42277</v>
          </cell>
          <cell r="FW208">
            <v>42277</v>
          </cell>
          <cell r="GJ208">
            <v>0</v>
          </cell>
          <cell r="GN208" t="str">
            <v>ERICSSON</v>
          </cell>
          <cell r="GS208" t="str">
            <v>4/4/4</v>
          </cell>
          <cell r="GU208" t="str">
            <v xml:space="preserve">		</v>
          </cell>
          <cell r="HD208">
            <v>1</v>
          </cell>
        </row>
        <row r="209">
          <cell r="A209" t="str">
            <v>KA0379</v>
          </cell>
          <cell r="B209" t="str">
            <v>ASKA_0177</v>
          </cell>
          <cell r="C209" t="str">
            <v>Apollo</v>
          </cell>
          <cell r="D209" t="str">
            <v>Robert</v>
          </cell>
          <cell r="F209" t="str">
            <v>Phyo Wai Maung</v>
          </cell>
          <cell r="G209" t="str">
            <v>Thant Zin Oo</v>
          </cell>
          <cell r="H209" t="str">
            <v>AMBER</v>
          </cell>
          <cell r="I209" t="str">
            <v>South</v>
          </cell>
          <cell r="J209" t="str">
            <v>98.12347889</v>
          </cell>
          <cell r="K209" t="str">
            <v>16.04173427</v>
          </cell>
          <cell r="L209" t="str">
            <v>Suburban</v>
          </cell>
          <cell r="M209" t="str">
            <v>Kayin</v>
          </cell>
          <cell r="N209" t="str">
            <v>Kyainseikgyi</v>
          </cell>
          <cell r="O209" t="str">
            <v>Kyainseikgyi</v>
          </cell>
          <cell r="P209" t="str">
            <v>Kayin</v>
          </cell>
          <cell r="Q209" t="str">
            <v>21</v>
          </cell>
          <cell r="R209" t="str">
            <v>Kyainseikgyi</v>
          </cell>
          <cell r="S209" t="str">
            <v>32</v>
          </cell>
          <cell r="T209" t="str">
            <v>GSM+UMTS</v>
          </cell>
          <cell r="W209" t="str">
            <v>Ph2-Priority</v>
          </cell>
          <cell r="X209" t="str">
            <v>35</v>
          </cell>
          <cell r="Y209" t="str">
            <v>35</v>
          </cell>
          <cell r="Z209" t="str">
            <v>GBT</v>
          </cell>
          <cell r="AA209" t="str">
            <v>250</v>
          </cell>
          <cell r="AB209" t="str">
            <v>Access</v>
          </cell>
          <cell r="AC209" t="str">
            <v>Class B</v>
          </cell>
          <cell r="BE209" t="str">
            <v>Monywa - Tamu</v>
          </cell>
          <cell r="BH209" t="str">
            <v>GTL</v>
          </cell>
          <cell r="BJ209">
            <v>42128</v>
          </cell>
          <cell r="BK209">
            <v>42130</v>
          </cell>
          <cell r="BL209">
            <v>42133</v>
          </cell>
          <cell r="BM209">
            <v>42132</v>
          </cell>
          <cell r="BT209">
            <v>58</v>
          </cell>
          <cell r="BU209">
            <v>42165</v>
          </cell>
          <cell r="BV209">
            <v>42188</v>
          </cell>
          <cell r="BW209" t="str">
            <v>98.12506</v>
          </cell>
          <cell r="BX209" t="str">
            <v>16.04095</v>
          </cell>
          <cell r="BY209" t="str">
            <v>C2</v>
          </cell>
          <cell r="BZ209" t="str">
            <v>Ara Han Dama Yake Thar Monastery, Ma Gin Street, 6 Ward, Kyar Inn Seik Kyi , Mawlamyaing Township.</v>
          </cell>
          <cell r="CA209" t="str">
            <v>U Tan Wara, 09 425000718</v>
          </cell>
          <cell r="CB209" t="str">
            <v>6 July 15 : C2 SAR REV  approved as an option 2;3 July 15 :C2 SAR revised pdf submit with corrected Lat, long; 25 June 15 : C2 SAR sub , C1 NOC issue;prev C1 TSSR app on2 June 15; 18May15:  C1 SAR Sub</v>
          </cell>
          <cell r="CC209" t="str">
            <v>MONASTERY</v>
          </cell>
          <cell r="CE209">
            <v>3</v>
          </cell>
          <cell r="CF209">
            <v>42166</v>
          </cell>
          <cell r="CG209">
            <v>42191</v>
          </cell>
          <cell r="CH209">
            <v>42168</v>
          </cell>
          <cell r="CJ209">
            <v>42206</v>
          </cell>
          <cell r="CK209" t="str">
            <v>35</v>
          </cell>
          <cell r="CL209" t="str">
            <v>37</v>
          </cell>
          <cell r="CM209" t="str">
            <v>35</v>
          </cell>
          <cell r="CN209">
            <v>17</v>
          </cell>
          <cell r="CO209">
            <v>42171</v>
          </cell>
          <cell r="CP209">
            <v>42208</v>
          </cell>
          <cell r="CQ209" t="str">
            <v>M1: grid power + battery</v>
          </cell>
          <cell r="CR209">
            <v>1</v>
          </cell>
          <cell r="CS209">
            <v>42172</v>
          </cell>
          <cell r="CT209">
            <v>42209</v>
          </cell>
          <cell r="CU209" t="str">
            <v>KA0379</v>
          </cell>
          <cell r="DH209">
            <v>0</v>
          </cell>
          <cell r="DI209">
            <v>42182</v>
          </cell>
          <cell r="DJ209">
            <v>42209</v>
          </cell>
          <cell r="DK209">
            <v>42179</v>
          </cell>
          <cell r="DL209">
            <v>42242</v>
          </cell>
          <cell r="DM209">
            <v>42183</v>
          </cell>
          <cell r="DO209">
            <v>0</v>
          </cell>
          <cell r="DP209">
            <v>42182</v>
          </cell>
          <cell r="DQ209">
            <v>42209</v>
          </cell>
          <cell r="DT209">
            <v>24</v>
          </cell>
          <cell r="DU209">
            <v>42197</v>
          </cell>
          <cell r="DW209">
            <v>0</v>
          </cell>
          <cell r="DY209">
            <v>42183</v>
          </cell>
          <cell r="DZ209">
            <v>42213</v>
          </cell>
          <cell r="EA209" t="str">
            <v>GTL</v>
          </cell>
          <cell r="ED209" t="str">
            <v xml:space="preserve">24Aug15 :PaingThu.Soe: Lean done.
</v>
          </cell>
          <cell r="EJ209">
            <v>20</v>
          </cell>
          <cell r="EK209">
            <v>42198</v>
          </cell>
          <cell r="EL209">
            <v>42249</v>
          </cell>
          <cell r="EM209">
            <v>42199</v>
          </cell>
          <cell r="EN209">
            <v>42242</v>
          </cell>
          <cell r="EQ209">
            <v>42206</v>
          </cell>
          <cell r="EW209">
            <v>20</v>
          </cell>
          <cell r="EX209">
            <v>42220</v>
          </cell>
          <cell r="EZ209">
            <v>42216</v>
          </cell>
          <cell r="FB209">
            <v>42218</v>
          </cell>
          <cell r="FU209">
            <v>42220</v>
          </cell>
          <cell r="FW209">
            <v>42220</v>
          </cell>
          <cell r="FY209" t="str">
            <v>CFVL</v>
          </cell>
          <cell r="FZ209">
            <v>42243</v>
          </cell>
          <cell r="GA209">
            <v>42250</v>
          </cell>
          <cell r="GF209">
            <v>42090</v>
          </cell>
          <cell r="GI209">
            <v>42307</v>
          </cell>
          <cell r="GJ209" t="str">
            <v>44-2015</v>
          </cell>
          <cell r="GN209" t="str">
            <v xml:space="preserve">ERICSSON </v>
          </cell>
          <cell r="GS209" t="str">
            <v>4/4/4</v>
          </cell>
          <cell r="GU209" t="str">
            <v xml:space="preserve">		</v>
          </cell>
          <cell r="HD209">
            <v>1</v>
          </cell>
        </row>
        <row r="210">
          <cell r="A210" t="str">
            <v>KA0385</v>
          </cell>
          <cell r="B210" t="str">
            <v>ASKA_0178</v>
          </cell>
          <cell r="C210" t="str">
            <v>Apollo</v>
          </cell>
          <cell r="D210" t="str">
            <v>Chris Thomson</v>
          </cell>
          <cell r="F210" t="str">
            <v>Phyo Wai Maung</v>
          </cell>
          <cell r="G210" t="str">
            <v>Thant Zin Oo</v>
          </cell>
          <cell r="H210" t="str">
            <v>RED</v>
          </cell>
          <cell r="I210" t="str">
            <v>South</v>
          </cell>
          <cell r="J210" t="str">
            <v>96.6151638243377</v>
          </cell>
          <cell r="K210" t="str">
            <v>18.9932527205145</v>
          </cell>
          <cell r="L210" t="str">
            <v>Rural</v>
          </cell>
          <cell r="M210" t="str">
            <v>Kayin</v>
          </cell>
          <cell r="N210" t="str">
            <v>Thandaunggyi</v>
          </cell>
          <cell r="O210" t="str">
            <v>Thandaunggyi</v>
          </cell>
          <cell r="P210" t="str">
            <v>Kayin</v>
          </cell>
          <cell r="Q210" t="str">
            <v>21</v>
          </cell>
          <cell r="R210" t="str">
            <v>Thandaunggyi</v>
          </cell>
          <cell r="S210" t="str">
            <v>29</v>
          </cell>
          <cell r="T210" t="str">
            <v>GSM+UMTS</v>
          </cell>
          <cell r="W210" t="str">
            <v>Ph2-Priority</v>
          </cell>
          <cell r="X210" t="str">
            <v>45</v>
          </cell>
          <cell r="Y210" t="str">
            <v>47</v>
          </cell>
          <cell r="Z210" t="str">
            <v>GBT</v>
          </cell>
          <cell r="AA210" t="str">
            <v>500</v>
          </cell>
          <cell r="AB210" t="str">
            <v>Access</v>
          </cell>
          <cell r="AC210" t="str">
            <v>Class C</v>
          </cell>
          <cell r="BE210" t="str">
            <v>Route 1 Yangon - Mandalay</v>
          </cell>
          <cell r="BH210" t="str">
            <v>GTL</v>
          </cell>
          <cell r="BJ210">
            <v>42166</v>
          </cell>
          <cell r="BK210">
            <v>42170</v>
          </cell>
          <cell r="BL210">
            <v>42171</v>
          </cell>
          <cell r="BM210">
            <v>42177</v>
          </cell>
          <cell r="BT210">
            <v>63</v>
          </cell>
          <cell r="BU210">
            <v>42191</v>
          </cell>
          <cell r="BV210">
            <v>42187</v>
          </cell>
          <cell r="BW210" t="str">
            <v>95.142107</v>
          </cell>
          <cell r="BX210" t="str">
            <v>19.348238</v>
          </cell>
          <cell r="BY210" t="str">
            <v>C1</v>
          </cell>
          <cell r="CB210" t="str">
            <v>2 July 15 : C1 SAR sub</v>
          </cell>
          <cell r="CC210" t="str">
            <v>Residential</v>
          </cell>
          <cell r="CE210">
            <v>0</v>
          </cell>
          <cell r="CF210">
            <v>42192</v>
          </cell>
          <cell r="CG210">
            <v>42188</v>
          </cell>
          <cell r="CH210">
            <v>42194</v>
          </cell>
          <cell r="CN210">
            <v>0</v>
          </cell>
          <cell r="CO210">
            <v>42197</v>
          </cell>
          <cell r="CQ210" t="str">
            <v>M4: solar + DG + battery</v>
          </cell>
          <cell r="CR210">
            <v>0</v>
          </cell>
          <cell r="CS210">
            <v>42198</v>
          </cell>
          <cell r="CU210" t="str">
            <v>KA0385</v>
          </cell>
          <cell r="DH210">
            <v>0</v>
          </cell>
          <cell r="DI210">
            <v>42208</v>
          </cell>
          <cell r="DK210">
            <v>42205</v>
          </cell>
          <cell r="DM210">
            <v>42209</v>
          </cell>
          <cell r="DO210">
            <v>0</v>
          </cell>
          <cell r="DP210">
            <v>42208</v>
          </cell>
          <cell r="DT210">
            <v>0</v>
          </cell>
          <cell r="DU210">
            <v>42223</v>
          </cell>
          <cell r="DW210">
            <v>0</v>
          </cell>
          <cell r="DY210">
            <v>42209</v>
          </cell>
          <cell r="EA210" t="str">
            <v>Leadcom</v>
          </cell>
          <cell r="EJ210">
            <v>0</v>
          </cell>
          <cell r="EK210">
            <v>42231</v>
          </cell>
          <cell r="EM210">
            <v>42232</v>
          </cell>
          <cell r="EQ210">
            <v>42244</v>
          </cell>
          <cell r="EW210">
            <v>0</v>
          </cell>
          <cell r="EX210">
            <v>42258</v>
          </cell>
          <cell r="EZ210">
            <v>42254</v>
          </cell>
          <cell r="FB210">
            <v>42256</v>
          </cell>
          <cell r="FU210">
            <v>42258</v>
          </cell>
          <cell r="FW210">
            <v>42258</v>
          </cell>
          <cell r="GJ210">
            <v>0</v>
          </cell>
          <cell r="GN210" t="str">
            <v>ERICSSON</v>
          </cell>
          <cell r="GS210" t="str">
            <v>4/4/4</v>
          </cell>
          <cell r="GU210" t="str">
            <v xml:space="preserve">		</v>
          </cell>
          <cell r="HD210">
            <v>1</v>
          </cell>
        </row>
        <row r="211">
          <cell r="A211" t="str">
            <v>KA0386</v>
          </cell>
          <cell r="B211" t="str">
            <v>ASKA_0179</v>
          </cell>
          <cell r="C211" t="str">
            <v>Apollo</v>
          </cell>
          <cell r="D211" t="str">
            <v>Chris Thomson</v>
          </cell>
          <cell r="F211" t="str">
            <v>Phyo Wai Maung</v>
          </cell>
          <cell r="G211" t="str">
            <v>Thant Zin Oo</v>
          </cell>
          <cell r="H211" t="str">
            <v>RED</v>
          </cell>
          <cell r="I211" t="str">
            <v>South</v>
          </cell>
          <cell r="J211" t="str">
            <v>96.6484349464643</v>
          </cell>
          <cell r="K211" t="str">
            <v>18.9531367220723</v>
          </cell>
          <cell r="L211" t="str">
            <v>Rural</v>
          </cell>
          <cell r="M211" t="str">
            <v>Kayin</v>
          </cell>
          <cell r="N211" t="str">
            <v>Thandaunggyi</v>
          </cell>
          <cell r="O211" t="str">
            <v>Thandaunggyi</v>
          </cell>
          <cell r="P211" t="str">
            <v>Kayin</v>
          </cell>
          <cell r="Q211" t="str">
            <v>21</v>
          </cell>
          <cell r="R211" t="str">
            <v>Thandaunggyi</v>
          </cell>
          <cell r="S211" t="str">
            <v>29</v>
          </cell>
          <cell r="T211" t="str">
            <v>GSM+UMTS</v>
          </cell>
          <cell r="W211" t="str">
            <v>Ph2-Priority</v>
          </cell>
          <cell r="X211" t="str">
            <v>55</v>
          </cell>
          <cell r="Y211" t="str">
            <v>57</v>
          </cell>
          <cell r="Z211" t="str">
            <v>GBT</v>
          </cell>
          <cell r="AA211" t="str">
            <v>500</v>
          </cell>
          <cell r="AB211" t="str">
            <v>Access</v>
          </cell>
          <cell r="AC211" t="str">
            <v>Class C</v>
          </cell>
          <cell r="BH211" t="str">
            <v>GTL</v>
          </cell>
          <cell r="BJ211">
            <v>42166</v>
          </cell>
          <cell r="BK211">
            <v>42170</v>
          </cell>
          <cell r="BL211">
            <v>42171</v>
          </cell>
          <cell r="BM211">
            <v>42177</v>
          </cell>
          <cell r="BT211">
            <v>63</v>
          </cell>
          <cell r="BU211">
            <v>42235</v>
          </cell>
          <cell r="BV211">
            <v>42204</v>
          </cell>
          <cell r="BW211" t="str">
            <v>94.785683</v>
          </cell>
          <cell r="BX211" t="str">
            <v>19.610063</v>
          </cell>
          <cell r="BY211" t="str">
            <v>C1</v>
          </cell>
          <cell r="CE211">
            <v>0</v>
          </cell>
          <cell r="CF211">
            <v>42236</v>
          </cell>
          <cell r="CG211">
            <v>42206</v>
          </cell>
          <cell r="CH211">
            <v>42238</v>
          </cell>
          <cell r="CN211">
            <v>0</v>
          </cell>
          <cell r="CO211">
            <v>42241</v>
          </cell>
          <cell r="CQ211" t="str">
            <v>M4: solar + DG + battery</v>
          </cell>
          <cell r="CR211">
            <v>0</v>
          </cell>
          <cell r="CS211">
            <v>42242</v>
          </cell>
          <cell r="CU211" t="str">
            <v>KA0386</v>
          </cell>
          <cell r="DH211">
            <v>0</v>
          </cell>
          <cell r="DI211">
            <v>42252</v>
          </cell>
          <cell r="DK211">
            <v>42249</v>
          </cell>
          <cell r="DM211">
            <v>42253</v>
          </cell>
          <cell r="DO211">
            <v>0</v>
          </cell>
          <cell r="DP211">
            <v>42252</v>
          </cell>
          <cell r="DT211">
            <v>0</v>
          </cell>
          <cell r="DU211">
            <v>42267</v>
          </cell>
          <cell r="DW211">
            <v>0</v>
          </cell>
          <cell r="DY211">
            <v>42253</v>
          </cell>
          <cell r="EA211" t="str">
            <v>Leadcom</v>
          </cell>
          <cell r="EJ211">
            <v>0</v>
          </cell>
          <cell r="EK211">
            <v>42275</v>
          </cell>
          <cell r="EM211">
            <v>42276</v>
          </cell>
          <cell r="EQ211">
            <v>42288</v>
          </cell>
          <cell r="EW211">
            <v>0</v>
          </cell>
          <cell r="EX211">
            <v>42302</v>
          </cell>
          <cell r="EZ211">
            <v>42298</v>
          </cell>
          <cell r="FB211">
            <v>42300</v>
          </cell>
          <cell r="FU211">
            <v>42302</v>
          </cell>
          <cell r="FW211">
            <v>42302</v>
          </cell>
          <cell r="GJ211">
            <v>0</v>
          </cell>
          <cell r="GN211" t="str">
            <v>ERICSSON</v>
          </cell>
          <cell r="GS211" t="str">
            <v>4/4/4</v>
          </cell>
          <cell r="GU211" t="str">
            <v xml:space="preserve">		</v>
          </cell>
          <cell r="HD211">
            <v>1</v>
          </cell>
        </row>
        <row r="212">
          <cell r="A212" t="str">
            <v>KA0389</v>
          </cell>
          <cell r="B212" t="str">
            <v>ASKA_0180</v>
          </cell>
          <cell r="C212" t="str">
            <v>Apollo</v>
          </cell>
          <cell r="D212" t="str">
            <v>Robert</v>
          </cell>
          <cell r="F212" t="str">
            <v>Phyo Wai Maung</v>
          </cell>
          <cell r="G212" t="str">
            <v>Thant Zin Oo</v>
          </cell>
          <cell r="H212" t="str">
            <v>RED</v>
          </cell>
          <cell r="I212" t="str">
            <v>South</v>
          </cell>
          <cell r="J212" t="str">
            <v>98.264829625</v>
          </cell>
          <cell r="K212" t="str">
            <v>15.490836582</v>
          </cell>
          <cell r="L212" t="str">
            <v>Rural</v>
          </cell>
          <cell r="M212" t="str">
            <v>Kayin</v>
          </cell>
          <cell r="N212" t="str">
            <v>Kyainseikgyi</v>
          </cell>
          <cell r="O212" t="str">
            <v>Kyainseikgyi</v>
          </cell>
          <cell r="P212" t="str">
            <v>Kayin</v>
          </cell>
          <cell r="Q212" t="str">
            <v>21</v>
          </cell>
          <cell r="R212" t="str">
            <v>Kyainseikgyi</v>
          </cell>
          <cell r="S212" t="str">
            <v>32</v>
          </cell>
          <cell r="T212" t="str">
            <v>GSM+UMTS</v>
          </cell>
          <cell r="W212" t="str">
            <v>Ph2-Priority</v>
          </cell>
          <cell r="X212" t="str">
            <v>45</v>
          </cell>
          <cell r="Y212" t="str">
            <v>47</v>
          </cell>
          <cell r="Z212" t="str">
            <v>GBT</v>
          </cell>
          <cell r="AA212" t="str">
            <v>500</v>
          </cell>
          <cell r="AB212" t="str">
            <v>Access</v>
          </cell>
          <cell r="AC212" t="str">
            <v>Class C</v>
          </cell>
          <cell r="BH212" t="str">
            <v>GTL</v>
          </cell>
          <cell r="BJ212">
            <v>42166</v>
          </cell>
          <cell r="BK212">
            <v>42170</v>
          </cell>
          <cell r="BL212">
            <v>42171</v>
          </cell>
          <cell r="BM212">
            <v>42177</v>
          </cell>
          <cell r="BT212">
            <v>63</v>
          </cell>
          <cell r="BU212">
            <v>42191</v>
          </cell>
          <cell r="BV212">
            <v>42172</v>
          </cell>
          <cell r="BW212" t="str">
            <v>94.668412</v>
          </cell>
          <cell r="BX212" t="str">
            <v>20.690695</v>
          </cell>
          <cell r="BY212" t="str">
            <v>C1</v>
          </cell>
          <cell r="BZ212" t="str">
            <v>KOKKOKYIN VILLAGE, KYAUNG GONE GROUP,SALIN TOWNSHIP, MAGWAY DIVISION.</v>
          </cell>
          <cell r="CA212" t="str">
            <v>U A ONE;09-790692791</v>
          </cell>
          <cell r="CB212" t="str">
            <v>17Jun15: C1 SAR Sub</v>
          </cell>
          <cell r="CE212">
            <v>0</v>
          </cell>
          <cell r="CF212">
            <v>42192</v>
          </cell>
          <cell r="CG212">
            <v>42173</v>
          </cell>
          <cell r="CH212">
            <v>42194</v>
          </cell>
          <cell r="CJ212">
            <v>42181</v>
          </cell>
          <cell r="CK212" t="str">
            <v>45</v>
          </cell>
          <cell r="CL212" t="str">
            <v>47</v>
          </cell>
          <cell r="CM212" t="str">
            <v>60</v>
          </cell>
          <cell r="CN212">
            <v>0</v>
          </cell>
          <cell r="CO212">
            <v>42197</v>
          </cell>
          <cell r="CP212">
            <v>42183</v>
          </cell>
          <cell r="CQ212" t="str">
            <v>M4: solar + DG + battery</v>
          </cell>
          <cell r="CR212">
            <v>0</v>
          </cell>
          <cell r="CS212">
            <v>42198</v>
          </cell>
          <cell r="CT212">
            <v>42185</v>
          </cell>
          <cell r="CU212" t="str">
            <v>KA0389</v>
          </cell>
          <cell r="DH212">
            <v>0</v>
          </cell>
          <cell r="DI212">
            <v>42208</v>
          </cell>
          <cell r="DJ212">
            <v>42202</v>
          </cell>
          <cell r="DK212">
            <v>42205</v>
          </cell>
          <cell r="DL212">
            <v>42187</v>
          </cell>
          <cell r="DM212">
            <v>42209</v>
          </cell>
          <cell r="DO212">
            <v>0</v>
          </cell>
          <cell r="DP212">
            <v>42208</v>
          </cell>
          <cell r="DQ212">
            <v>42202</v>
          </cell>
          <cell r="DT212">
            <v>0</v>
          </cell>
          <cell r="DU212">
            <v>42223</v>
          </cell>
          <cell r="DW212">
            <v>0</v>
          </cell>
          <cell r="DY212">
            <v>42209</v>
          </cell>
          <cell r="DZ212">
            <v>42206</v>
          </cell>
          <cell r="EA212" t="str">
            <v>Leadcom</v>
          </cell>
          <cell r="ED212" t="str">
            <v xml:space="preserve">17Aug15 :SiThu.Moe: 4/8/15:CW not start yet.
</v>
          </cell>
          <cell r="EE212" t="str">
            <v xml:space="preserve">10 Aug 15:Rain affected_Progress affected; 4-Aug-15: CW started and excavation IP,site is flooded but we are trying to do some work 								</v>
          </cell>
          <cell r="EJ212">
            <v>0</v>
          </cell>
          <cell r="EK212">
            <v>42231</v>
          </cell>
          <cell r="EM212">
            <v>42232</v>
          </cell>
          <cell r="EQ212">
            <v>42244</v>
          </cell>
          <cell r="EW212">
            <v>0</v>
          </cell>
          <cell r="EX212">
            <v>42258</v>
          </cell>
          <cell r="EZ212">
            <v>42254</v>
          </cell>
          <cell r="FB212">
            <v>42256</v>
          </cell>
          <cell r="FU212">
            <v>42258</v>
          </cell>
          <cell r="FW212">
            <v>42258</v>
          </cell>
          <cell r="GJ212">
            <v>0</v>
          </cell>
          <cell r="GN212" t="str">
            <v>ERICSSON</v>
          </cell>
          <cell r="GS212" t="str">
            <v>4/4/4</v>
          </cell>
          <cell r="GU212" t="str">
            <v xml:space="preserve">		</v>
          </cell>
          <cell r="HD212">
            <v>1</v>
          </cell>
        </row>
        <row r="213">
          <cell r="A213" t="str">
            <v>KA0391</v>
          </cell>
          <cell r="B213" t="str">
            <v>ASKA_0181</v>
          </cell>
          <cell r="C213" t="str">
            <v>Apollo</v>
          </cell>
          <cell r="D213" t="str">
            <v>Robert</v>
          </cell>
          <cell r="E213" t="str">
            <v>Rommel Salamanca :09254439968</v>
          </cell>
          <cell r="F213" t="str">
            <v>Phyo Wai Maung</v>
          </cell>
          <cell r="G213" t="str">
            <v>Thant Zin Oo</v>
          </cell>
          <cell r="H213" t="str">
            <v>AMBER</v>
          </cell>
          <cell r="I213" t="str">
            <v>South</v>
          </cell>
          <cell r="J213" t="str">
            <v>98.2337</v>
          </cell>
          <cell r="K213" t="str">
            <v>16.5643</v>
          </cell>
          <cell r="L213" t="str">
            <v>SubUrban</v>
          </cell>
          <cell r="M213" t="str">
            <v>Kayin</v>
          </cell>
          <cell r="N213" t="str">
            <v>Kawkareik</v>
          </cell>
          <cell r="O213" t="str">
            <v>Kawkareik</v>
          </cell>
          <cell r="P213" t="str">
            <v>Kayin</v>
          </cell>
          <cell r="Q213" t="str">
            <v>21</v>
          </cell>
          <cell r="R213" t="str">
            <v>Kawkareik</v>
          </cell>
          <cell r="S213" t="str">
            <v>31</v>
          </cell>
          <cell r="T213" t="str">
            <v>GSM+UMTS</v>
          </cell>
          <cell r="U213" t="str">
            <v>MON-N003</v>
          </cell>
          <cell r="V213" t="str">
            <v>5.1</v>
          </cell>
          <cell r="W213" t="str">
            <v>Ph2-Priority</v>
          </cell>
          <cell r="X213" t="str">
            <v>40</v>
          </cell>
          <cell r="Y213" t="str">
            <v>42</v>
          </cell>
          <cell r="Z213" t="str">
            <v>GBT</v>
          </cell>
          <cell r="AA213" t="str">
            <v>250</v>
          </cell>
          <cell r="AB213" t="str">
            <v>Access</v>
          </cell>
          <cell r="AC213" t="str">
            <v>Class B</v>
          </cell>
          <cell r="AD213" t="str">
            <v>925</v>
          </cell>
          <cell r="AE213" t="str">
            <v>935</v>
          </cell>
          <cell r="AF213" t="str">
            <v>2</v>
          </cell>
          <cell r="AG213" t="str">
            <v>MO0088</v>
          </cell>
          <cell r="BC213" t="str">
            <v>MO0088</v>
          </cell>
          <cell r="BD213" t="str">
            <v>2</v>
          </cell>
          <cell r="BE213" t="str">
            <v>Route 2 Yangon -Mawlamyine</v>
          </cell>
          <cell r="BF213">
            <v>42003</v>
          </cell>
          <cell r="BG213">
            <v>41925</v>
          </cell>
          <cell r="BH213" t="str">
            <v>GTL</v>
          </cell>
          <cell r="BJ213">
            <v>42114</v>
          </cell>
          <cell r="BK213">
            <v>42121</v>
          </cell>
          <cell r="BL213">
            <v>42119</v>
          </cell>
          <cell r="BM213">
            <v>42156</v>
          </cell>
          <cell r="BQ213" t="str">
            <v>Railway</v>
          </cell>
          <cell r="BT213">
            <v>98</v>
          </cell>
          <cell r="BU213">
            <v>42139</v>
          </cell>
          <cell r="BV213">
            <v>42219</v>
          </cell>
          <cell r="BW213" t="str">
            <v>98.23319</v>
          </cell>
          <cell r="BX213" t="str">
            <v>16.56246</v>
          </cell>
          <cell r="BY213" t="str">
            <v>C3</v>
          </cell>
          <cell r="BZ213" t="str">
            <v>No-4 quarter, No-226, Kawkareik Township</v>
          </cell>
          <cell r="CA213" t="str">
            <v>Htun htun naing, 5840646/0949782154</v>
          </cell>
          <cell r="CB213" t="str">
            <v>03 Aug 15 : C3 SAR sub;15 June 15 : C2 SAR rejected( RND rejected because this site is far from population area and 360m far from the nominal point out off the SR as per TM radio suggestion. Please find the new candidate near the nominal point.); 11Jun15: C2 SAR Sub. C1 was garden land and owner backout. 5May15: C1 SAR Sub.</v>
          </cell>
          <cell r="CE213">
            <v>1</v>
          </cell>
          <cell r="CF213">
            <v>42140</v>
          </cell>
          <cell r="CG213">
            <v>42220</v>
          </cell>
          <cell r="CH213">
            <v>42142</v>
          </cell>
          <cell r="CJ213">
            <v>42220</v>
          </cell>
          <cell r="CK213" t="str">
            <v>40</v>
          </cell>
          <cell r="CL213" t="str">
            <v>42</v>
          </cell>
          <cell r="CM213" t="str">
            <v>45</v>
          </cell>
          <cell r="CN213">
            <v>2</v>
          </cell>
          <cell r="CO213">
            <v>42145</v>
          </cell>
          <cell r="CP213">
            <v>42222</v>
          </cell>
          <cell r="CQ213" t="str">
            <v>M1: grid power + battery</v>
          </cell>
          <cell r="CR213">
            <v>6</v>
          </cell>
          <cell r="CS213">
            <v>42146</v>
          </cell>
          <cell r="CT213">
            <v>42228</v>
          </cell>
          <cell r="CU213" t="str">
            <v>KA0391</v>
          </cell>
          <cell r="DH213">
            <v>5</v>
          </cell>
          <cell r="DI213">
            <v>42163</v>
          </cell>
          <cell r="DJ213">
            <v>42157</v>
          </cell>
          <cell r="DK213">
            <v>42160</v>
          </cell>
          <cell r="DL213">
            <v>42186</v>
          </cell>
          <cell r="DM213">
            <v>42164</v>
          </cell>
          <cell r="DN213">
            <v>42186</v>
          </cell>
          <cell r="DO213">
            <v>0</v>
          </cell>
          <cell r="DP213">
            <v>42163</v>
          </cell>
          <cell r="DQ213">
            <v>42157</v>
          </cell>
          <cell r="DR213" t="str">
            <v>Thahton CDC</v>
          </cell>
          <cell r="DT213">
            <v>0</v>
          </cell>
          <cell r="DU213">
            <v>42178</v>
          </cell>
          <cell r="DW213">
            <v>0</v>
          </cell>
          <cell r="DY213">
            <v>42164</v>
          </cell>
          <cell r="DZ213">
            <v>42228</v>
          </cell>
          <cell r="EA213" t="str">
            <v>GTL</v>
          </cell>
          <cell r="ED213" t="str">
            <v xml:space="preserve">24Aug15 :PaingThu.Soe: Excavation ongoing.
</v>
          </cell>
          <cell r="EJ213">
            <v>5</v>
          </cell>
          <cell r="EK213">
            <v>42181</v>
          </cell>
          <cell r="EM213">
            <v>42182</v>
          </cell>
          <cell r="EQ213">
            <v>42191</v>
          </cell>
          <cell r="EW213">
            <v>5</v>
          </cell>
          <cell r="EX213">
            <v>42205</v>
          </cell>
          <cell r="EZ213">
            <v>42201</v>
          </cell>
          <cell r="FB213">
            <v>42203</v>
          </cell>
          <cell r="FD213">
            <v>41932</v>
          </cell>
          <cell r="FF213">
            <v>41939</v>
          </cell>
          <cell r="FH213">
            <v>41941</v>
          </cell>
          <cell r="FJ213">
            <v>41944</v>
          </cell>
          <cell r="FN213">
            <v>41948</v>
          </cell>
          <cell r="FP213">
            <v>41950</v>
          </cell>
          <cell r="FR213">
            <v>41964</v>
          </cell>
          <cell r="FU213">
            <v>42205</v>
          </cell>
          <cell r="FW213">
            <v>42205</v>
          </cell>
          <cell r="GJ213">
            <v>0</v>
          </cell>
          <cell r="GN213" t="str">
            <v>ERICSSON</v>
          </cell>
          <cell r="GS213" t="str">
            <v>4/4/4</v>
          </cell>
          <cell r="GU213" t="str">
            <v xml:space="preserve">		</v>
          </cell>
          <cell r="HD213">
            <v>1</v>
          </cell>
        </row>
        <row r="214">
          <cell r="A214" t="str">
            <v>KA0392</v>
          </cell>
          <cell r="B214" t="str">
            <v>ASKA_0182</v>
          </cell>
          <cell r="C214" t="str">
            <v>Apollo</v>
          </cell>
          <cell r="D214" t="str">
            <v>Robert</v>
          </cell>
          <cell r="F214" t="str">
            <v>Phyo Wai Maung</v>
          </cell>
          <cell r="G214" t="str">
            <v>Thant Zin Oo</v>
          </cell>
          <cell r="H214" t="str">
            <v>RED</v>
          </cell>
          <cell r="I214" t="str">
            <v>South</v>
          </cell>
          <cell r="J214" t="str">
            <v>98.3703</v>
          </cell>
          <cell r="K214" t="str">
            <v>15.3133</v>
          </cell>
          <cell r="L214" t="str">
            <v>SubUrban</v>
          </cell>
          <cell r="M214" t="str">
            <v>Kayin</v>
          </cell>
          <cell r="N214" t="str">
            <v>Kyainseikgyi</v>
          </cell>
          <cell r="O214" t="str">
            <v>Kyainseikgyi</v>
          </cell>
          <cell r="P214" t="str">
            <v>Kayin</v>
          </cell>
          <cell r="Q214" t="str">
            <v>21</v>
          </cell>
          <cell r="R214" t="str">
            <v>Kyainseikgyi</v>
          </cell>
          <cell r="S214" t="str">
            <v>32</v>
          </cell>
          <cell r="T214" t="str">
            <v>GSM+UMTS</v>
          </cell>
          <cell r="W214" t="str">
            <v>Ph2-Priority</v>
          </cell>
          <cell r="X214" t="str">
            <v>40</v>
          </cell>
          <cell r="Y214" t="str">
            <v>42</v>
          </cell>
          <cell r="Z214" t="str">
            <v>GBT</v>
          </cell>
          <cell r="AA214" t="str">
            <v>250</v>
          </cell>
          <cell r="AB214" t="str">
            <v>Access</v>
          </cell>
          <cell r="AC214" t="str">
            <v>Class B</v>
          </cell>
          <cell r="BE214" t="str">
            <v>Route 12 Taunggyi-Taungoo</v>
          </cell>
          <cell r="BH214" t="str">
            <v>GTL</v>
          </cell>
          <cell r="BJ214">
            <v>42168</v>
          </cell>
          <cell r="BK214">
            <v>42130</v>
          </cell>
          <cell r="BL214">
            <v>42173</v>
          </cell>
          <cell r="BM214">
            <v>42177</v>
          </cell>
          <cell r="BT214">
            <v>103</v>
          </cell>
          <cell r="BU214">
            <v>42189</v>
          </cell>
          <cell r="BV214">
            <v>42143</v>
          </cell>
          <cell r="BW214" t="str">
            <v>97.12601</v>
          </cell>
          <cell r="BX214" t="str">
            <v>19.4157</v>
          </cell>
          <cell r="BY214" t="str">
            <v>C2</v>
          </cell>
          <cell r="BZ214" t="str">
            <v>Hta/37,No(1) Street ,Htee Ta Ye Ward.</v>
          </cell>
          <cell r="CA214" t="str">
            <v>U Sal Kaw;Hta/37, Htee Ta Ye Ward, Hpruso Township;09 36094464,083 45053</v>
          </cell>
          <cell r="CB214" t="str">
            <v>1Jun15: C2 SAR Sub. C1 was Farmland. 13May15: C1 SAR Sub</v>
          </cell>
          <cell r="CE214">
            <v>0</v>
          </cell>
          <cell r="CF214">
            <v>42190</v>
          </cell>
          <cell r="CG214">
            <v>42144</v>
          </cell>
          <cell r="CH214">
            <v>42192</v>
          </cell>
          <cell r="CJ214">
            <v>42157</v>
          </cell>
          <cell r="CK214" t="str">
            <v>35</v>
          </cell>
          <cell r="CL214" t="str">
            <v>37</v>
          </cell>
          <cell r="CM214" t="str">
            <v>60</v>
          </cell>
          <cell r="CN214">
            <v>0</v>
          </cell>
          <cell r="CO214">
            <v>42195</v>
          </cell>
          <cell r="CP214">
            <v>42159</v>
          </cell>
          <cell r="CQ214" t="str">
            <v>M4: solar + DG + battery</v>
          </cell>
          <cell r="CR214">
            <v>0</v>
          </cell>
          <cell r="CS214">
            <v>42196</v>
          </cell>
          <cell r="CT214">
            <v>42164</v>
          </cell>
          <cell r="CU214" t="str">
            <v>KA0392</v>
          </cell>
          <cell r="DH214">
            <v>0</v>
          </cell>
          <cell r="DI214">
            <v>42206</v>
          </cell>
          <cell r="DK214">
            <v>42203</v>
          </cell>
          <cell r="DL214">
            <v>42180</v>
          </cell>
          <cell r="DM214">
            <v>42207</v>
          </cell>
          <cell r="DN214">
            <v>42180</v>
          </cell>
          <cell r="DO214">
            <v>0</v>
          </cell>
          <cell r="DP214">
            <v>42206</v>
          </cell>
          <cell r="DT214">
            <v>0</v>
          </cell>
          <cell r="DU214">
            <v>42221</v>
          </cell>
          <cell r="DW214">
            <v>0</v>
          </cell>
          <cell r="DY214">
            <v>42207</v>
          </cell>
          <cell r="DZ214">
            <v>42180</v>
          </cell>
          <cell r="EA214" t="str">
            <v>GTL</v>
          </cell>
          <cell r="ED214" t="str">
            <v>10Aug15 :PaingThu.Soe: 7-8-15 Erection done.Grounding done.Telecom installation making.Waiting Fiber.
03Aug15 :PaingThu.Soe: 29-7-15 Erection on going.Grounding making in progress.Power on site.
13Jul15 :PaingThu.Soe: 13-7-15 Footing done.Column pedestal done.</v>
          </cell>
          <cell r="EJ214">
            <v>0</v>
          </cell>
          <cell r="EK214">
            <v>42224</v>
          </cell>
          <cell r="EL214">
            <v>42192</v>
          </cell>
          <cell r="EM214">
            <v>42225</v>
          </cell>
          <cell r="EN214">
            <v>42200</v>
          </cell>
          <cell r="EQ214">
            <v>42234</v>
          </cell>
          <cell r="ER214">
            <v>42209</v>
          </cell>
          <cell r="ES214">
            <v>42199</v>
          </cell>
          <cell r="ET214">
            <v>42210</v>
          </cell>
          <cell r="EU214">
            <v>42210</v>
          </cell>
          <cell r="EW214">
            <v>0</v>
          </cell>
          <cell r="EX214">
            <v>42215</v>
          </cell>
          <cell r="EZ214">
            <v>42244</v>
          </cell>
          <cell r="FA214">
            <v>42207</v>
          </cell>
          <cell r="FB214">
            <v>42246</v>
          </cell>
          <cell r="FC214">
            <v>42210</v>
          </cell>
          <cell r="FE214">
            <v>42193</v>
          </cell>
          <cell r="FU214">
            <v>42248</v>
          </cell>
          <cell r="FW214">
            <v>42248</v>
          </cell>
          <cell r="FX214">
            <v>42211</v>
          </cell>
          <cell r="FY214" t="str">
            <v>AZM</v>
          </cell>
          <cell r="FZ214">
            <v>42212</v>
          </cell>
          <cell r="GA214">
            <v>42215</v>
          </cell>
          <cell r="GB214">
            <v>42217</v>
          </cell>
          <cell r="GC214">
            <v>42217</v>
          </cell>
          <cell r="GD214">
            <v>42217</v>
          </cell>
          <cell r="GE214">
            <v>42219</v>
          </cell>
          <cell r="GF214">
            <v>42219</v>
          </cell>
          <cell r="GG214">
            <v>42219</v>
          </cell>
          <cell r="GI214">
            <v>42246</v>
          </cell>
          <cell r="GJ214">
            <v>0</v>
          </cell>
          <cell r="GL214" t="str">
            <v>Fiber Dependency :: Fiber Termination Plan Today by Eagar</v>
          </cell>
          <cell r="GN214" t="str">
            <v>ERICSSON</v>
          </cell>
          <cell r="GQ214" t="str">
            <v xml:space="preserve">Fiber Dependency; </v>
          </cell>
          <cell r="GS214" t="str">
            <v>4/4/4</v>
          </cell>
          <cell r="GU214" t="str">
            <v xml:space="preserve">		</v>
          </cell>
          <cell r="HD214">
            <v>1</v>
          </cell>
        </row>
        <row r="215">
          <cell r="A215" t="str">
            <v>KA0397</v>
          </cell>
          <cell r="B215" t="str">
            <v>ASKA_0183</v>
          </cell>
          <cell r="C215" t="str">
            <v>Apollo</v>
          </cell>
          <cell r="D215" t="str">
            <v>Robert</v>
          </cell>
          <cell r="F215" t="str">
            <v>Phyo Wai Maung</v>
          </cell>
          <cell r="G215" t="str">
            <v>Thant Zin Oo</v>
          </cell>
          <cell r="H215" t="str">
            <v>AMBER</v>
          </cell>
          <cell r="I215" t="str">
            <v>South</v>
          </cell>
          <cell r="J215" t="str">
            <v>97.658</v>
          </cell>
          <cell r="K215" t="str">
            <v>17.3627</v>
          </cell>
          <cell r="L215" t="str">
            <v>SubUrban</v>
          </cell>
          <cell r="M215" t="str">
            <v>Kayin</v>
          </cell>
          <cell r="N215" t="str">
            <v>Hpapun</v>
          </cell>
          <cell r="O215" t="str">
            <v>Hpapun</v>
          </cell>
          <cell r="P215" t="str">
            <v>Kayin</v>
          </cell>
          <cell r="Q215" t="str">
            <v>21</v>
          </cell>
          <cell r="R215" t="str">
            <v>Hpapun</v>
          </cell>
          <cell r="S215" t="str">
            <v>28</v>
          </cell>
          <cell r="T215" t="str">
            <v>GSM+UMTS</v>
          </cell>
          <cell r="W215" t="str">
            <v>Ph2-Priority</v>
          </cell>
          <cell r="X215" t="str">
            <v>40</v>
          </cell>
          <cell r="Y215" t="str">
            <v>42</v>
          </cell>
          <cell r="Z215" t="str">
            <v>GBT</v>
          </cell>
          <cell r="AA215" t="str">
            <v>250</v>
          </cell>
          <cell r="AB215" t="str">
            <v>Access</v>
          </cell>
          <cell r="AC215" t="str">
            <v>Class B</v>
          </cell>
          <cell r="BE215" t="str">
            <v>Route 1 Yangon - Mandalay</v>
          </cell>
          <cell r="BH215" t="str">
            <v>GTL</v>
          </cell>
          <cell r="BJ215">
            <v>42128</v>
          </cell>
          <cell r="BK215">
            <v>42121</v>
          </cell>
          <cell r="BL215">
            <v>42133</v>
          </cell>
          <cell r="BM215">
            <v>42147</v>
          </cell>
          <cell r="BT215">
            <v>36</v>
          </cell>
          <cell r="BU215">
            <v>42136</v>
          </cell>
          <cell r="BV215">
            <v>42157</v>
          </cell>
          <cell r="BW215" t="str">
            <v>97.65873</v>
          </cell>
          <cell r="BX215" t="str">
            <v>17.36244</v>
          </cell>
          <cell r="BY215" t="str">
            <v>C2</v>
          </cell>
          <cell r="BZ215" t="str">
            <v>Ohm Taw Kannar Street, No-2 Ward, Kamar Maung Township.</v>
          </cell>
          <cell r="CA215" t="str">
            <v>U Saw Kyaw Min;Ohm Taw Kannar Street, No-2 Ward, Kamar Maung Township;09 49780713</v>
          </cell>
          <cell r="CB215" t="str">
            <v>1Jun15: C2 SAR Sub. C1 was Farmland. 13May15: C1 SAR Sub</v>
          </cell>
          <cell r="CE215">
            <v>0</v>
          </cell>
          <cell r="CF215">
            <v>42137</v>
          </cell>
          <cell r="CG215">
            <v>42157</v>
          </cell>
          <cell r="CH215">
            <v>42163</v>
          </cell>
          <cell r="CJ215">
            <v>42157</v>
          </cell>
          <cell r="CK215" t="str">
            <v>40</v>
          </cell>
          <cell r="CL215" t="str">
            <v>42</v>
          </cell>
          <cell r="CM215" t="str">
            <v>45</v>
          </cell>
          <cell r="CN215">
            <v>2</v>
          </cell>
          <cell r="CO215">
            <v>42166</v>
          </cell>
          <cell r="CP215">
            <v>42159</v>
          </cell>
          <cell r="CQ215" t="str">
            <v>M4: solar + DG + battery</v>
          </cell>
          <cell r="CR215">
            <v>5</v>
          </cell>
          <cell r="CS215">
            <v>42167</v>
          </cell>
          <cell r="CT215">
            <v>42164</v>
          </cell>
          <cell r="CU215" t="str">
            <v>KA0397</v>
          </cell>
          <cell r="DH215">
            <v>45</v>
          </cell>
          <cell r="DI215">
            <v>42177</v>
          </cell>
          <cell r="DJ215">
            <v>42209</v>
          </cell>
          <cell r="DK215">
            <v>42174</v>
          </cell>
          <cell r="DL215">
            <v>42242</v>
          </cell>
          <cell r="DM215">
            <v>42178</v>
          </cell>
          <cell r="DN215">
            <v>42193</v>
          </cell>
          <cell r="DO215">
            <v>0</v>
          </cell>
          <cell r="DP215">
            <v>42177</v>
          </cell>
          <cell r="DQ215">
            <v>42209</v>
          </cell>
          <cell r="DT215">
            <v>24</v>
          </cell>
          <cell r="DU215">
            <v>42192</v>
          </cell>
          <cell r="DV215">
            <v>42196</v>
          </cell>
          <cell r="DW215">
            <v>0</v>
          </cell>
          <cell r="DY215">
            <v>42178</v>
          </cell>
          <cell r="DZ215">
            <v>42208</v>
          </cell>
          <cell r="EA215" t="str">
            <v>GTL</v>
          </cell>
          <cell r="EB215">
            <v>42215</v>
          </cell>
          <cell r="ED215" t="str">
            <v xml:space="preserve">10Aug15 :PaingThu.Soe: 7-8-15 Excavation done.
</v>
          </cell>
          <cell r="EE215" t="str">
            <v xml:space="preserve">10 Aug 15:Flood affected_Hold-No access; 30-Jul-15:  Excaveted Pit &amp; Area is fully flooded.								</v>
          </cell>
          <cell r="EJ215">
            <v>25</v>
          </cell>
          <cell r="EK215">
            <v>42195</v>
          </cell>
          <cell r="EL215">
            <v>42250</v>
          </cell>
          <cell r="EM215">
            <v>42196</v>
          </cell>
          <cell r="EN215">
            <v>42234</v>
          </cell>
          <cell r="EQ215">
            <v>42205</v>
          </cell>
          <cell r="ES215">
            <v>42220</v>
          </cell>
          <cell r="EW215">
            <v>25</v>
          </cell>
          <cell r="EX215">
            <v>42219</v>
          </cell>
          <cell r="EZ215">
            <v>42215</v>
          </cell>
          <cell r="FB215">
            <v>42217</v>
          </cell>
          <cell r="FU215">
            <v>42219</v>
          </cell>
          <cell r="FW215">
            <v>42219</v>
          </cell>
          <cell r="FY215" t="str">
            <v>TN</v>
          </cell>
          <cell r="GI215">
            <v>42307</v>
          </cell>
          <cell r="GJ215" t="str">
            <v>44-2015</v>
          </cell>
          <cell r="GN215" t="str">
            <v>ERICSSON</v>
          </cell>
          <cell r="GO215">
            <v>42185</v>
          </cell>
          <cell r="GS215" t="str">
            <v>4/4/4</v>
          </cell>
          <cell r="GU215" t="str">
            <v xml:space="preserve">		</v>
          </cell>
          <cell r="HD215">
            <v>1</v>
          </cell>
        </row>
        <row r="216">
          <cell r="A216" t="str">
            <v>KC0071</v>
          </cell>
          <cell r="B216" t="str">
            <v>ANKC_0001</v>
          </cell>
          <cell r="C216" t="str">
            <v>Apollo</v>
          </cell>
          <cell r="D216" t="str">
            <v>Adriaan Coetsee</v>
          </cell>
          <cell r="F216" t="str">
            <v>Aung Thu Win</v>
          </cell>
          <cell r="G216" t="str">
            <v>Shine Ko Ko</v>
          </cell>
          <cell r="H216" t="str">
            <v>RED</v>
          </cell>
          <cell r="I216" t="str">
            <v>North</v>
          </cell>
          <cell r="J216" t="str">
            <v>97.48326</v>
          </cell>
          <cell r="K216" t="str">
            <v>24.806614</v>
          </cell>
          <cell r="L216" t="str">
            <v>Highway</v>
          </cell>
          <cell r="M216" t="str">
            <v>Kachin</v>
          </cell>
          <cell r="N216" t="str">
            <v>Momauk</v>
          </cell>
          <cell r="O216" t="str">
            <v>Momauk</v>
          </cell>
          <cell r="P216" t="str">
            <v>Kachin</v>
          </cell>
          <cell r="Q216" t="str">
            <v>1</v>
          </cell>
          <cell r="R216" t="str">
            <v>Momauk</v>
          </cell>
          <cell r="S216" t="str">
            <v>12</v>
          </cell>
          <cell r="T216" t="str">
            <v>GSM+UMTS</v>
          </cell>
          <cell r="W216" t="str">
            <v>Ph2-Priority</v>
          </cell>
          <cell r="X216" t="str">
            <v>55</v>
          </cell>
          <cell r="Y216" t="str">
            <v>57</v>
          </cell>
          <cell r="Z216" t="str">
            <v>GBT</v>
          </cell>
          <cell r="AA216" t="str">
            <v>500</v>
          </cell>
          <cell r="AB216" t="str">
            <v>Access</v>
          </cell>
          <cell r="AC216" t="str">
            <v>Class C</v>
          </cell>
          <cell r="BE216" t="str">
            <v>Route 19 Myitkyina - Bhamo - Muse</v>
          </cell>
          <cell r="BH216" t="str">
            <v>Camusat</v>
          </cell>
          <cell r="BJ216">
            <v>42172</v>
          </cell>
          <cell r="BK216">
            <v>42167</v>
          </cell>
          <cell r="BL216">
            <v>42177</v>
          </cell>
          <cell r="BM216">
            <v>42174</v>
          </cell>
          <cell r="BT216">
            <v>66</v>
          </cell>
          <cell r="BU216">
            <v>42264</v>
          </cell>
          <cell r="BV216">
            <v>42222</v>
          </cell>
          <cell r="BW216" t="str">
            <v>96.43357</v>
          </cell>
          <cell r="BX216" t="str">
            <v>17.25725</v>
          </cell>
          <cell r="BY216" t="str">
            <v>C4</v>
          </cell>
          <cell r="CB216" t="str">
            <v>6 Aug 15 : C4 SAR sub( C2, C3 out of search ring);24 June 15 : C1 SAR rejected( RND rejected this candidate because it is 19.38km far from the nominal.);20Jun15: C1 SAR Sub</v>
          </cell>
          <cell r="CC216" t="str">
            <v>GARDEN LAND</v>
          </cell>
          <cell r="CE216">
            <v>0</v>
          </cell>
          <cell r="CF216">
            <v>42265</v>
          </cell>
          <cell r="CG216">
            <v>42230</v>
          </cell>
          <cell r="CH216">
            <v>42267</v>
          </cell>
          <cell r="CN216">
            <v>0</v>
          </cell>
          <cell r="CO216">
            <v>42270</v>
          </cell>
          <cell r="CQ216" t="str">
            <v>M4: solar + DG + battery</v>
          </cell>
          <cell r="CR216">
            <v>0</v>
          </cell>
          <cell r="CS216">
            <v>42271</v>
          </cell>
          <cell r="CU216" t="str">
            <v>KC0071</v>
          </cell>
          <cell r="DH216">
            <v>0</v>
          </cell>
          <cell r="DI216">
            <v>42281</v>
          </cell>
          <cell r="DK216">
            <v>42278</v>
          </cell>
          <cell r="DM216">
            <v>42282</v>
          </cell>
          <cell r="DO216">
            <v>0</v>
          </cell>
          <cell r="DP216">
            <v>42281</v>
          </cell>
          <cell r="DT216">
            <v>0</v>
          </cell>
          <cell r="DU216">
            <v>42296</v>
          </cell>
          <cell r="DW216">
            <v>0</v>
          </cell>
          <cell r="DY216">
            <v>42282</v>
          </cell>
          <cell r="EA216" t="str">
            <v>Camusat</v>
          </cell>
          <cell r="EJ216">
            <v>0</v>
          </cell>
          <cell r="EK216">
            <v>42304</v>
          </cell>
          <cell r="EM216">
            <v>42305</v>
          </cell>
          <cell r="EQ216">
            <v>42317</v>
          </cell>
          <cell r="EW216">
            <v>0</v>
          </cell>
          <cell r="EX216">
            <v>42331</v>
          </cell>
          <cell r="EZ216">
            <v>42327</v>
          </cell>
          <cell r="FB216">
            <v>42329</v>
          </cell>
          <cell r="FU216">
            <v>42331</v>
          </cell>
          <cell r="FW216">
            <v>42331</v>
          </cell>
          <cell r="GJ216">
            <v>0</v>
          </cell>
          <cell r="GN216" t="str">
            <v>ERICSSON</v>
          </cell>
          <cell r="GU216" t="str">
            <v xml:space="preserve">		</v>
          </cell>
          <cell r="HD216">
            <v>1</v>
          </cell>
        </row>
        <row r="217">
          <cell r="A217" t="str">
            <v>KC0082</v>
          </cell>
          <cell r="B217" t="str">
            <v>ANKC_0002</v>
          </cell>
          <cell r="C217" t="str">
            <v>Apollo</v>
          </cell>
          <cell r="D217" t="str">
            <v>Adriaan Coetsee</v>
          </cell>
          <cell r="F217" t="str">
            <v>Aung Thu Win</v>
          </cell>
          <cell r="G217" t="str">
            <v>Shine Ko Ko</v>
          </cell>
          <cell r="H217" t="str">
            <v>RED</v>
          </cell>
          <cell r="I217" t="str">
            <v>North</v>
          </cell>
          <cell r="J217" t="str">
            <v>97.529102</v>
          </cell>
          <cell r="K217" t="str">
            <v>23.901209</v>
          </cell>
          <cell r="L217" t="str">
            <v>Highway</v>
          </cell>
          <cell r="M217" t="str">
            <v>Kachin</v>
          </cell>
          <cell r="N217" t="str">
            <v>Mansi</v>
          </cell>
          <cell r="O217" t="str">
            <v>Mansi</v>
          </cell>
          <cell r="P217" t="str">
            <v>Kachin</v>
          </cell>
          <cell r="Q217" t="str">
            <v>1</v>
          </cell>
          <cell r="R217" t="str">
            <v>Mansi</v>
          </cell>
          <cell r="S217" t="str">
            <v>13</v>
          </cell>
          <cell r="T217" t="str">
            <v>GSM+UMTS</v>
          </cell>
          <cell r="W217" t="str">
            <v>Ph2-Priority</v>
          </cell>
          <cell r="X217" t="str">
            <v>45</v>
          </cell>
          <cell r="Y217" t="str">
            <v>47</v>
          </cell>
          <cell r="Z217" t="str">
            <v>GBT</v>
          </cell>
          <cell r="AA217" t="str">
            <v>500</v>
          </cell>
          <cell r="AB217" t="str">
            <v>Access</v>
          </cell>
          <cell r="AC217" t="str">
            <v>Class C</v>
          </cell>
          <cell r="BE217" t="str">
            <v>Route 19 Myitkyina - Bhamo - Muse</v>
          </cell>
          <cell r="BH217" t="str">
            <v>Camusat</v>
          </cell>
          <cell r="BJ217">
            <v>42172</v>
          </cell>
          <cell r="BK217">
            <v>42121</v>
          </cell>
          <cell r="BL217">
            <v>42177</v>
          </cell>
          <cell r="BM217">
            <v>42124</v>
          </cell>
          <cell r="BT217">
            <v>78</v>
          </cell>
          <cell r="BU217">
            <v>42251</v>
          </cell>
          <cell r="BV217">
            <v>42199</v>
          </cell>
          <cell r="BW217" t="str">
            <v>95.35024</v>
          </cell>
          <cell r="BX217" t="str">
            <v>18.32975</v>
          </cell>
          <cell r="BY217" t="str">
            <v>C4</v>
          </cell>
          <cell r="BZ217" t="str">
            <v>N0(45).Taung Yar Phyar Village, Sin Khaung village track,Moe Nyo township,Tharyarwady distinct ,Bago division</v>
          </cell>
          <cell r="CA217" t="str">
            <v>U Thant Zin Oo;N0(45).Taung Yar Phyar Village, Sin Khaung village track,Moe Nyo township,Tharyarwady distinct ,Bago division;09 250414508</v>
          </cell>
          <cell r="CB217" t="str">
            <v>14 July 15 : C4 SAR sub;12 May 15 : C1 SAR app;10May15: C1 SAR Sub.</v>
          </cell>
          <cell r="CC217" t="str">
            <v>RESIDENTIAL</v>
          </cell>
          <cell r="CE217">
            <v>0</v>
          </cell>
          <cell r="CF217">
            <v>42252</v>
          </cell>
          <cell r="CG217">
            <v>42200</v>
          </cell>
          <cell r="CH217">
            <v>42254</v>
          </cell>
          <cell r="CN217">
            <v>0</v>
          </cell>
          <cell r="CO217">
            <v>42257</v>
          </cell>
          <cell r="CQ217" t="str">
            <v>M4: solar + DG + battery</v>
          </cell>
          <cell r="CR217">
            <v>0</v>
          </cell>
          <cell r="CS217">
            <v>42258</v>
          </cell>
          <cell r="CU217" t="str">
            <v>KC0082</v>
          </cell>
          <cell r="DH217">
            <v>0</v>
          </cell>
          <cell r="DI217">
            <v>42268</v>
          </cell>
          <cell r="DK217">
            <v>42265</v>
          </cell>
          <cell r="DM217">
            <v>42269</v>
          </cell>
          <cell r="DO217">
            <v>0</v>
          </cell>
          <cell r="DP217">
            <v>42268</v>
          </cell>
          <cell r="DT217">
            <v>0</v>
          </cell>
          <cell r="DU217">
            <v>42283</v>
          </cell>
          <cell r="DW217">
            <v>0</v>
          </cell>
          <cell r="DY217">
            <v>42269</v>
          </cell>
          <cell r="EA217" t="str">
            <v>Camusat</v>
          </cell>
          <cell r="EJ217">
            <v>0</v>
          </cell>
          <cell r="EK217">
            <v>42286</v>
          </cell>
          <cell r="EM217">
            <v>42287</v>
          </cell>
          <cell r="EQ217">
            <v>42296</v>
          </cell>
          <cell r="EW217">
            <v>0</v>
          </cell>
          <cell r="EX217">
            <v>42310</v>
          </cell>
          <cell r="EZ217">
            <v>42306</v>
          </cell>
          <cell r="FB217">
            <v>42308</v>
          </cell>
          <cell r="FU217">
            <v>42310</v>
          </cell>
          <cell r="FW217">
            <v>42310</v>
          </cell>
          <cell r="GJ217">
            <v>0</v>
          </cell>
          <cell r="GN217" t="str">
            <v>ERICSSON</v>
          </cell>
          <cell r="GU217" t="str">
            <v xml:space="preserve">		</v>
          </cell>
          <cell r="HD217">
            <v>1</v>
          </cell>
        </row>
        <row r="218">
          <cell r="A218" t="str">
            <v>KC0270</v>
          </cell>
          <cell r="B218" t="str">
            <v>ANKC_0003</v>
          </cell>
          <cell r="C218" t="str">
            <v>Apollo</v>
          </cell>
          <cell r="D218" t="str">
            <v>Adriaan Coetsee</v>
          </cell>
          <cell r="F218" t="str">
            <v>Aung Thu Win</v>
          </cell>
          <cell r="G218" t="str">
            <v>Shine Ko Ko</v>
          </cell>
          <cell r="H218" t="str">
            <v>RED</v>
          </cell>
          <cell r="I218" t="str">
            <v>North</v>
          </cell>
          <cell r="J218" t="str">
            <v>97.2367</v>
          </cell>
          <cell r="K218" t="str">
            <v>24.2711</v>
          </cell>
          <cell r="L218" t="str">
            <v>SubUrban</v>
          </cell>
          <cell r="M218" t="str">
            <v>Kachin</v>
          </cell>
          <cell r="N218" t="str">
            <v>Bhamo</v>
          </cell>
          <cell r="O218" t="str">
            <v>Bhamo</v>
          </cell>
          <cell r="P218" t="str">
            <v>Kachin</v>
          </cell>
          <cell r="Q218" t="str">
            <v>1</v>
          </cell>
          <cell r="R218" t="str">
            <v>Bhamo</v>
          </cell>
          <cell r="S218" t="str">
            <v>10</v>
          </cell>
          <cell r="T218" t="str">
            <v>GSM+UMTS</v>
          </cell>
          <cell r="W218" t="str">
            <v>Ph2-Priority</v>
          </cell>
          <cell r="X218" t="str">
            <v>35</v>
          </cell>
          <cell r="Y218" t="str">
            <v>37</v>
          </cell>
          <cell r="Z218" t="str">
            <v>GBT</v>
          </cell>
          <cell r="AA218" t="str">
            <v>250</v>
          </cell>
          <cell r="AB218" t="str">
            <v>Access</v>
          </cell>
          <cell r="AC218" t="str">
            <v>Class B</v>
          </cell>
          <cell r="BE218" t="str">
            <v>Myitkyina - Bhamo - Muse</v>
          </cell>
          <cell r="BH218" t="str">
            <v>Camusat</v>
          </cell>
          <cell r="BJ218">
            <v>42172</v>
          </cell>
          <cell r="BK218">
            <v>42167</v>
          </cell>
          <cell r="BL218">
            <v>42177</v>
          </cell>
          <cell r="BM218">
            <v>42174</v>
          </cell>
          <cell r="BT218">
            <v>37</v>
          </cell>
          <cell r="BU218">
            <v>42276</v>
          </cell>
          <cell r="BV218">
            <v>42204</v>
          </cell>
          <cell r="BW218" t="str">
            <v>97.23732</v>
          </cell>
          <cell r="BX218" t="str">
            <v>24.27025</v>
          </cell>
          <cell r="BY218" t="str">
            <v>C1</v>
          </cell>
          <cell r="BZ218" t="str">
            <v>Thasa(978), Pin Sin Kone Quarter, Ashae Tharse, Bhamo Township, Kachin State</v>
          </cell>
          <cell r="CA218" t="str">
            <v>U Than Htike Aung</v>
          </cell>
          <cell r="CB218" t="str">
            <v>24 June 15 :C01-TSSR_REV1 submission(Correction of antenna height); delete earlier TSSR submission date(21 June 15); 5June15: C1 SAR Sub</v>
          </cell>
          <cell r="CC218" t="str">
            <v>Town</v>
          </cell>
          <cell r="CE218">
            <v>2</v>
          </cell>
          <cell r="CF218">
            <v>42277</v>
          </cell>
          <cell r="CG218">
            <v>42206</v>
          </cell>
          <cell r="CH218">
            <v>42279</v>
          </cell>
          <cell r="CJ218">
            <v>42227</v>
          </cell>
          <cell r="CK218" t="str">
            <v>35</v>
          </cell>
          <cell r="CL218" t="str">
            <v>37</v>
          </cell>
          <cell r="CM218" t="str">
            <v>40</v>
          </cell>
          <cell r="CN218">
            <v>23</v>
          </cell>
          <cell r="CO218">
            <v>42282</v>
          </cell>
          <cell r="CP218">
            <v>42229</v>
          </cell>
          <cell r="CQ218" t="str">
            <v>M1: grid power + battery</v>
          </cell>
          <cell r="CR218">
            <v>4</v>
          </cell>
          <cell r="CS218">
            <v>42283</v>
          </cell>
          <cell r="CT218">
            <v>42234</v>
          </cell>
          <cell r="CU218" t="str">
            <v>KC0270</v>
          </cell>
          <cell r="DH218">
            <v>0</v>
          </cell>
          <cell r="DI218">
            <v>42293</v>
          </cell>
          <cell r="DJ218">
            <v>42194</v>
          </cell>
          <cell r="DK218">
            <v>42290</v>
          </cell>
          <cell r="DL218">
            <v>42178</v>
          </cell>
          <cell r="DM218">
            <v>42294</v>
          </cell>
          <cell r="DN218">
            <v>42178</v>
          </cell>
          <cell r="DO218">
            <v>0</v>
          </cell>
          <cell r="DP218">
            <v>42293</v>
          </cell>
          <cell r="DQ218">
            <v>42194</v>
          </cell>
          <cell r="DT218">
            <v>0</v>
          </cell>
          <cell r="DU218">
            <v>42308</v>
          </cell>
          <cell r="DW218">
            <v>0</v>
          </cell>
          <cell r="DY218">
            <v>42294</v>
          </cell>
          <cell r="DZ218">
            <v>42178</v>
          </cell>
          <cell r="EA218" t="str">
            <v>Camusat</v>
          </cell>
          <cell r="ED218" t="str">
            <v xml:space="preserve">17Aug15 :SiThu.Moe: 4/8/15:Tower foundation is ongoing.Tower materials are at site.
</v>
          </cell>
          <cell r="EE218" t="str">
            <v xml:space="preserve">10 Aug 15:Rain affected_Progress affected; 3-Aug-15: Foundation casted. Equipment slab to proceed. 2. Rain affected_ Site is progressing but rain is affecting the work every day.								</v>
          </cell>
          <cell r="EJ218">
            <v>0</v>
          </cell>
          <cell r="EK218">
            <v>42309</v>
          </cell>
          <cell r="EL218">
            <v>42227</v>
          </cell>
          <cell r="EM218">
            <v>42310</v>
          </cell>
          <cell r="EN218">
            <v>42206</v>
          </cell>
          <cell r="EQ218">
            <v>42317</v>
          </cell>
          <cell r="ER218">
            <v>42234</v>
          </cell>
          <cell r="ES218">
            <v>42227</v>
          </cell>
          <cell r="ET218">
            <v>42234</v>
          </cell>
          <cell r="EU218">
            <v>42234</v>
          </cell>
          <cell r="EW218">
            <v>0</v>
          </cell>
          <cell r="EX218">
            <v>42331</v>
          </cell>
          <cell r="EZ218">
            <v>42327</v>
          </cell>
          <cell r="FA218">
            <v>42233</v>
          </cell>
          <cell r="FB218">
            <v>42329</v>
          </cell>
          <cell r="FC218">
            <v>42234</v>
          </cell>
          <cell r="FU218">
            <v>42331</v>
          </cell>
          <cell r="FW218">
            <v>42331</v>
          </cell>
          <cell r="FX218">
            <v>42234</v>
          </cell>
          <cell r="FY218" t="str">
            <v>UT</v>
          </cell>
          <cell r="FZ218">
            <v>42230</v>
          </cell>
          <cell r="GI218">
            <v>42277</v>
          </cell>
          <cell r="GJ218">
            <v>0</v>
          </cell>
          <cell r="GN218" t="str">
            <v>ERICSSON</v>
          </cell>
          <cell r="HD218">
            <v>1</v>
          </cell>
        </row>
        <row r="219">
          <cell r="A219" t="str">
            <v>KC0271</v>
          </cell>
          <cell r="B219" t="str">
            <v>ANKC_0004</v>
          </cell>
          <cell r="C219" t="str">
            <v>Apollo</v>
          </cell>
          <cell r="D219" t="str">
            <v>Adriaan Coetsee</v>
          </cell>
          <cell r="F219" t="str">
            <v>Aung Thu Win</v>
          </cell>
          <cell r="G219" t="str">
            <v>Shine Ko Ko</v>
          </cell>
          <cell r="H219" t="str">
            <v>RED</v>
          </cell>
          <cell r="I219" t="str">
            <v>North</v>
          </cell>
          <cell r="J219" t="str">
            <v>97.2253</v>
          </cell>
          <cell r="K219" t="str">
            <v>24.2671</v>
          </cell>
          <cell r="L219" t="str">
            <v>SubUrban</v>
          </cell>
          <cell r="M219" t="str">
            <v>Kachin</v>
          </cell>
          <cell r="N219" t="str">
            <v>Bhamo</v>
          </cell>
          <cell r="O219" t="str">
            <v>Bhamo</v>
          </cell>
          <cell r="P219" t="str">
            <v>Kachin</v>
          </cell>
          <cell r="Q219" t="str">
            <v>1</v>
          </cell>
          <cell r="R219" t="str">
            <v>Bhamo</v>
          </cell>
          <cell r="S219" t="str">
            <v>10</v>
          </cell>
          <cell r="T219" t="str">
            <v>GSM+UMTS</v>
          </cell>
          <cell r="W219" t="str">
            <v>Ph2-Priority</v>
          </cell>
          <cell r="X219" t="str">
            <v>35</v>
          </cell>
          <cell r="Y219" t="str">
            <v>37</v>
          </cell>
          <cell r="Z219" t="str">
            <v>GBT</v>
          </cell>
          <cell r="AA219" t="str">
            <v>250</v>
          </cell>
          <cell r="AB219" t="str">
            <v>Access</v>
          </cell>
          <cell r="AC219" t="str">
            <v>Class B</v>
          </cell>
          <cell r="BE219" t="str">
            <v>Myitkyina - Bhamo - Muse</v>
          </cell>
          <cell r="BH219" t="str">
            <v>Camusat</v>
          </cell>
          <cell r="BJ219">
            <v>42172</v>
          </cell>
          <cell r="BK219">
            <v>42167</v>
          </cell>
          <cell r="BL219">
            <v>42177</v>
          </cell>
          <cell r="BM219">
            <v>42174</v>
          </cell>
          <cell r="BT219">
            <v>38</v>
          </cell>
          <cell r="BU219">
            <v>42276</v>
          </cell>
          <cell r="BV219">
            <v>42205</v>
          </cell>
          <cell r="BW219" t="str">
            <v>97.22516</v>
          </cell>
          <cell r="BX219" t="str">
            <v>24.26892</v>
          </cell>
          <cell r="BY219" t="str">
            <v>C1</v>
          </cell>
          <cell r="BZ219" t="str">
            <v>MaKaKa(94), Min Kaung Kone Quarter, Bamaw Township, Kachin Township.</v>
          </cell>
          <cell r="CA219" t="str">
            <v>U Paw Lu</v>
          </cell>
          <cell r="CB219" t="str">
            <v>18 Aug 15 : C1 TSSR and SAR rev 1 app;20 July 15:C1-SAR Submission</v>
          </cell>
          <cell r="CC219" t="str">
            <v>Village</v>
          </cell>
          <cell r="CE219">
            <v>1</v>
          </cell>
          <cell r="CF219">
            <v>42277</v>
          </cell>
          <cell r="CG219">
            <v>42206</v>
          </cell>
          <cell r="CH219">
            <v>42279</v>
          </cell>
          <cell r="CJ219">
            <v>42227</v>
          </cell>
          <cell r="CK219" t="str">
            <v>35</v>
          </cell>
          <cell r="CL219" t="str">
            <v>37</v>
          </cell>
          <cell r="CM219" t="str">
            <v>40</v>
          </cell>
          <cell r="CN219">
            <v>23</v>
          </cell>
          <cell r="CO219">
            <v>42282</v>
          </cell>
          <cell r="CP219">
            <v>42229</v>
          </cell>
          <cell r="CQ219" t="str">
            <v>M1: grid power + battery</v>
          </cell>
          <cell r="CR219">
            <v>4</v>
          </cell>
          <cell r="CS219">
            <v>42283</v>
          </cell>
          <cell r="CT219">
            <v>42234</v>
          </cell>
          <cell r="CU219" t="str">
            <v>KC0271</v>
          </cell>
          <cell r="DH219">
            <v>0</v>
          </cell>
          <cell r="DI219">
            <v>42293</v>
          </cell>
          <cell r="DK219">
            <v>42290</v>
          </cell>
          <cell r="DL219">
            <v>42201</v>
          </cell>
          <cell r="DM219">
            <v>42294</v>
          </cell>
          <cell r="DO219">
            <v>0</v>
          </cell>
          <cell r="DP219">
            <v>42293</v>
          </cell>
          <cell r="DT219">
            <v>0</v>
          </cell>
          <cell r="DU219">
            <v>42308</v>
          </cell>
          <cell r="DW219">
            <v>0</v>
          </cell>
          <cell r="DY219">
            <v>42294</v>
          </cell>
          <cell r="EA219" t="str">
            <v>Camusat</v>
          </cell>
          <cell r="EJ219">
            <v>0</v>
          </cell>
          <cell r="EK219">
            <v>42309</v>
          </cell>
          <cell r="EM219">
            <v>42310</v>
          </cell>
          <cell r="EQ219">
            <v>42317</v>
          </cell>
          <cell r="EW219">
            <v>0</v>
          </cell>
          <cell r="EX219">
            <v>42331</v>
          </cell>
          <cell r="EZ219">
            <v>42327</v>
          </cell>
          <cell r="FB219">
            <v>42329</v>
          </cell>
          <cell r="FU219">
            <v>42331</v>
          </cell>
          <cell r="FW219">
            <v>42331</v>
          </cell>
          <cell r="GI219">
            <v>42246</v>
          </cell>
          <cell r="GJ219">
            <v>0</v>
          </cell>
          <cell r="GN219" t="str">
            <v>ERICSSON</v>
          </cell>
          <cell r="HD219">
            <v>1</v>
          </cell>
        </row>
        <row r="220">
          <cell r="A220" t="str">
            <v>KC0272</v>
          </cell>
          <cell r="B220" t="str">
            <v>ANKC_0005</v>
          </cell>
          <cell r="C220" t="str">
            <v>Apollo</v>
          </cell>
          <cell r="D220" t="str">
            <v>Adriaan Coetsee</v>
          </cell>
          <cell r="F220" t="str">
            <v>Aung Thu Win</v>
          </cell>
          <cell r="G220" t="str">
            <v>Shine Ko Ko</v>
          </cell>
          <cell r="H220" t="str">
            <v>RED</v>
          </cell>
          <cell r="I220" t="str">
            <v>North</v>
          </cell>
          <cell r="J220" t="str">
            <v>97.2343</v>
          </cell>
          <cell r="K220" t="str">
            <v>24.2302</v>
          </cell>
          <cell r="L220" t="str">
            <v>SubUrban</v>
          </cell>
          <cell r="M220" t="str">
            <v>Kachin</v>
          </cell>
          <cell r="N220" t="str">
            <v>Bhamo</v>
          </cell>
          <cell r="O220" t="str">
            <v>Bhamo</v>
          </cell>
          <cell r="P220" t="str">
            <v>Kachin</v>
          </cell>
          <cell r="Q220" t="str">
            <v>1</v>
          </cell>
          <cell r="R220" t="str">
            <v>Bhamo</v>
          </cell>
          <cell r="S220" t="str">
            <v>10</v>
          </cell>
          <cell r="T220" t="str">
            <v>GSM+UMTS</v>
          </cell>
          <cell r="W220" t="str">
            <v>Ph2-Priority</v>
          </cell>
          <cell r="X220" t="str">
            <v>35</v>
          </cell>
          <cell r="Y220" t="str">
            <v>37</v>
          </cell>
          <cell r="Z220" t="str">
            <v>GBT</v>
          </cell>
          <cell r="AA220" t="str">
            <v>250</v>
          </cell>
          <cell r="AB220" t="str">
            <v>Access</v>
          </cell>
          <cell r="AC220" t="str">
            <v>Class B</v>
          </cell>
          <cell r="BE220" t="str">
            <v>Myitkyina - Bhamo - Muse</v>
          </cell>
          <cell r="BH220" t="str">
            <v>Camusat</v>
          </cell>
          <cell r="BJ220">
            <v>42172</v>
          </cell>
          <cell r="BK220">
            <v>42167</v>
          </cell>
          <cell r="BL220">
            <v>42177</v>
          </cell>
          <cell r="BM220">
            <v>42174</v>
          </cell>
          <cell r="BT220">
            <v>38</v>
          </cell>
          <cell r="BU220">
            <v>42276</v>
          </cell>
          <cell r="BV220">
            <v>42205</v>
          </cell>
          <cell r="BW220" t="str">
            <v>97.2332</v>
          </cell>
          <cell r="BX220" t="str">
            <v>24.22503</v>
          </cell>
          <cell r="BY220" t="str">
            <v>C1</v>
          </cell>
          <cell r="BZ220" t="str">
            <v>Kone Ma Hat Village , Ba Maw Township, KaChin State.</v>
          </cell>
          <cell r="CA220" t="str">
            <v>Daw May Thel Phyu</v>
          </cell>
          <cell r="CB220" t="str">
            <v>20 July 15:C1-SAR submission + justfication</v>
          </cell>
          <cell r="CC220" t="str">
            <v>Town</v>
          </cell>
          <cell r="CE220">
            <v>1</v>
          </cell>
          <cell r="CF220">
            <v>42277</v>
          </cell>
          <cell r="CG220">
            <v>42206</v>
          </cell>
          <cell r="CH220">
            <v>42279</v>
          </cell>
          <cell r="CJ220">
            <v>42227</v>
          </cell>
          <cell r="CK220" t="str">
            <v>35</v>
          </cell>
          <cell r="CL220" t="str">
            <v>37</v>
          </cell>
          <cell r="CM220" t="str">
            <v>40</v>
          </cell>
          <cell r="CN220">
            <v>23</v>
          </cell>
          <cell r="CO220">
            <v>42282</v>
          </cell>
          <cell r="CP220">
            <v>42229</v>
          </cell>
          <cell r="CQ220" t="str">
            <v>M1: grid power + battery</v>
          </cell>
          <cell r="CR220">
            <v>4</v>
          </cell>
          <cell r="CS220">
            <v>42283</v>
          </cell>
          <cell r="CT220">
            <v>42234</v>
          </cell>
          <cell r="CU220" t="str">
            <v>KC0272</v>
          </cell>
          <cell r="DH220">
            <v>0</v>
          </cell>
          <cell r="DI220">
            <v>42293</v>
          </cell>
          <cell r="DK220">
            <v>42290</v>
          </cell>
          <cell r="DM220">
            <v>42294</v>
          </cell>
          <cell r="DO220">
            <v>0</v>
          </cell>
          <cell r="DP220">
            <v>42293</v>
          </cell>
          <cell r="DT220">
            <v>0</v>
          </cell>
          <cell r="DU220">
            <v>42308</v>
          </cell>
          <cell r="DW220">
            <v>0</v>
          </cell>
          <cell r="DY220">
            <v>42294</v>
          </cell>
          <cell r="EA220" t="str">
            <v>Camusat</v>
          </cell>
          <cell r="EJ220">
            <v>0</v>
          </cell>
          <cell r="EK220">
            <v>42309</v>
          </cell>
          <cell r="EM220">
            <v>42310</v>
          </cell>
          <cell r="EQ220">
            <v>42317</v>
          </cell>
          <cell r="EW220">
            <v>0</v>
          </cell>
          <cell r="EX220">
            <v>42331</v>
          </cell>
          <cell r="EZ220">
            <v>42327</v>
          </cell>
          <cell r="FB220">
            <v>42329</v>
          </cell>
          <cell r="FU220">
            <v>42331</v>
          </cell>
          <cell r="FW220">
            <v>42331</v>
          </cell>
          <cell r="GJ220">
            <v>0</v>
          </cell>
          <cell r="GN220" t="str">
            <v>ERICSSON</v>
          </cell>
          <cell r="HD220">
            <v>1</v>
          </cell>
        </row>
        <row r="221">
          <cell r="A221" t="str">
            <v>KC0273</v>
          </cell>
          <cell r="B221" t="str">
            <v>ANKC_0006</v>
          </cell>
          <cell r="C221" t="str">
            <v>Apollo</v>
          </cell>
          <cell r="D221" t="str">
            <v>Adriaan Coetsee</v>
          </cell>
          <cell r="F221" t="str">
            <v>Aung Thu Win</v>
          </cell>
          <cell r="G221" t="str">
            <v>Shine Ko Ko</v>
          </cell>
          <cell r="H221" t="str">
            <v>RED</v>
          </cell>
          <cell r="I221" t="str">
            <v>North</v>
          </cell>
          <cell r="J221" t="str">
            <v>97.3443</v>
          </cell>
          <cell r="K221" t="str">
            <v>24.2496</v>
          </cell>
          <cell r="L221" t="str">
            <v>SubUrban</v>
          </cell>
          <cell r="M221" t="str">
            <v>Kachin</v>
          </cell>
          <cell r="N221" t="str">
            <v>Momauk</v>
          </cell>
          <cell r="O221" t="str">
            <v>Momauk</v>
          </cell>
          <cell r="P221" t="str">
            <v>Kachin</v>
          </cell>
          <cell r="Q221" t="str">
            <v>1</v>
          </cell>
          <cell r="R221" t="str">
            <v>Momauk</v>
          </cell>
          <cell r="S221" t="str">
            <v>12</v>
          </cell>
          <cell r="T221" t="str">
            <v>GSM+UMTS</v>
          </cell>
          <cell r="W221" t="str">
            <v>Ph2-Priority</v>
          </cell>
          <cell r="X221" t="str">
            <v>35</v>
          </cell>
          <cell r="Y221" t="str">
            <v>37</v>
          </cell>
          <cell r="Z221" t="str">
            <v>GBT</v>
          </cell>
          <cell r="AA221" t="str">
            <v>250</v>
          </cell>
          <cell r="AB221" t="str">
            <v>Access</v>
          </cell>
          <cell r="AC221" t="str">
            <v>Class B</v>
          </cell>
          <cell r="BE221" t="str">
            <v>Myitkyina - Bhamo - Muse</v>
          </cell>
          <cell r="BH221" t="str">
            <v>Camusat</v>
          </cell>
          <cell r="BJ221">
            <v>42172</v>
          </cell>
          <cell r="BK221">
            <v>42167</v>
          </cell>
          <cell r="BL221">
            <v>42177</v>
          </cell>
          <cell r="BM221">
            <v>42174</v>
          </cell>
          <cell r="BT221">
            <v>37</v>
          </cell>
          <cell r="BU221">
            <v>42276</v>
          </cell>
          <cell r="BV221">
            <v>42204</v>
          </cell>
          <cell r="BW221" t="str">
            <v>97.34239</v>
          </cell>
          <cell r="BX221" t="str">
            <v>24.24965</v>
          </cell>
          <cell r="BY221" t="str">
            <v>C1</v>
          </cell>
          <cell r="BZ221" t="str">
            <v>Moe Mout Township, Ba Maw Township, Kachin State.</v>
          </cell>
          <cell r="CA221" t="str">
            <v>U Aan Maung</v>
          </cell>
          <cell r="CC221" t="str">
            <v>Village</v>
          </cell>
          <cell r="CE221">
            <v>2</v>
          </cell>
          <cell r="CF221">
            <v>42277</v>
          </cell>
          <cell r="CG221">
            <v>42206</v>
          </cell>
          <cell r="CH221">
            <v>42279</v>
          </cell>
          <cell r="CJ221">
            <v>42227</v>
          </cell>
          <cell r="CK221" t="str">
            <v>35</v>
          </cell>
          <cell r="CL221" t="str">
            <v>37</v>
          </cell>
          <cell r="CM221" t="str">
            <v>40</v>
          </cell>
          <cell r="CN221">
            <v>23</v>
          </cell>
          <cell r="CO221">
            <v>42282</v>
          </cell>
          <cell r="CP221">
            <v>42229</v>
          </cell>
          <cell r="CQ221" t="str">
            <v>M1: grid power + battery</v>
          </cell>
          <cell r="CR221">
            <v>4</v>
          </cell>
          <cell r="CS221">
            <v>42283</v>
          </cell>
          <cell r="CT221">
            <v>42234</v>
          </cell>
          <cell r="CU221" t="str">
            <v>KC0273</v>
          </cell>
          <cell r="DH221">
            <v>0</v>
          </cell>
          <cell r="DI221">
            <v>42293</v>
          </cell>
          <cell r="DK221">
            <v>42290</v>
          </cell>
          <cell r="DM221">
            <v>42294</v>
          </cell>
          <cell r="DO221">
            <v>0</v>
          </cell>
          <cell r="DP221">
            <v>42293</v>
          </cell>
          <cell r="DT221">
            <v>0</v>
          </cell>
          <cell r="DU221">
            <v>42308</v>
          </cell>
          <cell r="DW221">
            <v>0</v>
          </cell>
          <cell r="DY221">
            <v>42294</v>
          </cell>
          <cell r="EA221" t="str">
            <v>Camusat</v>
          </cell>
          <cell r="EJ221">
            <v>0</v>
          </cell>
          <cell r="EK221">
            <v>42309</v>
          </cell>
          <cell r="EM221">
            <v>42310</v>
          </cell>
          <cell r="EQ221">
            <v>42317</v>
          </cell>
          <cell r="EW221">
            <v>0</v>
          </cell>
          <cell r="EX221">
            <v>42331</v>
          </cell>
          <cell r="EZ221">
            <v>42327</v>
          </cell>
          <cell r="FB221">
            <v>42329</v>
          </cell>
          <cell r="FU221">
            <v>42331</v>
          </cell>
          <cell r="FW221">
            <v>42331</v>
          </cell>
          <cell r="GJ221">
            <v>0</v>
          </cell>
          <cell r="GN221" t="str">
            <v>ERICSSON</v>
          </cell>
          <cell r="HD221">
            <v>1</v>
          </cell>
        </row>
        <row r="222">
          <cell r="A222" t="str">
            <v>KC0276</v>
          </cell>
          <cell r="B222" t="str">
            <v>ANKC_0007</v>
          </cell>
          <cell r="C222" t="str">
            <v>Apollo</v>
          </cell>
          <cell r="D222" t="str">
            <v>Adriaan Coetsee</v>
          </cell>
          <cell r="F222" t="str">
            <v>Aung Thu Win</v>
          </cell>
          <cell r="G222" t="str">
            <v>Shine Ko Ko</v>
          </cell>
          <cell r="H222" t="str">
            <v>RED</v>
          </cell>
          <cell r="I222" t="str">
            <v>North</v>
          </cell>
          <cell r="J222" t="str">
            <v>96.329</v>
          </cell>
          <cell r="K222" t="str">
            <v>25.6132</v>
          </cell>
          <cell r="L222" t="str">
            <v>SubUrban</v>
          </cell>
          <cell r="M222" t="str">
            <v>Kachin</v>
          </cell>
          <cell r="N222" t="str">
            <v>Hpakant</v>
          </cell>
          <cell r="O222" t="str">
            <v>Hpakant</v>
          </cell>
          <cell r="P222" t="str">
            <v>Kachin</v>
          </cell>
          <cell r="Q222" t="str">
            <v>1</v>
          </cell>
          <cell r="R222" t="str">
            <v>Hpakan</v>
          </cell>
          <cell r="S222" t="str">
            <v>9</v>
          </cell>
          <cell r="T222" t="str">
            <v>GSM+UMTS</v>
          </cell>
          <cell r="W222" t="str">
            <v>Ph2-Priority</v>
          </cell>
          <cell r="X222" t="str">
            <v>35</v>
          </cell>
          <cell r="Y222" t="str">
            <v>37</v>
          </cell>
          <cell r="Z222" t="str">
            <v>GBT</v>
          </cell>
          <cell r="AA222" t="str">
            <v>250</v>
          </cell>
          <cell r="AB222" t="str">
            <v>Access</v>
          </cell>
          <cell r="AC222" t="str">
            <v>Class B</v>
          </cell>
          <cell r="BE222" t="str">
            <v>Route 10 Mandalay - Myitkyina</v>
          </cell>
          <cell r="BH222" t="str">
            <v>Camusat</v>
          </cell>
          <cell r="BJ222">
            <v>42172</v>
          </cell>
          <cell r="BK222">
            <v>42130</v>
          </cell>
          <cell r="BL222">
            <v>42177</v>
          </cell>
          <cell r="BM222">
            <v>42140</v>
          </cell>
          <cell r="BT222">
            <v>20</v>
          </cell>
          <cell r="BU222">
            <v>42276</v>
          </cell>
          <cell r="BV222">
            <v>42213</v>
          </cell>
          <cell r="BW222" t="str">
            <v>96.32345</v>
          </cell>
          <cell r="BX222" t="str">
            <v>25.61284</v>
          </cell>
          <cell r="BY222" t="str">
            <v>C1</v>
          </cell>
          <cell r="BZ222" t="str">
            <v>House no.(19), Myo Ma Quarter, Nat Mauk Town, Nat Mauk Township, Magway Division.</v>
          </cell>
          <cell r="CA222" t="str">
            <v>U Sel Tin Soe;House no.(19), Myo Ma Quarter, Nat Mauk Town, Nat Mauk Township, Magway Division;09-401557100</v>
          </cell>
          <cell r="CB222" t="str">
            <v>28 July 15:C1-SAR submission+justification</v>
          </cell>
          <cell r="CC222" t="str">
            <v>Town</v>
          </cell>
          <cell r="CE222">
            <v>1</v>
          </cell>
          <cell r="CF222">
            <v>42277</v>
          </cell>
          <cell r="CG222">
            <v>42214</v>
          </cell>
          <cell r="CH222">
            <v>42279</v>
          </cell>
          <cell r="CJ222">
            <v>42156</v>
          </cell>
          <cell r="CK222" t="str">
            <v>35</v>
          </cell>
          <cell r="CL222" t="str">
            <v>37</v>
          </cell>
          <cell r="CM222" t="str">
            <v>45</v>
          </cell>
          <cell r="CN222">
            <v>19</v>
          </cell>
          <cell r="CO222">
            <v>42282</v>
          </cell>
          <cell r="CP222">
            <v>42158</v>
          </cell>
          <cell r="CQ222" t="str">
            <v>M1: grid power + battery</v>
          </cell>
          <cell r="CR222">
            <v>0</v>
          </cell>
          <cell r="CS222">
            <v>42283</v>
          </cell>
          <cell r="CT222">
            <v>42159</v>
          </cell>
          <cell r="CU222" t="str">
            <v>KC0276</v>
          </cell>
          <cell r="DH222">
            <v>0</v>
          </cell>
          <cell r="DI222">
            <v>42293</v>
          </cell>
          <cell r="DJ222">
            <v>42173</v>
          </cell>
          <cell r="DK222">
            <v>42290</v>
          </cell>
          <cell r="DL222">
            <v>42170</v>
          </cell>
          <cell r="DM222">
            <v>42294</v>
          </cell>
          <cell r="DN222">
            <v>42174</v>
          </cell>
          <cell r="DO222">
            <v>0</v>
          </cell>
          <cell r="DP222">
            <v>42293</v>
          </cell>
          <cell r="DQ222">
            <v>42173</v>
          </cell>
          <cell r="DT222">
            <v>0</v>
          </cell>
          <cell r="DU222">
            <v>42308</v>
          </cell>
          <cell r="DW222">
            <v>0</v>
          </cell>
          <cell r="DY222">
            <v>42294</v>
          </cell>
          <cell r="DZ222">
            <v>42172</v>
          </cell>
          <cell r="EA222" t="str">
            <v>Camusat</v>
          </cell>
          <cell r="EI222" t="str">
            <v>M5: grid power + DG + battery      </v>
          </cell>
          <cell r="EJ222">
            <v>0</v>
          </cell>
          <cell r="EK222">
            <v>42309</v>
          </cell>
          <cell r="EL222">
            <v>42194</v>
          </cell>
          <cell r="EM222">
            <v>42310</v>
          </cell>
          <cell r="EN222">
            <v>42187</v>
          </cell>
          <cell r="EQ222">
            <v>42317</v>
          </cell>
          <cell r="ER222">
            <v>42207</v>
          </cell>
          <cell r="ES222">
            <v>42201</v>
          </cell>
          <cell r="ET222">
            <v>42208</v>
          </cell>
          <cell r="EU222">
            <v>42208</v>
          </cell>
          <cell r="EW222">
            <v>0</v>
          </cell>
          <cell r="EX222">
            <v>42331</v>
          </cell>
          <cell r="EZ222">
            <v>42327</v>
          </cell>
          <cell r="FA222">
            <v>42205</v>
          </cell>
          <cell r="FB222">
            <v>42329</v>
          </cell>
          <cell r="FC222">
            <v>42205</v>
          </cell>
          <cell r="FU222">
            <v>42331</v>
          </cell>
          <cell r="FW222">
            <v>42331</v>
          </cell>
          <cell r="FX222">
            <v>42208</v>
          </cell>
          <cell r="FY222" t="str">
            <v>AZM</v>
          </cell>
          <cell r="FZ222">
            <v>42212</v>
          </cell>
          <cell r="GA222">
            <v>42214</v>
          </cell>
          <cell r="GB222">
            <v>42214</v>
          </cell>
          <cell r="GC222">
            <v>42214</v>
          </cell>
          <cell r="GD222">
            <v>42214</v>
          </cell>
          <cell r="GE222">
            <v>42216</v>
          </cell>
          <cell r="GF222">
            <v>42224</v>
          </cell>
          <cell r="GG222">
            <v>42224</v>
          </cell>
          <cell r="GH222">
            <v>42224</v>
          </cell>
          <cell r="GJ222">
            <v>0</v>
          </cell>
          <cell r="GK222">
            <v>42224</v>
          </cell>
          <cell r="GN222" t="str">
            <v>ERICSSON</v>
          </cell>
          <cell r="HD222">
            <v>1</v>
          </cell>
        </row>
        <row r="223">
          <cell r="A223" t="str">
            <v>KC0277</v>
          </cell>
          <cell r="B223" t="str">
            <v>ANKC_0008</v>
          </cell>
          <cell r="C223" t="str">
            <v>Apollo</v>
          </cell>
          <cell r="D223" t="str">
            <v>Adriaan Coetsee</v>
          </cell>
          <cell r="F223" t="str">
            <v>Aung Thu Win</v>
          </cell>
          <cell r="G223" t="str">
            <v>Shine Ko Ko</v>
          </cell>
          <cell r="H223" t="str">
            <v>RED</v>
          </cell>
          <cell r="I223" t="str">
            <v>North</v>
          </cell>
          <cell r="J223" t="str">
            <v>96.3662</v>
          </cell>
          <cell r="K223" t="str">
            <v>24.7774</v>
          </cell>
          <cell r="L223" t="str">
            <v>SubUrban</v>
          </cell>
          <cell r="M223" t="str">
            <v>Kachin</v>
          </cell>
          <cell r="N223" t="str">
            <v>Mohnyin</v>
          </cell>
          <cell r="O223" t="str">
            <v>Mohnyin</v>
          </cell>
          <cell r="P223" t="str">
            <v>Kachin</v>
          </cell>
          <cell r="Q223" t="str">
            <v>1</v>
          </cell>
          <cell r="R223" t="str">
            <v>Mohnyin</v>
          </cell>
          <cell r="S223" t="str">
            <v>7</v>
          </cell>
          <cell r="T223" t="str">
            <v>GSM+UMTS</v>
          </cell>
          <cell r="W223" t="str">
            <v>Ph2-Priority</v>
          </cell>
          <cell r="X223" t="str">
            <v>35</v>
          </cell>
          <cell r="Y223" t="str">
            <v>37</v>
          </cell>
          <cell r="Z223" t="str">
            <v>GBT</v>
          </cell>
          <cell r="AA223" t="str">
            <v>250</v>
          </cell>
          <cell r="AB223" t="str">
            <v>Access</v>
          </cell>
          <cell r="AC223" t="str">
            <v>Class B</v>
          </cell>
          <cell r="BE223" t="str">
            <v>Route 10 Mandalay - Myitkyina</v>
          </cell>
          <cell r="BH223" t="str">
            <v>Camusat</v>
          </cell>
          <cell r="BJ223">
            <v>42172</v>
          </cell>
          <cell r="BK223">
            <v>42167</v>
          </cell>
          <cell r="BL223">
            <v>42177</v>
          </cell>
          <cell r="BM223">
            <v>42174</v>
          </cell>
          <cell r="BT223">
            <v>65</v>
          </cell>
          <cell r="BU223">
            <v>42276</v>
          </cell>
          <cell r="BV223">
            <v>42232</v>
          </cell>
          <cell r="BW223" t="str">
            <v>96.36569</v>
          </cell>
          <cell r="BX223" t="str">
            <v>24.77686</v>
          </cell>
          <cell r="BY223" t="str">
            <v>C1</v>
          </cell>
          <cell r="BZ223" t="str">
            <v>No. 45, Pwint Ta Kaung Village,Daik OoTsp,Bago Division</v>
          </cell>
          <cell r="CA223" t="str">
            <v>DAW MYINT YI,O9428178123</v>
          </cell>
          <cell r="CB223" t="str">
            <v>16 Aug 15 :C1-SAR Submission</v>
          </cell>
          <cell r="CC223" t="str">
            <v>Town</v>
          </cell>
          <cell r="CE223">
            <v>1</v>
          </cell>
          <cell r="CF223">
            <v>42277</v>
          </cell>
          <cell r="CG223">
            <v>42234</v>
          </cell>
          <cell r="CH223">
            <v>42279</v>
          </cell>
          <cell r="CJ223">
            <v>42228</v>
          </cell>
          <cell r="CK223" t="str">
            <v>45</v>
          </cell>
          <cell r="CL223" t="str">
            <v>47</v>
          </cell>
          <cell r="CM223" t="str">
            <v>50</v>
          </cell>
          <cell r="CN223">
            <v>0</v>
          </cell>
          <cell r="CO223">
            <v>42282</v>
          </cell>
          <cell r="CP223">
            <v>42230</v>
          </cell>
          <cell r="CQ223" t="str">
            <v>M1: grid power + battery</v>
          </cell>
          <cell r="CR223">
            <v>0</v>
          </cell>
          <cell r="CS223">
            <v>42283</v>
          </cell>
          <cell r="CT223">
            <v>42233</v>
          </cell>
          <cell r="CU223" t="str">
            <v>KC0277</v>
          </cell>
          <cell r="DH223">
            <v>0</v>
          </cell>
          <cell r="DI223">
            <v>42293</v>
          </cell>
          <cell r="DK223">
            <v>42290</v>
          </cell>
          <cell r="DM223">
            <v>42294</v>
          </cell>
          <cell r="DO223">
            <v>0</v>
          </cell>
          <cell r="DP223">
            <v>42293</v>
          </cell>
          <cell r="DT223">
            <v>0</v>
          </cell>
          <cell r="DU223">
            <v>42308</v>
          </cell>
          <cell r="DW223">
            <v>0</v>
          </cell>
          <cell r="DY223">
            <v>42294</v>
          </cell>
          <cell r="EA223" t="str">
            <v>Camusat</v>
          </cell>
          <cell r="EJ223">
            <v>0</v>
          </cell>
          <cell r="EK223">
            <v>42309</v>
          </cell>
          <cell r="EM223">
            <v>42310</v>
          </cell>
          <cell r="EQ223">
            <v>42317</v>
          </cell>
          <cell r="EW223">
            <v>0</v>
          </cell>
          <cell r="EX223">
            <v>42331</v>
          </cell>
          <cell r="EZ223">
            <v>42327</v>
          </cell>
          <cell r="FB223">
            <v>42329</v>
          </cell>
          <cell r="FU223">
            <v>42331</v>
          </cell>
          <cell r="FW223">
            <v>42331</v>
          </cell>
          <cell r="GJ223">
            <v>0</v>
          </cell>
          <cell r="GN223" t="str">
            <v>ERICSSON</v>
          </cell>
          <cell r="GU223" t="str">
            <v xml:space="preserve">		</v>
          </cell>
          <cell r="HD223">
            <v>1</v>
          </cell>
        </row>
        <row r="224">
          <cell r="A224" t="str">
            <v>KC0279</v>
          </cell>
          <cell r="B224" t="str">
            <v>ANKC_0009</v>
          </cell>
          <cell r="C224" t="str">
            <v>Apollo</v>
          </cell>
          <cell r="D224" t="str">
            <v>Adriaan Coetsee</v>
          </cell>
          <cell r="F224" t="str">
            <v>Aung Thu Win</v>
          </cell>
          <cell r="G224" t="str">
            <v>Shine Ko Ko</v>
          </cell>
          <cell r="H224" t="str">
            <v>RED</v>
          </cell>
          <cell r="I224" t="str">
            <v>North</v>
          </cell>
          <cell r="J224" t="str">
            <v>96.3555</v>
          </cell>
          <cell r="K224" t="str">
            <v>24.762</v>
          </cell>
          <cell r="L224" t="str">
            <v>SubUrban</v>
          </cell>
          <cell r="M224" t="str">
            <v>Kachin</v>
          </cell>
          <cell r="N224" t="str">
            <v>Mohnyin</v>
          </cell>
          <cell r="O224" t="str">
            <v>Mohnyin</v>
          </cell>
          <cell r="P224" t="str">
            <v>Kachin</v>
          </cell>
          <cell r="Q224" t="str">
            <v>1</v>
          </cell>
          <cell r="R224" t="str">
            <v>Mohnyin</v>
          </cell>
          <cell r="S224" t="str">
            <v>7</v>
          </cell>
          <cell r="T224" t="str">
            <v>GSM+UMTS</v>
          </cell>
          <cell r="W224" t="str">
            <v>Ph2-Priority</v>
          </cell>
          <cell r="X224" t="str">
            <v>35</v>
          </cell>
          <cell r="Y224" t="str">
            <v>37</v>
          </cell>
          <cell r="Z224" t="str">
            <v>GBT</v>
          </cell>
          <cell r="AA224" t="str">
            <v>250</v>
          </cell>
          <cell r="AB224" t="str">
            <v>Access</v>
          </cell>
          <cell r="AC224" t="str">
            <v>Class B</v>
          </cell>
          <cell r="BE224" t="str">
            <v>Route 10 Mandalay - Myitkyina</v>
          </cell>
          <cell r="BH224" t="str">
            <v>Camusat</v>
          </cell>
          <cell r="BJ224">
            <v>42172</v>
          </cell>
          <cell r="BK224">
            <v>42167</v>
          </cell>
          <cell r="BL224">
            <v>42177</v>
          </cell>
          <cell r="BM224">
            <v>42174</v>
          </cell>
          <cell r="BT224">
            <v>46</v>
          </cell>
          <cell r="BU224">
            <v>42276</v>
          </cell>
          <cell r="BV224">
            <v>42213</v>
          </cell>
          <cell r="BW224" t="str">
            <v>96.35544</v>
          </cell>
          <cell r="BX224" t="str">
            <v>24.7615</v>
          </cell>
          <cell r="BY224" t="str">
            <v>C1</v>
          </cell>
          <cell r="BZ224" t="str">
            <v>No (15), Kan Three Sint, Kywal Gan Village Group, Oktwin Township, Bago.</v>
          </cell>
          <cell r="CA224" t="str">
            <v>U Khin Mg Myat;09-428154753, 09-37282;(Daw Khin Moe Sue
LAND OWNER'S WIFE)</v>
          </cell>
          <cell r="CB224" t="str">
            <v>28 July 15:C1-SAR submission</v>
          </cell>
          <cell r="CC224" t="str">
            <v>Town</v>
          </cell>
          <cell r="CE224">
            <v>1</v>
          </cell>
          <cell r="CF224">
            <v>42277</v>
          </cell>
          <cell r="CG224">
            <v>42214</v>
          </cell>
          <cell r="CH224">
            <v>42279</v>
          </cell>
          <cell r="CJ224">
            <v>42177</v>
          </cell>
          <cell r="CK224" t="str">
            <v>45</v>
          </cell>
          <cell r="CL224" t="str">
            <v>47</v>
          </cell>
          <cell r="CM224" t="str">
            <v>45</v>
          </cell>
          <cell r="CN224">
            <v>19</v>
          </cell>
          <cell r="CO224">
            <v>42282</v>
          </cell>
          <cell r="CP224">
            <v>42179</v>
          </cell>
          <cell r="CQ224" t="str">
            <v>M1: grid power + battery</v>
          </cell>
          <cell r="CR224">
            <v>0</v>
          </cell>
          <cell r="CS224">
            <v>42283</v>
          </cell>
          <cell r="CT224">
            <v>42180</v>
          </cell>
          <cell r="CU224" t="str">
            <v>KC0279</v>
          </cell>
          <cell r="DH224">
            <v>0</v>
          </cell>
          <cell r="DI224">
            <v>42293</v>
          </cell>
          <cell r="DK224">
            <v>42290</v>
          </cell>
          <cell r="DL224">
            <v>42194</v>
          </cell>
          <cell r="DM224">
            <v>42294</v>
          </cell>
          <cell r="DN224">
            <v>42194</v>
          </cell>
          <cell r="DO224">
            <v>0</v>
          </cell>
          <cell r="DP224">
            <v>42293</v>
          </cell>
          <cell r="DT224">
            <v>0</v>
          </cell>
          <cell r="DU224">
            <v>42308</v>
          </cell>
          <cell r="DW224">
            <v>0</v>
          </cell>
          <cell r="DY224">
            <v>42294</v>
          </cell>
          <cell r="DZ224">
            <v>42182</v>
          </cell>
          <cell r="EA224" t="str">
            <v>Camusat</v>
          </cell>
          <cell r="EE224" t="str">
            <v xml:space="preserve">10 Aug 15:Rain affected_Progress affected; 3-Aug-15: ACCESS PROBLEM IF CONTINUOUS RAIN (DIRT ROAD)								</v>
          </cell>
          <cell r="EJ224">
            <v>0</v>
          </cell>
          <cell r="EK224">
            <v>42309</v>
          </cell>
          <cell r="EL224">
            <v>42206</v>
          </cell>
          <cell r="EM224">
            <v>42310</v>
          </cell>
          <cell r="EN224">
            <v>42210</v>
          </cell>
          <cell r="EQ224">
            <v>42317</v>
          </cell>
          <cell r="ER224">
            <v>42221</v>
          </cell>
          <cell r="ES224">
            <v>42223</v>
          </cell>
          <cell r="ET224">
            <v>42226</v>
          </cell>
          <cell r="EU224">
            <v>42226</v>
          </cell>
          <cell r="EW224">
            <v>0</v>
          </cell>
          <cell r="EX224">
            <v>42331</v>
          </cell>
          <cell r="EZ224">
            <v>42327</v>
          </cell>
          <cell r="FA224">
            <v>42227</v>
          </cell>
          <cell r="FB224">
            <v>42329</v>
          </cell>
          <cell r="FC224">
            <v>42229</v>
          </cell>
          <cell r="FU224">
            <v>42331</v>
          </cell>
          <cell r="FW224">
            <v>42331</v>
          </cell>
          <cell r="FX224">
            <v>42229</v>
          </cell>
          <cell r="FY224" t="str">
            <v>UT</v>
          </cell>
          <cell r="FZ224">
            <v>42213</v>
          </cell>
          <cell r="GA224">
            <v>42215</v>
          </cell>
          <cell r="GB224">
            <v>42217</v>
          </cell>
          <cell r="GC224">
            <v>42232</v>
          </cell>
          <cell r="GD224">
            <v>42232</v>
          </cell>
          <cell r="GE224">
            <v>42217</v>
          </cell>
          <cell r="GF224">
            <v>42232</v>
          </cell>
          <cell r="GG224">
            <v>42232</v>
          </cell>
          <cell r="GH224">
            <v>42233</v>
          </cell>
          <cell r="GI224">
            <v>42246</v>
          </cell>
          <cell r="GJ224">
            <v>0</v>
          </cell>
          <cell r="GK224">
            <v>42233</v>
          </cell>
          <cell r="GN224" t="str">
            <v xml:space="preserve">ERICSSON </v>
          </cell>
          <cell r="GU224" t="str">
            <v xml:space="preserve">		</v>
          </cell>
          <cell r="HD224">
            <v>1</v>
          </cell>
        </row>
        <row r="225">
          <cell r="A225" t="str">
            <v>KC0290</v>
          </cell>
          <cell r="B225" t="str">
            <v>ANKC_0010</v>
          </cell>
          <cell r="C225" t="str">
            <v>Apollo</v>
          </cell>
          <cell r="D225" t="str">
            <v>Adriaan Coetsee</v>
          </cell>
          <cell r="F225" t="str">
            <v>Aung Thu Win</v>
          </cell>
          <cell r="G225" t="str">
            <v>Shine Ko Ko</v>
          </cell>
          <cell r="H225" t="str">
            <v>RED</v>
          </cell>
          <cell r="I225" t="str">
            <v>North</v>
          </cell>
          <cell r="J225" t="str">
            <v>97.3409</v>
          </cell>
          <cell r="K225" t="str">
            <v>25.3538</v>
          </cell>
          <cell r="L225" t="str">
            <v>Rural</v>
          </cell>
          <cell r="M225" t="str">
            <v>Kachin</v>
          </cell>
          <cell r="N225" t="str">
            <v>Waingmaw</v>
          </cell>
          <cell r="O225" t="str">
            <v>Waingmaw</v>
          </cell>
          <cell r="P225" t="str">
            <v>Kachin</v>
          </cell>
          <cell r="Q225" t="str">
            <v>1</v>
          </cell>
          <cell r="R225" t="str">
            <v>Waingmaw</v>
          </cell>
          <cell r="S225" t="str">
            <v>2</v>
          </cell>
          <cell r="T225" t="str">
            <v>GSM+UMTS</v>
          </cell>
          <cell r="W225" t="str">
            <v>Ph2-Priority</v>
          </cell>
          <cell r="X225" t="str">
            <v>45</v>
          </cell>
          <cell r="Y225" t="str">
            <v>47</v>
          </cell>
          <cell r="Z225" t="str">
            <v>GBT</v>
          </cell>
          <cell r="AA225" t="str">
            <v>500</v>
          </cell>
          <cell r="AB225" t="str">
            <v>Access</v>
          </cell>
          <cell r="AC225" t="str">
            <v>Class C</v>
          </cell>
          <cell r="BE225" t="str">
            <v>Route 10 Mandalay - Myitkyina</v>
          </cell>
          <cell r="BH225" t="str">
            <v>Camusat</v>
          </cell>
          <cell r="BJ225">
            <v>42172</v>
          </cell>
          <cell r="BK225">
            <v>42184</v>
          </cell>
          <cell r="BL225">
            <v>42177</v>
          </cell>
          <cell r="BT225">
            <v>10</v>
          </cell>
          <cell r="BU225">
            <v>42255</v>
          </cell>
          <cell r="BV225">
            <v>42194</v>
          </cell>
          <cell r="BW225" t="str">
            <v>97.34209</v>
          </cell>
          <cell r="BX225" t="str">
            <v>25.35288</v>
          </cell>
          <cell r="BY225" t="str">
            <v>C1</v>
          </cell>
          <cell r="CC225" t="str">
            <v>VILLAGE</v>
          </cell>
          <cell r="CE225">
            <v>1</v>
          </cell>
          <cell r="CF225">
            <v>42256</v>
          </cell>
          <cell r="CG225">
            <v>42195</v>
          </cell>
          <cell r="CH225">
            <v>42258</v>
          </cell>
          <cell r="CN225">
            <v>38</v>
          </cell>
          <cell r="CO225">
            <v>42261</v>
          </cell>
          <cell r="CQ225" t="str">
            <v>M4: solar + DG + battery</v>
          </cell>
          <cell r="CR225">
            <v>0</v>
          </cell>
          <cell r="CS225">
            <v>42262</v>
          </cell>
          <cell r="CU225" t="str">
            <v>KC0290</v>
          </cell>
          <cell r="DH225">
            <v>0</v>
          </cell>
          <cell r="DI225">
            <v>42272</v>
          </cell>
          <cell r="DK225">
            <v>42269</v>
          </cell>
          <cell r="DM225">
            <v>42273</v>
          </cell>
          <cell r="DO225">
            <v>0</v>
          </cell>
          <cell r="DP225">
            <v>42272</v>
          </cell>
          <cell r="DT225">
            <v>0</v>
          </cell>
          <cell r="DU225">
            <v>42287</v>
          </cell>
          <cell r="DW225">
            <v>0</v>
          </cell>
          <cell r="DY225">
            <v>42273</v>
          </cell>
          <cell r="EA225" t="str">
            <v>Camusat</v>
          </cell>
          <cell r="EJ225">
            <v>0</v>
          </cell>
          <cell r="EK225">
            <v>42290</v>
          </cell>
          <cell r="EM225">
            <v>42291</v>
          </cell>
          <cell r="EQ225">
            <v>42300</v>
          </cell>
          <cell r="EW225">
            <v>0</v>
          </cell>
          <cell r="EX225">
            <v>42314</v>
          </cell>
          <cell r="EZ225">
            <v>42310</v>
          </cell>
          <cell r="FB225">
            <v>42312</v>
          </cell>
          <cell r="FU225">
            <v>42314</v>
          </cell>
          <cell r="FW225">
            <v>42314</v>
          </cell>
          <cell r="GI225">
            <v>42277</v>
          </cell>
          <cell r="GJ225">
            <v>0</v>
          </cell>
          <cell r="GN225" t="str">
            <v>ERICSSON</v>
          </cell>
          <cell r="HD225">
            <v>1</v>
          </cell>
        </row>
        <row r="226">
          <cell r="A226" t="str">
            <v>KC0301</v>
          </cell>
          <cell r="B226" t="str">
            <v>ANKC_0011</v>
          </cell>
          <cell r="C226" t="str">
            <v>Apollo</v>
          </cell>
          <cell r="D226" t="str">
            <v>Adriaan Coetsee</v>
          </cell>
          <cell r="F226" t="str">
            <v>Aung Thu Win</v>
          </cell>
          <cell r="G226" t="str">
            <v>Shine Ko Ko</v>
          </cell>
          <cell r="H226" t="str">
            <v>RED</v>
          </cell>
          <cell r="I226" t="str">
            <v>North</v>
          </cell>
          <cell r="J226" t="str">
            <v>96.8034</v>
          </cell>
          <cell r="K226" t="str">
            <v>24.2162</v>
          </cell>
          <cell r="L226" t="str">
            <v>SubUrban</v>
          </cell>
          <cell r="M226" t="str">
            <v>Kachin</v>
          </cell>
          <cell r="N226" t="str">
            <v>Shwegu</v>
          </cell>
          <cell r="O226" t="str">
            <v>Shwegu</v>
          </cell>
          <cell r="P226" t="str">
            <v>Kachin</v>
          </cell>
          <cell r="Q226" t="str">
            <v>1</v>
          </cell>
          <cell r="R226" t="str">
            <v>Shwegu</v>
          </cell>
          <cell r="S226" t="str">
            <v>11</v>
          </cell>
          <cell r="T226" t="str">
            <v>GSM+UMTS</v>
          </cell>
          <cell r="W226" t="str">
            <v>Ph2-Priority</v>
          </cell>
          <cell r="X226" t="str">
            <v>35</v>
          </cell>
          <cell r="Y226" t="str">
            <v>37</v>
          </cell>
          <cell r="Z226" t="str">
            <v>GBT</v>
          </cell>
          <cell r="AA226" t="str">
            <v>250</v>
          </cell>
          <cell r="AB226" t="str">
            <v>Access</v>
          </cell>
          <cell r="AC226" t="str">
            <v>Class B</v>
          </cell>
          <cell r="BE226" t="str">
            <v>Indaw - Bhamo</v>
          </cell>
          <cell r="BH226" t="str">
            <v>Camusat</v>
          </cell>
          <cell r="BJ226">
            <v>42172</v>
          </cell>
          <cell r="BK226">
            <v>42167</v>
          </cell>
          <cell r="BL226">
            <v>42177</v>
          </cell>
          <cell r="BM226">
            <v>42174</v>
          </cell>
          <cell r="BT226">
            <v>37</v>
          </cell>
          <cell r="BU226">
            <v>42276</v>
          </cell>
          <cell r="BV226">
            <v>42200</v>
          </cell>
          <cell r="BW226" t="str">
            <v>96.80331</v>
          </cell>
          <cell r="BX226" t="str">
            <v>24.21807</v>
          </cell>
          <cell r="BY226" t="str">
            <v>C1</v>
          </cell>
          <cell r="BZ226" t="str">
            <v>Thasa(978), Pin Sin Kone Quarter, Ashae Tharse, Bhamo Township, Kachin State</v>
          </cell>
          <cell r="CA226" t="str">
            <v>U Than Htike Aung</v>
          </cell>
          <cell r="CC226" t="str">
            <v>Town / Village</v>
          </cell>
          <cell r="CE226">
            <v>1</v>
          </cell>
          <cell r="CF226">
            <v>42277</v>
          </cell>
          <cell r="CG226">
            <v>42201</v>
          </cell>
          <cell r="CH226">
            <v>42279</v>
          </cell>
          <cell r="CJ226">
            <v>42227</v>
          </cell>
          <cell r="CK226" t="str">
            <v>35</v>
          </cell>
          <cell r="CL226" t="str">
            <v>37</v>
          </cell>
          <cell r="CM226" t="str">
            <v>40</v>
          </cell>
          <cell r="CN226">
            <v>32</v>
          </cell>
          <cell r="CO226">
            <v>42282</v>
          </cell>
          <cell r="CP226">
            <v>42229</v>
          </cell>
          <cell r="CQ226" t="str">
            <v>M1: grid power + battery</v>
          </cell>
          <cell r="CR226">
            <v>0</v>
          </cell>
          <cell r="CS226">
            <v>42283</v>
          </cell>
          <cell r="CT226">
            <v>42234</v>
          </cell>
          <cell r="CU226" t="str">
            <v>KC0301</v>
          </cell>
          <cell r="DH226">
            <v>0</v>
          </cell>
          <cell r="DI226">
            <v>42293</v>
          </cell>
          <cell r="DK226">
            <v>42290</v>
          </cell>
          <cell r="DM226">
            <v>42294</v>
          </cell>
          <cell r="DO226">
            <v>0</v>
          </cell>
          <cell r="DP226">
            <v>42293</v>
          </cell>
          <cell r="DT226">
            <v>0</v>
          </cell>
          <cell r="DU226">
            <v>42308</v>
          </cell>
          <cell r="DW226">
            <v>0</v>
          </cell>
          <cell r="DY226">
            <v>42294</v>
          </cell>
          <cell r="EA226" t="str">
            <v>Camusat</v>
          </cell>
          <cell r="EJ226">
            <v>0</v>
          </cell>
          <cell r="EK226">
            <v>42309</v>
          </cell>
          <cell r="EM226">
            <v>42310</v>
          </cell>
          <cell r="EQ226">
            <v>42317</v>
          </cell>
          <cell r="EW226">
            <v>0</v>
          </cell>
          <cell r="EX226">
            <v>42331</v>
          </cell>
          <cell r="EZ226">
            <v>42327</v>
          </cell>
          <cell r="FB226">
            <v>42329</v>
          </cell>
          <cell r="FU226">
            <v>42331</v>
          </cell>
          <cell r="FW226">
            <v>42331</v>
          </cell>
          <cell r="GJ226">
            <v>0</v>
          </cell>
          <cell r="GN226" t="str">
            <v>ERICSSON</v>
          </cell>
          <cell r="HD226">
            <v>1</v>
          </cell>
        </row>
        <row r="227">
          <cell r="A227" t="str">
            <v>KC0302</v>
          </cell>
          <cell r="B227" t="str">
            <v>ANKC_0012</v>
          </cell>
          <cell r="C227" t="str">
            <v>Apollo</v>
          </cell>
          <cell r="D227" t="str">
            <v>Adriaan Coetsee</v>
          </cell>
          <cell r="F227" t="str">
            <v>Aung Thu Win</v>
          </cell>
          <cell r="G227" t="str">
            <v>Shine Ko Ko</v>
          </cell>
          <cell r="H227" t="str">
            <v>RED</v>
          </cell>
          <cell r="I227" t="str">
            <v>North</v>
          </cell>
          <cell r="J227" t="str">
            <v>96.7805</v>
          </cell>
          <cell r="K227" t="str">
            <v>24.2314</v>
          </cell>
          <cell r="L227" t="str">
            <v>SubUrban</v>
          </cell>
          <cell r="M227" t="str">
            <v>Kachin</v>
          </cell>
          <cell r="N227" t="str">
            <v>Shwegu</v>
          </cell>
          <cell r="O227" t="str">
            <v>Shwegu</v>
          </cell>
          <cell r="P227" t="str">
            <v>Kachin</v>
          </cell>
          <cell r="Q227" t="str">
            <v>1</v>
          </cell>
          <cell r="R227" t="str">
            <v>Shwegu</v>
          </cell>
          <cell r="S227" t="str">
            <v>11</v>
          </cell>
          <cell r="T227" t="str">
            <v>GSM+UMTS</v>
          </cell>
          <cell r="W227" t="str">
            <v>Ph2-Priority</v>
          </cell>
          <cell r="X227" t="str">
            <v>35</v>
          </cell>
          <cell r="Y227" t="str">
            <v>37</v>
          </cell>
          <cell r="Z227" t="str">
            <v>GBT</v>
          </cell>
          <cell r="AA227" t="str">
            <v>250</v>
          </cell>
          <cell r="AB227" t="str">
            <v>Access</v>
          </cell>
          <cell r="AC227" t="str">
            <v>Class B</v>
          </cell>
          <cell r="BE227" t="str">
            <v>Indaw - Bhamo</v>
          </cell>
          <cell r="BH227" t="str">
            <v>Camusat</v>
          </cell>
          <cell r="BJ227">
            <v>42172</v>
          </cell>
          <cell r="BK227">
            <v>42167</v>
          </cell>
          <cell r="BL227">
            <v>42177</v>
          </cell>
          <cell r="BM227">
            <v>42174</v>
          </cell>
          <cell r="BT227">
            <v>37</v>
          </cell>
          <cell r="BU227">
            <v>42276</v>
          </cell>
          <cell r="BV227">
            <v>42200</v>
          </cell>
          <cell r="BW227" t="str">
            <v>96.78297</v>
          </cell>
          <cell r="BX227" t="str">
            <v>24.23071</v>
          </cell>
          <cell r="BY227" t="str">
            <v>C1</v>
          </cell>
          <cell r="BZ227" t="str">
            <v>Ma-Au-Pin Village, Ma-au-pin village group, Bhamo Township, Kachin State</v>
          </cell>
          <cell r="CA227" t="str">
            <v>U Win Myint</v>
          </cell>
          <cell r="CC227" t="str">
            <v>Town</v>
          </cell>
          <cell r="CE227">
            <v>1</v>
          </cell>
          <cell r="CF227">
            <v>42277</v>
          </cell>
          <cell r="CG227">
            <v>42201</v>
          </cell>
          <cell r="CH227">
            <v>42279</v>
          </cell>
          <cell r="CJ227">
            <v>42227</v>
          </cell>
          <cell r="CK227" t="str">
            <v>45</v>
          </cell>
          <cell r="CL227" t="str">
            <v>47</v>
          </cell>
          <cell r="CM227" t="str">
            <v>50</v>
          </cell>
          <cell r="CN227">
            <v>32</v>
          </cell>
          <cell r="CO227">
            <v>42282</v>
          </cell>
          <cell r="CP227">
            <v>42229</v>
          </cell>
          <cell r="CQ227" t="str">
            <v>M4: solar + DG + battery</v>
          </cell>
          <cell r="CR227">
            <v>0</v>
          </cell>
          <cell r="CS227">
            <v>42283</v>
          </cell>
          <cell r="CT227">
            <v>42234</v>
          </cell>
          <cell r="CU227" t="str">
            <v>KC0302</v>
          </cell>
          <cell r="DH227">
            <v>0</v>
          </cell>
          <cell r="DI227">
            <v>42293</v>
          </cell>
          <cell r="DK227">
            <v>42290</v>
          </cell>
          <cell r="DM227">
            <v>42294</v>
          </cell>
          <cell r="DO227">
            <v>0</v>
          </cell>
          <cell r="DP227">
            <v>42293</v>
          </cell>
          <cell r="DT227">
            <v>0</v>
          </cell>
          <cell r="DU227">
            <v>42308</v>
          </cell>
          <cell r="DW227">
            <v>0</v>
          </cell>
          <cell r="DY227">
            <v>42294</v>
          </cell>
          <cell r="EA227" t="str">
            <v>Camusat</v>
          </cell>
          <cell r="EJ227">
            <v>0</v>
          </cell>
          <cell r="EK227">
            <v>42309</v>
          </cell>
          <cell r="EM227">
            <v>42310</v>
          </cell>
          <cell r="EQ227">
            <v>42317</v>
          </cell>
          <cell r="EW227">
            <v>0</v>
          </cell>
          <cell r="EX227">
            <v>42331</v>
          </cell>
          <cell r="EZ227">
            <v>42327</v>
          </cell>
          <cell r="FB227">
            <v>42329</v>
          </cell>
          <cell r="FU227">
            <v>42331</v>
          </cell>
          <cell r="FW227">
            <v>42331</v>
          </cell>
          <cell r="GJ227">
            <v>0</v>
          </cell>
          <cell r="GN227" t="str">
            <v>ERICSSON</v>
          </cell>
          <cell r="HD227">
            <v>1</v>
          </cell>
        </row>
        <row r="228">
          <cell r="A228" t="str">
            <v>KC0303</v>
          </cell>
          <cell r="B228" t="str">
            <v>ANKC_0013</v>
          </cell>
          <cell r="C228" t="str">
            <v>Apollo</v>
          </cell>
          <cell r="D228" t="str">
            <v>Adriaan Coetsee</v>
          </cell>
          <cell r="F228" t="str">
            <v>Aung Thu Win</v>
          </cell>
          <cell r="G228" t="str">
            <v>Shine Ko Ko</v>
          </cell>
          <cell r="H228" t="str">
            <v>RED</v>
          </cell>
          <cell r="I228" t="str">
            <v>North</v>
          </cell>
          <cell r="J228" t="str">
            <v>96.757</v>
          </cell>
          <cell r="K228" t="str">
            <v>24.2244</v>
          </cell>
          <cell r="L228" t="str">
            <v>Rural</v>
          </cell>
          <cell r="M228" t="str">
            <v>Kachin</v>
          </cell>
          <cell r="N228" t="str">
            <v>Shwegu</v>
          </cell>
          <cell r="O228" t="str">
            <v>Shwegu</v>
          </cell>
          <cell r="P228" t="str">
            <v>Kachin</v>
          </cell>
          <cell r="Q228" t="str">
            <v>1</v>
          </cell>
          <cell r="R228" t="str">
            <v>Shwegu</v>
          </cell>
          <cell r="S228" t="str">
            <v>11</v>
          </cell>
          <cell r="T228" t="str">
            <v>GSM+UMTS</v>
          </cell>
          <cell r="W228" t="str">
            <v>Ph2-Priority</v>
          </cell>
          <cell r="X228" t="str">
            <v>45</v>
          </cell>
          <cell r="Y228" t="str">
            <v>47</v>
          </cell>
          <cell r="Z228" t="str">
            <v>GBT</v>
          </cell>
          <cell r="AA228" t="str">
            <v>500</v>
          </cell>
          <cell r="AB228" t="str">
            <v>Access</v>
          </cell>
          <cell r="AC228" t="str">
            <v>Class C</v>
          </cell>
          <cell r="BE228" t="str">
            <v>Indaw - Bhamo</v>
          </cell>
          <cell r="BH228" t="str">
            <v>Camusat</v>
          </cell>
          <cell r="BJ228">
            <v>42172</v>
          </cell>
          <cell r="BK228">
            <v>42121</v>
          </cell>
          <cell r="BL228">
            <v>42177</v>
          </cell>
          <cell r="BM228">
            <v>42122</v>
          </cell>
          <cell r="BT228">
            <v>11</v>
          </cell>
          <cell r="BU228">
            <v>42255</v>
          </cell>
          <cell r="BV228">
            <v>42132</v>
          </cell>
          <cell r="BW228" t="str">
            <v>94.88348</v>
          </cell>
          <cell r="BX228" t="str">
            <v>20.155</v>
          </cell>
          <cell r="BY228" t="str">
            <v>C1</v>
          </cell>
          <cell r="BZ228" t="str">
            <v>No(82),3 Street, Shwe Thamin Kwat Thit,Magway Division.(Address is lacking in TSSR pdf so taken from SAR)</v>
          </cell>
          <cell r="CA228" t="str">
            <v>U Soe Myint;No(82),3 Street, Shwe Thamin Kwat Thit, Minbu Township, Magway Division;09-401592206</v>
          </cell>
          <cell r="CB228" t="str">
            <v>12 May 15 : C1 SAR approved as an option 1, C2 SAR Approved as a option2;11May15: C2 SAR Sub as redundancy. 8May15: C1 SAR Sub</v>
          </cell>
          <cell r="CE228">
            <v>0</v>
          </cell>
          <cell r="CF228">
            <v>42256</v>
          </cell>
          <cell r="CG228">
            <v>42136</v>
          </cell>
          <cell r="CH228">
            <v>42258</v>
          </cell>
          <cell r="CJ228">
            <v>42148</v>
          </cell>
          <cell r="CK228" t="str">
            <v>35</v>
          </cell>
          <cell r="CL228" t="str">
            <v>37</v>
          </cell>
          <cell r="CM228" t="str">
            <v>40</v>
          </cell>
          <cell r="CN228">
            <v>0</v>
          </cell>
          <cell r="CO228">
            <v>42261</v>
          </cell>
          <cell r="CP228">
            <v>42150</v>
          </cell>
          <cell r="CQ228" t="str">
            <v>M1: grid power + battery</v>
          </cell>
          <cell r="CR228">
            <v>0</v>
          </cell>
          <cell r="CS228">
            <v>42262</v>
          </cell>
          <cell r="CT228">
            <v>42151</v>
          </cell>
          <cell r="CU228" t="str">
            <v>KC0303</v>
          </cell>
          <cell r="DH228">
            <v>0</v>
          </cell>
          <cell r="DI228">
            <v>42272</v>
          </cell>
          <cell r="DJ228">
            <v>42179</v>
          </cell>
          <cell r="DK228">
            <v>42269</v>
          </cell>
          <cell r="DL228">
            <v>42160</v>
          </cell>
          <cell r="DM228">
            <v>42273</v>
          </cell>
          <cell r="DN228">
            <v>42165</v>
          </cell>
          <cell r="DO228">
            <v>0</v>
          </cell>
          <cell r="DP228">
            <v>42272</v>
          </cell>
          <cell r="DQ228">
            <v>42179</v>
          </cell>
          <cell r="DT228">
            <v>0</v>
          </cell>
          <cell r="DU228">
            <v>42287</v>
          </cell>
          <cell r="DW228">
            <v>0</v>
          </cell>
          <cell r="DY228">
            <v>42273</v>
          </cell>
          <cell r="DZ228">
            <v>42164</v>
          </cell>
          <cell r="EA228" t="str">
            <v>Camusat</v>
          </cell>
          <cell r="ED228" t="str">
            <v>12Jul15 :SiThu.Moe: Tower foundation is done.Tower materials are not at site.Backfilling is ongoing.Equipment slab is not start yet.
01Jul15 :SiThu.Moe: Tower casting is done.They not wear PPE and have not Emergency Contacts No.</v>
          </cell>
          <cell r="EE228" t="str">
            <v xml:space="preserve">10 Aug 15:Rain affected_Progress affected; 4-Aug-15: Awaiting tower EDA 8/15.  Tower foundation casted. Equipment Slab IP								</v>
          </cell>
          <cell r="EJ228">
            <v>0</v>
          </cell>
          <cell r="EK228">
            <v>42290</v>
          </cell>
          <cell r="EL228">
            <v>42192</v>
          </cell>
          <cell r="EM228">
            <v>42291</v>
          </cell>
          <cell r="EQ228">
            <v>42300</v>
          </cell>
          <cell r="ES228">
            <v>42234</v>
          </cell>
          <cell r="EW228">
            <v>0</v>
          </cell>
          <cell r="EX228">
            <v>42314</v>
          </cell>
          <cell r="EZ228">
            <v>42310</v>
          </cell>
          <cell r="FB228">
            <v>42312</v>
          </cell>
          <cell r="FU228">
            <v>42314</v>
          </cell>
          <cell r="FW228">
            <v>42314</v>
          </cell>
          <cell r="GI228">
            <v>42246</v>
          </cell>
          <cell r="GJ228">
            <v>0</v>
          </cell>
          <cell r="GN228" t="str">
            <v>ERICSSON</v>
          </cell>
          <cell r="GO228">
            <v>42150</v>
          </cell>
          <cell r="HD228">
            <v>1</v>
          </cell>
        </row>
        <row r="229">
          <cell r="A229" t="str">
            <v>KC0305</v>
          </cell>
          <cell r="B229" t="str">
            <v>ANKC_0014</v>
          </cell>
          <cell r="C229" t="str">
            <v>Apollo</v>
          </cell>
          <cell r="D229" t="str">
            <v>Adriaan Coetsee</v>
          </cell>
          <cell r="F229" t="str">
            <v>Aung Thu Win</v>
          </cell>
          <cell r="G229" t="str">
            <v>Shine Ko Ko</v>
          </cell>
          <cell r="H229" t="str">
            <v>RED</v>
          </cell>
          <cell r="I229" t="str">
            <v>North</v>
          </cell>
          <cell r="J229" t="str">
            <v>97.8962</v>
          </cell>
          <cell r="K229" t="str">
            <v>25.3975</v>
          </cell>
          <cell r="L229" t="str">
            <v>Rural</v>
          </cell>
          <cell r="M229" t="str">
            <v>Kachin</v>
          </cell>
          <cell r="N229" t="str">
            <v>Waingmaw</v>
          </cell>
          <cell r="O229" t="str">
            <v>Waingmaw</v>
          </cell>
          <cell r="P229" t="str">
            <v>Kachin</v>
          </cell>
          <cell r="Q229" t="str">
            <v>1</v>
          </cell>
          <cell r="R229" t="str">
            <v>Waingmaw</v>
          </cell>
          <cell r="S229" t="str">
            <v>2</v>
          </cell>
          <cell r="T229" t="str">
            <v>GSM+UMTS</v>
          </cell>
          <cell r="W229" t="str">
            <v>Ph2-Priority</v>
          </cell>
          <cell r="X229" t="str">
            <v>55</v>
          </cell>
          <cell r="Y229" t="str">
            <v>57</v>
          </cell>
          <cell r="Z229" t="str">
            <v>GBT</v>
          </cell>
          <cell r="AA229" t="str">
            <v>500</v>
          </cell>
          <cell r="AB229" t="str">
            <v>Access</v>
          </cell>
          <cell r="AC229" t="str">
            <v>Class C</v>
          </cell>
          <cell r="BE229" t="str">
            <v>Myitkyina - Bhamo - Muse</v>
          </cell>
          <cell r="BH229" t="str">
            <v>Camusat</v>
          </cell>
          <cell r="BJ229">
            <v>42172</v>
          </cell>
          <cell r="BK229">
            <v>42174</v>
          </cell>
          <cell r="BL229">
            <v>42177</v>
          </cell>
          <cell r="BM229">
            <v>42174</v>
          </cell>
          <cell r="BT229">
            <v>4</v>
          </cell>
          <cell r="BU229">
            <v>42255</v>
          </cell>
          <cell r="BV229">
            <v>42178</v>
          </cell>
          <cell r="BW229" t="str">
            <v>94.8493</v>
          </cell>
          <cell r="BX229" t="str">
            <v>21.61554</v>
          </cell>
          <cell r="BY229" t="str">
            <v>C1</v>
          </cell>
          <cell r="BZ229" t="str">
            <v>No (1) Ward, Myaing Town,PAKOKKU DISTRICT,MAGWAY DIVISION.</v>
          </cell>
          <cell r="CA229" t="str">
            <v>U Aung Naing Oo;9401660497</v>
          </cell>
          <cell r="CE229">
            <v>0</v>
          </cell>
          <cell r="CF229">
            <v>42256</v>
          </cell>
          <cell r="CG229">
            <v>42179</v>
          </cell>
          <cell r="CH229">
            <v>42258</v>
          </cell>
          <cell r="CJ229">
            <v>42190</v>
          </cell>
          <cell r="CK229" t="str">
            <v>35</v>
          </cell>
          <cell r="CL229" t="str">
            <v>37</v>
          </cell>
          <cell r="CM229" t="str">
            <v>40</v>
          </cell>
          <cell r="CN229">
            <v>0</v>
          </cell>
          <cell r="CO229">
            <v>42261</v>
          </cell>
          <cell r="CP229">
            <v>42192</v>
          </cell>
          <cell r="CQ229" t="str">
            <v>M1: grid power + battery</v>
          </cell>
          <cell r="CR229">
            <v>0</v>
          </cell>
          <cell r="CS229">
            <v>42262</v>
          </cell>
          <cell r="CT229">
            <v>42193</v>
          </cell>
          <cell r="CU229" t="str">
            <v>KC0305</v>
          </cell>
          <cell r="DH229">
            <v>0</v>
          </cell>
          <cell r="DI229">
            <v>42272</v>
          </cell>
          <cell r="DJ229">
            <v>42217</v>
          </cell>
          <cell r="DK229">
            <v>42269</v>
          </cell>
          <cell r="DL229">
            <v>42198</v>
          </cell>
          <cell r="DM229">
            <v>42273</v>
          </cell>
          <cell r="DN229">
            <v>42198</v>
          </cell>
          <cell r="DO229">
            <v>0</v>
          </cell>
          <cell r="DP229">
            <v>42272</v>
          </cell>
          <cell r="DQ229">
            <v>42217</v>
          </cell>
          <cell r="DT229">
            <v>0</v>
          </cell>
          <cell r="DU229">
            <v>42287</v>
          </cell>
          <cell r="DW229">
            <v>0</v>
          </cell>
          <cell r="DY229">
            <v>42273</v>
          </cell>
          <cell r="DZ229">
            <v>42213</v>
          </cell>
          <cell r="EA229" t="str">
            <v>Camusat</v>
          </cell>
          <cell r="EE229" t="str">
            <v xml:space="preserve">10 Aug 15:Rain affected_Progress affected; 3-Aug-15: Rain affected_ Site is progressing but rain is affecting the work every day. Excavation to start								</v>
          </cell>
          <cell r="EJ229">
            <v>0</v>
          </cell>
          <cell r="EK229">
            <v>42295</v>
          </cell>
          <cell r="EM229">
            <v>42296</v>
          </cell>
          <cell r="EQ229">
            <v>42308</v>
          </cell>
          <cell r="EW229">
            <v>0</v>
          </cell>
          <cell r="EX229">
            <v>42322</v>
          </cell>
          <cell r="EZ229">
            <v>42318</v>
          </cell>
          <cell r="FB229">
            <v>42320</v>
          </cell>
          <cell r="FU229">
            <v>42322</v>
          </cell>
          <cell r="FW229">
            <v>42322</v>
          </cell>
          <cell r="GF229">
            <v>42214</v>
          </cell>
          <cell r="GJ229">
            <v>0</v>
          </cell>
          <cell r="GN229" t="str">
            <v>ERICSSON</v>
          </cell>
          <cell r="HD229">
            <v>1</v>
          </cell>
        </row>
        <row r="230">
          <cell r="A230" t="str">
            <v>KC0306</v>
          </cell>
          <cell r="B230" t="str">
            <v>ANKC_0015</v>
          </cell>
          <cell r="C230" t="str">
            <v>Apollo</v>
          </cell>
          <cell r="D230" t="str">
            <v>Adriaan Coetsee</v>
          </cell>
          <cell r="F230" t="str">
            <v>Aung Thu Win</v>
          </cell>
          <cell r="G230" t="str">
            <v>Shine Ko Ko</v>
          </cell>
          <cell r="H230" t="str">
            <v>RED</v>
          </cell>
          <cell r="I230" t="str">
            <v>North</v>
          </cell>
          <cell r="J230" t="str">
            <v>96.5026</v>
          </cell>
          <cell r="K230" t="str">
            <v>24.9928</v>
          </cell>
          <cell r="L230" t="str">
            <v>SubUrban</v>
          </cell>
          <cell r="M230" t="str">
            <v>Kachin</v>
          </cell>
          <cell r="N230" t="str">
            <v>Mohnyin</v>
          </cell>
          <cell r="O230" t="str">
            <v>Mohnyin</v>
          </cell>
          <cell r="P230" t="str">
            <v>Kachin</v>
          </cell>
          <cell r="Q230" t="str">
            <v>1</v>
          </cell>
          <cell r="R230" t="str">
            <v>Mohnyin</v>
          </cell>
          <cell r="S230" t="str">
            <v>7</v>
          </cell>
          <cell r="T230" t="str">
            <v>GSM+UMTS</v>
          </cell>
          <cell r="W230" t="str">
            <v>Ph2-Priority</v>
          </cell>
          <cell r="X230" t="str">
            <v>35</v>
          </cell>
          <cell r="Y230" t="str">
            <v>37</v>
          </cell>
          <cell r="Z230" t="str">
            <v>GBT</v>
          </cell>
          <cell r="AA230" t="str">
            <v>250</v>
          </cell>
          <cell r="AB230" t="str">
            <v>Access</v>
          </cell>
          <cell r="AC230" t="str">
            <v>Class B</v>
          </cell>
          <cell r="BE230" t="str">
            <v>Route 10 Mandalay - Myitkyina</v>
          </cell>
          <cell r="BH230" t="str">
            <v>Camusat</v>
          </cell>
          <cell r="BJ230">
            <v>42172</v>
          </cell>
          <cell r="BK230">
            <v>42167</v>
          </cell>
          <cell r="BL230">
            <v>42177</v>
          </cell>
          <cell r="BM230">
            <v>42173</v>
          </cell>
          <cell r="BT230">
            <v>65</v>
          </cell>
          <cell r="BU230">
            <v>42276</v>
          </cell>
          <cell r="BY230" t="str">
            <v>Reject</v>
          </cell>
          <cell r="CB230" t="str">
            <v>18 Aug 15 : C1 SAR rejected(RND rejected this candidate because it is 675m far from the nominal and far from the population area. Please find the candidate within search ring and RND team proposed one area to find candidate by mail);16 Aug 15 :C1-SAR Submission + Justification</v>
          </cell>
          <cell r="CE230">
            <v>1</v>
          </cell>
          <cell r="CF230">
            <v>42277</v>
          </cell>
          <cell r="CH230">
            <v>42279</v>
          </cell>
          <cell r="CN230">
            <v>0</v>
          </cell>
          <cell r="CO230">
            <v>42282</v>
          </cell>
          <cell r="CR230">
            <v>0</v>
          </cell>
          <cell r="CS230">
            <v>42283</v>
          </cell>
          <cell r="CU230" t="str">
            <v>KC0306</v>
          </cell>
          <cell r="DH230">
            <v>0</v>
          </cell>
          <cell r="DI230">
            <v>42293</v>
          </cell>
          <cell r="DK230">
            <v>42290</v>
          </cell>
          <cell r="DM230">
            <v>42294</v>
          </cell>
          <cell r="DO230">
            <v>0</v>
          </cell>
          <cell r="DP230">
            <v>42293</v>
          </cell>
          <cell r="DT230">
            <v>0</v>
          </cell>
          <cell r="DU230">
            <v>42308</v>
          </cell>
          <cell r="DW230">
            <v>0</v>
          </cell>
          <cell r="DY230">
            <v>42294</v>
          </cell>
          <cell r="EA230" t="str">
            <v>Camusat</v>
          </cell>
          <cell r="EJ230">
            <v>0</v>
          </cell>
          <cell r="EK230">
            <v>42309</v>
          </cell>
          <cell r="EM230">
            <v>42310</v>
          </cell>
          <cell r="EQ230">
            <v>42317</v>
          </cell>
          <cell r="EW230">
            <v>0</v>
          </cell>
          <cell r="EX230">
            <v>42331</v>
          </cell>
          <cell r="EZ230">
            <v>42327</v>
          </cell>
          <cell r="FB230">
            <v>42329</v>
          </cell>
          <cell r="FU230">
            <v>42331</v>
          </cell>
          <cell r="FW230">
            <v>42331</v>
          </cell>
          <cell r="GI230">
            <v>42277</v>
          </cell>
          <cell r="GJ230">
            <v>0</v>
          </cell>
          <cell r="GN230" t="str">
            <v>ERICSSON</v>
          </cell>
          <cell r="GS230" t="str">
            <v>4/4/4</v>
          </cell>
          <cell r="GU230" t="str">
            <v xml:space="preserve">		</v>
          </cell>
          <cell r="HD230">
            <v>1</v>
          </cell>
        </row>
        <row r="231">
          <cell r="A231" t="str">
            <v>KC0308</v>
          </cell>
          <cell r="B231" t="str">
            <v>ANKC_0016</v>
          </cell>
          <cell r="C231" t="str">
            <v>Apollo</v>
          </cell>
          <cell r="D231" t="str">
            <v>Adriaan Coetsee</v>
          </cell>
          <cell r="F231" t="str">
            <v>Aung Thu Win</v>
          </cell>
          <cell r="G231" t="str">
            <v>Shine Ko Ko</v>
          </cell>
          <cell r="H231" t="str">
            <v>RED</v>
          </cell>
          <cell r="I231" t="str">
            <v>North</v>
          </cell>
          <cell r="J231" t="str">
            <v>96.3861</v>
          </cell>
          <cell r="K231" t="str">
            <v>24.7865</v>
          </cell>
          <cell r="L231" t="str">
            <v>SubUrban</v>
          </cell>
          <cell r="M231" t="str">
            <v>Kachin</v>
          </cell>
          <cell r="N231" t="str">
            <v>Mohnyin</v>
          </cell>
          <cell r="O231" t="str">
            <v>Mohnyin</v>
          </cell>
          <cell r="P231" t="str">
            <v>Kachin</v>
          </cell>
          <cell r="Q231" t="str">
            <v>1</v>
          </cell>
          <cell r="R231" t="str">
            <v>Mohnyin</v>
          </cell>
          <cell r="S231" t="str">
            <v>7</v>
          </cell>
          <cell r="T231" t="str">
            <v>GSM+UMTS</v>
          </cell>
          <cell r="W231" t="str">
            <v>Ph2-Priority</v>
          </cell>
          <cell r="X231" t="str">
            <v>35</v>
          </cell>
          <cell r="Y231" t="str">
            <v>37</v>
          </cell>
          <cell r="Z231" t="str">
            <v>GBT</v>
          </cell>
          <cell r="AA231" t="str">
            <v>250</v>
          </cell>
          <cell r="AB231" t="str">
            <v>Access</v>
          </cell>
          <cell r="AC231" t="str">
            <v>Class B</v>
          </cell>
          <cell r="BE231" t="str">
            <v>Route 10 Mandalay - Myitkyina</v>
          </cell>
          <cell r="BH231" t="str">
            <v>Camusat</v>
          </cell>
          <cell r="BJ231">
            <v>42172</v>
          </cell>
          <cell r="BK231">
            <v>42167</v>
          </cell>
          <cell r="BL231">
            <v>42177</v>
          </cell>
          <cell r="BM231">
            <v>42174</v>
          </cell>
          <cell r="BT231">
            <v>65</v>
          </cell>
          <cell r="BU231">
            <v>42255</v>
          </cell>
          <cell r="BV231">
            <v>42232</v>
          </cell>
          <cell r="BW231" t="str">
            <v>96.38357</v>
          </cell>
          <cell r="BX231" t="str">
            <v>24.78488</v>
          </cell>
          <cell r="BY231" t="str">
            <v>C1</v>
          </cell>
          <cell r="BZ231" t="str">
            <v>War Pyan Gone Village, Kyeik MA Yaw Tsp, Mon State</v>
          </cell>
          <cell r="CA231" t="str">
            <v>Daw Shwe Meet;09-425344074</v>
          </cell>
          <cell r="CB231" t="str">
            <v>16 Aug 15 :C1-SAR Submission</v>
          </cell>
          <cell r="CC231" t="str">
            <v>Village</v>
          </cell>
          <cell r="CE231">
            <v>1</v>
          </cell>
          <cell r="CF231">
            <v>42256</v>
          </cell>
          <cell r="CG231">
            <v>42234</v>
          </cell>
          <cell r="CH231">
            <v>42258</v>
          </cell>
          <cell r="CJ231">
            <v>42190</v>
          </cell>
          <cell r="CK231" t="str">
            <v>45</v>
          </cell>
          <cell r="CL231" t="str">
            <v>47</v>
          </cell>
          <cell r="CM231" t="str">
            <v>50</v>
          </cell>
          <cell r="CN231">
            <v>0</v>
          </cell>
          <cell r="CO231">
            <v>42261</v>
          </cell>
          <cell r="CP231">
            <v>42192</v>
          </cell>
          <cell r="CQ231" t="str">
            <v>M1: grid power + battery</v>
          </cell>
          <cell r="CR231">
            <v>0</v>
          </cell>
          <cell r="CS231">
            <v>42262</v>
          </cell>
          <cell r="CT231">
            <v>42193</v>
          </cell>
          <cell r="CU231" t="str">
            <v>KC0308</v>
          </cell>
          <cell r="DH231">
            <v>0</v>
          </cell>
          <cell r="DI231">
            <v>42272</v>
          </cell>
          <cell r="DK231">
            <v>42269</v>
          </cell>
          <cell r="DM231">
            <v>42273</v>
          </cell>
          <cell r="DO231">
            <v>0</v>
          </cell>
          <cell r="DP231">
            <v>42272</v>
          </cell>
          <cell r="DT231">
            <v>0</v>
          </cell>
          <cell r="DU231">
            <v>42287</v>
          </cell>
          <cell r="DW231">
            <v>0</v>
          </cell>
          <cell r="DY231">
            <v>42273</v>
          </cell>
          <cell r="EA231" t="str">
            <v>Camusat</v>
          </cell>
          <cell r="EJ231">
            <v>0</v>
          </cell>
          <cell r="EK231">
            <v>42288</v>
          </cell>
          <cell r="EM231">
            <v>42289</v>
          </cell>
          <cell r="EQ231">
            <v>42296</v>
          </cell>
          <cell r="EW231">
            <v>0</v>
          </cell>
          <cell r="EX231">
            <v>42310</v>
          </cell>
          <cell r="EZ231">
            <v>42306</v>
          </cell>
          <cell r="FB231">
            <v>42308</v>
          </cell>
          <cell r="FU231">
            <v>42310</v>
          </cell>
          <cell r="FW231">
            <v>42310</v>
          </cell>
          <cell r="GJ231">
            <v>0</v>
          </cell>
          <cell r="GN231" t="str">
            <v>ERICSSON</v>
          </cell>
          <cell r="GU231" t="str">
            <v xml:space="preserve">		</v>
          </cell>
          <cell r="HD231">
            <v>1</v>
          </cell>
        </row>
        <row r="232">
          <cell r="A232" t="str">
            <v>KC0309</v>
          </cell>
          <cell r="B232" t="str">
            <v>ANKC_0017</v>
          </cell>
          <cell r="C232" t="str">
            <v>Apollo</v>
          </cell>
          <cell r="D232" t="str">
            <v>Adriaan Coetsee</v>
          </cell>
          <cell r="F232" t="str">
            <v>Aung Thu Win</v>
          </cell>
          <cell r="G232" t="str">
            <v>Shine Ko Ko</v>
          </cell>
          <cell r="H232" t="str">
            <v>RED</v>
          </cell>
          <cell r="I232" t="str">
            <v>North</v>
          </cell>
          <cell r="J232" t="str">
            <v>96.2148</v>
          </cell>
          <cell r="K232" t="str">
            <v>26.6912</v>
          </cell>
          <cell r="L232" t="str">
            <v>Rural</v>
          </cell>
          <cell r="M232" t="str">
            <v>Kachin</v>
          </cell>
          <cell r="N232" t="str">
            <v>Tanai</v>
          </cell>
          <cell r="O232" t="str">
            <v>Tanai</v>
          </cell>
          <cell r="P232" t="str">
            <v>Kachin</v>
          </cell>
          <cell r="Q232" t="str">
            <v>1</v>
          </cell>
          <cell r="R232" t="str">
            <v>Tanai</v>
          </cell>
          <cell r="S232" t="str">
            <v>4</v>
          </cell>
          <cell r="T232" t="str">
            <v>GSM+UMTS</v>
          </cell>
          <cell r="W232" t="str">
            <v>Ph2-Priority</v>
          </cell>
          <cell r="X232" t="str">
            <v>45</v>
          </cell>
          <cell r="Y232" t="str">
            <v>47</v>
          </cell>
          <cell r="Z232" t="str">
            <v>GBT</v>
          </cell>
          <cell r="AA232" t="str">
            <v>250</v>
          </cell>
          <cell r="AB232" t="str">
            <v>Access</v>
          </cell>
          <cell r="AC232" t="str">
            <v>Class C</v>
          </cell>
          <cell r="BE232" t="str">
            <v>Route 10 Mandalay - Myitkyina</v>
          </cell>
          <cell r="BH232" t="str">
            <v>Camusat</v>
          </cell>
          <cell r="BJ232">
            <v>42172</v>
          </cell>
          <cell r="BK232">
            <v>42166</v>
          </cell>
          <cell r="BL232">
            <v>42177</v>
          </cell>
          <cell r="BM232">
            <v>42173</v>
          </cell>
          <cell r="BT232">
            <v>14</v>
          </cell>
          <cell r="BU232">
            <v>42255</v>
          </cell>
          <cell r="BV232">
            <v>42221</v>
          </cell>
          <cell r="BW232" t="str">
            <v>96.21592</v>
          </cell>
          <cell r="BX232" t="str">
            <v>26.69111</v>
          </cell>
          <cell r="BY232" t="str">
            <v>C1</v>
          </cell>
          <cell r="BZ232" t="str">
            <v>No(98),Kawe Shin Village,Min Kone Village Group,OakTaYaThiri Tsp,Nay Pyi Taw Divison.</v>
          </cell>
          <cell r="CA232" t="str">
            <v>Daw Aye Myaing , 09-261593640</v>
          </cell>
          <cell r="CB232" t="str">
            <v>5 Aug 15 :C1-SAR submission</v>
          </cell>
          <cell r="CC232" t="str">
            <v>Village</v>
          </cell>
          <cell r="CE232">
            <v>12</v>
          </cell>
          <cell r="CF232">
            <v>42256</v>
          </cell>
          <cell r="CG232">
            <v>42234</v>
          </cell>
          <cell r="CH232">
            <v>42258</v>
          </cell>
          <cell r="CJ232">
            <v>42216</v>
          </cell>
          <cell r="CK232" t="str">
            <v>33</v>
          </cell>
          <cell r="CL232" t="str">
            <v>35</v>
          </cell>
          <cell r="CM232" t="str">
            <v>35</v>
          </cell>
          <cell r="CN232">
            <v>0</v>
          </cell>
          <cell r="CO232">
            <v>42261</v>
          </cell>
          <cell r="CP232">
            <v>42218</v>
          </cell>
          <cell r="CQ232" t="str">
            <v>M1: grid power + battery</v>
          </cell>
          <cell r="CR232">
            <v>0</v>
          </cell>
          <cell r="CS232">
            <v>42262</v>
          </cell>
          <cell r="CT232">
            <v>42220</v>
          </cell>
          <cell r="CU232" t="str">
            <v>KC0309</v>
          </cell>
          <cell r="DH232">
            <v>0</v>
          </cell>
          <cell r="DI232">
            <v>42272</v>
          </cell>
          <cell r="DK232">
            <v>42269</v>
          </cell>
          <cell r="DL232">
            <v>42220</v>
          </cell>
          <cell r="DM232">
            <v>42273</v>
          </cell>
          <cell r="DO232">
            <v>0</v>
          </cell>
          <cell r="DP232">
            <v>42272</v>
          </cell>
          <cell r="DT232">
            <v>0</v>
          </cell>
          <cell r="DU232">
            <v>42287</v>
          </cell>
          <cell r="DW232">
            <v>0</v>
          </cell>
          <cell r="DY232">
            <v>42273</v>
          </cell>
          <cell r="DZ232">
            <v>42235</v>
          </cell>
          <cell r="EA232" t="str">
            <v>Camusat</v>
          </cell>
          <cell r="EJ232">
            <v>0</v>
          </cell>
          <cell r="EK232">
            <v>42290</v>
          </cell>
          <cell r="EM232">
            <v>42291</v>
          </cell>
          <cell r="EQ232">
            <v>42300</v>
          </cell>
          <cell r="EW232">
            <v>0</v>
          </cell>
          <cell r="EX232">
            <v>42314</v>
          </cell>
          <cell r="EZ232">
            <v>42310</v>
          </cell>
          <cell r="FB232">
            <v>42312</v>
          </cell>
          <cell r="FU232">
            <v>42314</v>
          </cell>
          <cell r="FW232">
            <v>42314</v>
          </cell>
          <cell r="GJ232">
            <v>0</v>
          </cell>
          <cell r="GN232" t="str">
            <v>ERICSSON</v>
          </cell>
          <cell r="HD232">
            <v>1</v>
          </cell>
        </row>
        <row r="233">
          <cell r="A233" t="str">
            <v>KC0311</v>
          </cell>
          <cell r="B233" t="str">
            <v>ANKC_0018</v>
          </cell>
          <cell r="C233" t="str">
            <v>Apollo</v>
          </cell>
          <cell r="D233" t="str">
            <v>Adriaan Coetsee</v>
          </cell>
          <cell r="F233" t="str">
            <v>Aung Thu Win</v>
          </cell>
          <cell r="G233" t="str">
            <v>Shine Ko Ko</v>
          </cell>
          <cell r="H233" t="str">
            <v>RED</v>
          </cell>
          <cell r="I233" t="str">
            <v>North</v>
          </cell>
          <cell r="J233" t="str">
            <v>96.7078</v>
          </cell>
          <cell r="K233" t="str">
            <v>26.3541</v>
          </cell>
          <cell r="L233" t="str">
            <v>SubUrban</v>
          </cell>
          <cell r="M233" t="str">
            <v>Kachin</v>
          </cell>
          <cell r="N233" t="str">
            <v>Tanai</v>
          </cell>
          <cell r="O233" t="str">
            <v>Tanai</v>
          </cell>
          <cell r="P233" t="str">
            <v>Kachin</v>
          </cell>
          <cell r="Q233" t="str">
            <v>1</v>
          </cell>
          <cell r="R233" t="str">
            <v>Tanai</v>
          </cell>
          <cell r="S233" t="str">
            <v>4</v>
          </cell>
          <cell r="T233" t="str">
            <v>GSM+UMTS</v>
          </cell>
          <cell r="W233" t="str">
            <v>Ph2-Priority</v>
          </cell>
          <cell r="X233" t="str">
            <v>35</v>
          </cell>
          <cell r="Y233" t="str">
            <v>37</v>
          </cell>
          <cell r="Z233" t="str">
            <v>GBT</v>
          </cell>
          <cell r="AA233" t="str">
            <v>250</v>
          </cell>
          <cell r="AB233" t="str">
            <v>Access</v>
          </cell>
          <cell r="AC233" t="str">
            <v>Class B</v>
          </cell>
          <cell r="BE233" t="str">
            <v>Route 10 Mandalay - Myitkyina</v>
          </cell>
          <cell r="BH233" t="str">
            <v>Camusat</v>
          </cell>
          <cell r="BJ233">
            <v>42172</v>
          </cell>
          <cell r="BK233">
            <v>42130</v>
          </cell>
          <cell r="BL233">
            <v>42177</v>
          </cell>
          <cell r="BT233">
            <v>103</v>
          </cell>
          <cell r="BU233">
            <v>42255</v>
          </cell>
          <cell r="BV233">
            <v>42221</v>
          </cell>
          <cell r="BW233" t="str">
            <v>96.7076</v>
          </cell>
          <cell r="BX233" t="str">
            <v>26.35464</v>
          </cell>
          <cell r="BY233" t="str">
            <v>C1</v>
          </cell>
          <cell r="CB233" t="str">
            <v>5 Aug 15 :C1-SAR submission</v>
          </cell>
          <cell r="CC233" t="str">
            <v>Village</v>
          </cell>
          <cell r="CE233">
            <v>1</v>
          </cell>
          <cell r="CF233">
            <v>42256</v>
          </cell>
          <cell r="CG233">
            <v>42222</v>
          </cell>
          <cell r="CH233">
            <v>42258</v>
          </cell>
          <cell r="CN233">
            <v>11</v>
          </cell>
          <cell r="CO233">
            <v>42261</v>
          </cell>
          <cell r="CQ233" t="str">
            <v>M4: solar + DG + battery</v>
          </cell>
          <cell r="CR233">
            <v>0</v>
          </cell>
          <cell r="CS233">
            <v>42262</v>
          </cell>
          <cell r="CU233" t="str">
            <v>KC0311</v>
          </cell>
          <cell r="DH233">
            <v>0</v>
          </cell>
          <cell r="DI233">
            <v>42272</v>
          </cell>
          <cell r="DK233">
            <v>42269</v>
          </cell>
          <cell r="DM233">
            <v>42273</v>
          </cell>
          <cell r="DO233">
            <v>0</v>
          </cell>
          <cell r="DP233">
            <v>42272</v>
          </cell>
          <cell r="DT233">
            <v>0</v>
          </cell>
          <cell r="DU233">
            <v>42287</v>
          </cell>
          <cell r="DW233">
            <v>0</v>
          </cell>
          <cell r="DY233">
            <v>42273</v>
          </cell>
          <cell r="EA233" t="str">
            <v>Camusat</v>
          </cell>
          <cell r="EJ233">
            <v>0</v>
          </cell>
          <cell r="EK233">
            <v>42288</v>
          </cell>
          <cell r="EM233">
            <v>42289</v>
          </cell>
          <cell r="EQ233">
            <v>42296</v>
          </cell>
          <cell r="EW233">
            <v>0</v>
          </cell>
          <cell r="EX233">
            <v>42310</v>
          </cell>
          <cell r="EZ233">
            <v>42306</v>
          </cell>
          <cell r="FB233">
            <v>42308</v>
          </cell>
          <cell r="FU233">
            <v>42310</v>
          </cell>
          <cell r="FW233">
            <v>42310</v>
          </cell>
          <cell r="GJ233">
            <v>0</v>
          </cell>
          <cell r="GN233" t="str">
            <v>ERICSSON</v>
          </cell>
          <cell r="GU233" t="str">
            <v xml:space="preserve">		</v>
          </cell>
          <cell r="HD233">
            <v>1</v>
          </cell>
        </row>
        <row r="234">
          <cell r="A234" t="str">
            <v>KC0312</v>
          </cell>
          <cell r="B234" t="str">
            <v>ANKC_0019</v>
          </cell>
          <cell r="C234" t="str">
            <v>Apollo</v>
          </cell>
          <cell r="D234" t="str">
            <v>Adriaan Coetsee</v>
          </cell>
          <cell r="F234" t="str">
            <v>Aung Thu Win</v>
          </cell>
          <cell r="G234" t="str">
            <v>Shine Ko Ko</v>
          </cell>
          <cell r="H234" t="str">
            <v>RED</v>
          </cell>
          <cell r="I234" t="str">
            <v>North</v>
          </cell>
          <cell r="J234" t="str">
            <v>96.7216</v>
          </cell>
          <cell r="K234" t="str">
            <v>26.3515</v>
          </cell>
          <cell r="L234" t="str">
            <v>SubUrban</v>
          </cell>
          <cell r="M234" t="str">
            <v>Kachin</v>
          </cell>
          <cell r="N234" t="str">
            <v>Tanai</v>
          </cell>
          <cell r="O234" t="str">
            <v>Tanai</v>
          </cell>
          <cell r="P234" t="str">
            <v>Kachin</v>
          </cell>
          <cell r="Q234" t="str">
            <v>1</v>
          </cell>
          <cell r="R234" t="str">
            <v>Tanai</v>
          </cell>
          <cell r="S234" t="str">
            <v>4</v>
          </cell>
          <cell r="T234" t="str">
            <v>GSM+UMTS</v>
          </cell>
          <cell r="W234" t="str">
            <v>Ph2-Priority</v>
          </cell>
          <cell r="X234" t="str">
            <v>35</v>
          </cell>
          <cell r="Y234" t="str">
            <v>37</v>
          </cell>
          <cell r="Z234" t="str">
            <v>GBT</v>
          </cell>
          <cell r="AA234" t="str">
            <v>250</v>
          </cell>
          <cell r="AB234" t="str">
            <v>Access</v>
          </cell>
          <cell r="AC234" t="str">
            <v>Class B</v>
          </cell>
          <cell r="BE234" t="str">
            <v>Route 10 Mandalay - Myitkyina</v>
          </cell>
          <cell r="BH234" t="str">
            <v>Camusat</v>
          </cell>
          <cell r="BJ234">
            <v>42172</v>
          </cell>
          <cell r="BK234">
            <v>42125</v>
          </cell>
          <cell r="BL234">
            <v>42177</v>
          </cell>
          <cell r="BM234">
            <v>42129</v>
          </cell>
          <cell r="BT234">
            <v>59</v>
          </cell>
          <cell r="BU234">
            <v>42256</v>
          </cell>
          <cell r="BV234">
            <v>42221</v>
          </cell>
          <cell r="BW234" t="str">
            <v>96.71837</v>
          </cell>
          <cell r="BX234" t="str">
            <v>26.3528</v>
          </cell>
          <cell r="BY234" t="str">
            <v>C1</v>
          </cell>
          <cell r="BZ234" t="str">
            <v>OE BO KYUN VILLAGE, OE BO KYUN VILLAGE GROUP,MOE NYO TOWNSHIP, BAGO DIVISION.</v>
          </cell>
          <cell r="CA234" t="str">
            <v>U Myint Zaw;OE BO KYUN VILLAGE, OE BO KYUN VILLAGE GROUP,MOE NYO TOWNSHIP, BAGO DIVISION;09 49265782 , 09 796815226</v>
          </cell>
          <cell r="CB234" t="str">
            <v>5 Aug 15 :C1-SAR submission</v>
          </cell>
          <cell r="CC234" t="str">
            <v>Village</v>
          </cell>
          <cell r="CE234">
            <v>12</v>
          </cell>
          <cell r="CF234">
            <v>42257</v>
          </cell>
          <cell r="CG234">
            <v>42234</v>
          </cell>
          <cell r="CH234">
            <v>42259</v>
          </cell>
          <cell r="CJ234">
            <v>42186</v>
          </cell>
          <cell r="CK234" t="str">
            <v>45</v>
          </cell>
          <cell r="CL234" t="str">
            <v>47</v>
          </cell>
          <cell r="CM234" t="str">
            <v>50</v>
          </cell>
          <cell r="CN234">
            <v>0</v>
          </cell>
          <cell r="CO234">
            <v>42262</v>
          </cell>
          <cell r="CP234">
            <v>42188</v>
          </cell>
          <cell r="CQ234" t="str">
            <v>M4: solar + DG + battery</v>
          </cell>
          <cell r="CR234">
            <v>0</v>
          </cell>
          <cell r="CS234">
            <v>42263</v>
          </cell>
          <cell r="CT234">
            <v>42191</v>
          </cell>
          <cell r="CU234" t="str">
            <v>KC0312</v>
          </cell>
          <cell r="DH234">
            <v>0</v>
          </cell>
          <cell r="DI234">
            <v>42273</v>
          </cell>
          <cell r="DJ234">
            <v>42202</v>
          </cell>
          <cell r="DK234">
            <v>42270</v>
          </cell>
          <cell r="DL234">
            <v>42207</v>
          </cell>
          <cell r="DM234">
            <v>42274</v>
          </cell>
          <cell r="DO234">
            <v>0</v>
          </cell>
          <cell r="DP234">
            <v>42273</v>
          </cell>
          <cell r="DQ234">
            <v>42202</v>
          </cell>
          <cell r="DT234">
            <v>0</v>
          </cell>
          <cell r="DU234">
            <v>42288</v>
          </cell>
          <cell r="DW234">
            <v>0</v>
          </cell>
          <cell r="DY234">
            <v>42274</v>
          </cell>
          <cell r="DZ234">
            <v>42203</v>
          </cell>
          <cell r="EA234" t="str">
            <v>Camusat</v>
          </cell>
          <cell r="EB234">
            <v>42216</v>
          </cell>
          <cell r="EE234"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30-Jul-15:on going excavation, dewatering due to flood								</v>
          </cell>
          <cell r="EJ234">
            <v>0</v>
          </cell>
          <cell r="EK234">
            <v>42289</v>
          </cell>
          <cell r="EM234">
            <v>42290</v>
          </cell>
          <cell r="EQ234">
            <v>42297</v>
          </cell>
          <cell r="EW234">
            <v>0</v>
          </cell>
          <cell r="EX234">
            <v>42311</v>
          </cell>
          <cell r="EZ234">
            <v>42307</v>
          </cell>
          <cell r="FB234">
            <v>42309</v>
          </cell>
          <cell r="FU234">
            <v>42311</v>
          </cell>
          <cell r="FW234">
            <v>42311</v>
          </cell>
          <cell r="GJ234">
            <v>0</v>
          </cell>
          <cell r="GN234" t="str">
            <v>ERICSSON</v>
          </cell>
          <cell r="GO234">
            <v>42150</v>
          </cell>
          <cell r="GU234" t="str">
            <v xml:space="preserve">		</v>
          </cell>
          <cell r="HD234">
            <v>1</v>
          </cell>
        </row>
        <row r="235">
          <cell r="A235" t="str">
            <v>KC0314</v>
          </cell>
          <cell r="B235" t="str">
            <v>ANKC_0020</v>
          </cell>
          <cell r="C235" t="str">
            <v>Apollo</v>
          </cell>
          <cell r="D235" t="str">
            <v>Adriaan Coetsee</v>
          </cell>
          <cell r="F235" t="str">
            <v>Aung Thu Win</v>
          </cell>
          <cell r="G235" t="str">
            <v>Shine Ko Ko</v>
          </cell>
          <cell r="H235" t="str">
            <v>RED</v>
          </cell>
          <cell r="I235" t="str">
            <v>North</v>
          </cell>
          <cell r="J235" t="str">
            <v>97.0036</v>
          </cell>
          <cell r="K235" t="str">
            <v>24.7805</v>
          </cell>
          <cell r="L235" t="str">
            <v>Rural</v>
          </cell>
          <cell r="M235" t="str">
            <v>Kachin</v>
          </cell>
          <cell r="N235" t="str">
            <v>Myitkyina</v>
          </cell>
          <cell r="O235" t="str">
            <v>Myitkyina</v>
          </cell>
          <cell r="P235" t="str">
            <v>Kachin</v>
          </cell>
          <cell r="Q235" t="str">
            <v>1</v>
          </cell>
          <cell r="R235" t="str">
            <v>Myitkyina</v>
          </cell>
          <cell r="S235" t="str">
            <v>1</v>
          </cell>
          <cell r="T235" t="str">
            <v>GSM+UMTS</v>
          </cell>
          <cell r="W235" t="str">
            <v>Ph2-Priority</v>
          </cell>
          <cell r="X235" t="str">
            <v>45</v>
          </cell>
          <cell r="Y235" t="str">
            <v>47</v>
          </cell>
          <cell r="Z235" t="str">
            <v>GBT</v>
          </cell>
          <cell r="AA235" t="str">
            <v>500</v>
          </cell>
          <cell r="AB235" t="str">
            <v>Access</v>
          </cell>
          <cell r="AC235" t="str">
            <v>Class C</v>
          </cell>
          <cell r="BE235" t="str">
            <v>Myitkyina - Bhamo - Muse</v>
          </cell>
          <cell r="BH235" t="str">
            <v>Camusat</v>
          </cell>
          <cell r="BJ235">
            <v>42172</v>
          </cell>
          <cell r="BK235">
            <v>42170</v>
          </cell>
          <cell r="BL235">
            <v>42177</v>
          </cell>
          <cell r="BM235">
            <v>42177</v>
          </cell>
          <cell r="BT235">
            <v>63</v>
          </cell>
          <cell r="BU235">
            <v>42255</v>
          </cell>
          <cell r="BY235" t="str">
            <v>Reject</v>
          </cell>
          <cell r="CB235" t="str">
            <v>03 Aug 15 : C1 SAR rejcted (RND rejected because this site is 3.75km far from the nominal point and 317m close with active site (KC0313_C01). Suggest to find the propose location at 343 degree 2.64km from nominal point);28 July 15:C1-SAR submission + justification</v>
          </cell>
          <cell r="CE235">
            <v>0</v>
          </cell>
          <cell r="CF235">
            <v>42256</v>
          </cell>
          <cell r="CH235">
            <v>42258</v>
          </cell>
          <cell r="CN235">
            <v>0</v>
          </cell>
          <cell r="CO235">
            <v>42261</v>
          </cell>
          <cell r="CR235">
            <v>0</v>
          </cell>
          <cell r="CS235">
            <v>42262</v>
          </cell>
          <cell r="CU235" t="str">
            <v>KC0314</v>
          </cell>
          <cell r="DH235">
            <v>0</v>
          </cell>
          <cell r="DI235">
            <v>42272</v>
          </cell>
          <cell r="DK235">
            <v>42269</v>
          </cell>
          <cell r="DM235">
            <v>42273</v>
          </cell>
          <cell r="DO235">
            <v>0</v>
          </cell>
          <cell r="DP235">
            <v>42272</v>
          </cell>
          <cell r="DT235">
            <v>0</v>
          </cell>
          <cell r="DU235">
            <v>42287</v>
          </cell>
          <cell r="DW235">
            <v>0</v>
          </cell>
          <cell r="DY235">
            <v>42273</v>
          </cell>
          <cell r="EA235" t="str">
            <v>Camusat</v>
          </cell>
          <cell r="EJ235">
            <v>0</v>
          </cell>
          <cell r="EK235">
            <v>42290</v>
          </cell>
          <cell r="EM235">
            <v>42291</v>
          </cell>
          <cell r="EQ235">
            <v>42300</v>
          </cell>
          <cell r="EW235">
            <v>0</v>
          </cell>
          <cell r="EX235">
            <v>42314</v>
          </cell>
          <cell r="EZ235">
            <v>42310</v>
          </cell>
          <cell r="FB235">
            <v>42312</v>
          </cell>
          <cell r="FU235">
            <v>42314</v>
          </cell>
          <cell r="FW235">
            <v>42314</v>
          </cell>
          <cell r="GJ235">
            <v>0</v>
          </cell>
          <cell r="GN235" t="str">
            <v>ERICSSON</v>
          </cell>
          <cell r="GS235" t="str">
            <v>4/4/4</v>
          </cell>
          <cell r="GU235" t="str">
            <v xml:space="preserve">		</v>
          </cell>
          <cell r="HD235">
            <v>1</v>
          </cell>
        </row>
        <row r="236">
          <cell r="A236" t="str">
            <v>KC0316</v>
          </cell>
          <cell r="B236" t="str">
            <v>ANKC_0021</v>
          </cell>
          <cell r="C236" t="str">
            <v>Apollo</v>
          </cell>
          <cell r="D236" t="str">
            <v>Adriaan Coetsee</v>
          </cell>
          <cell r="F236" t="str">
            <v>Aung Thu Win</v>
          </cell>
          <cell r="G236" t="str">
            <v>Shine Ko Ko</v>
          </cell>
          <cell r="H236" t="str">
            <v>RED</v>
          </cell>
          <cell r="I236" t="str">
            <v>North</v>
          </cell>
          <cell r="J236" t="str">
            <v>97.5697</v>
          </cell>
          <cell r="K236" t="str">
            <v>26.5397</v>
          </cell>
          <cell r="L236" t="str">
            <v>Rural(HW)</v>
          </cell>
          <cell r="M236" t="str">
            <v>Kachin</v>
          </cell>
          <cell r="N236" t="str">
            <v>Sumprabum</v>
          </cell>
          <cell r="O236" t="str">
            <v>Sumprabum</v>
          </cell>
          <cell r="P236" t="str">
            <v>Kachin</v>
          </cell>
          <cell r="Q236" t="str">
            <v>1</v>
          </cell>
          <cell r="R236" t="str">
            <v>Sumprabum</v>
          </cell>
          <cell r="S236" t="str">
            <v>15</v>
          </cell>
          <cell r="T236" t="str">
            <v>GSM+UMTS</v>
          </cell>
          <cell r="W236" t="str">
            <v>Ph2-Priority</v>
          </cell>
          <cell r="X236" t="str">
            <v>45</v>
          </cell>
          <cell r="Y236" t="str">
            <v>47</v>
          </cell>
          <cell r="AA236" t="str">
            <v>250</v>
          </cell>
          <cell r="AB236" t="str">
            <v>Access</v>
          </cell>
          <cell r="AC236" t="str">
            <v>Class C</v>
          </cell>
          <cell r="BE236" t="str">
            <v>Route 10 Mandalay - Myitkyina</v>
          </cell>
          <cell r="BH236" t="str">
            <v>Camusat</v>
          </cell>
          <cell r="BJ236">
            <v>42172</v>
          </cell>
          <cell r="BK236">
            <v>42166</v>
          </cell>
          <cell r="BL236">
            <v>42177</v>
          </cell>
          <cell r="BM236">
            <v>42173</v>
          </cell>
          <cell r="BT236">
            <v>67</v>
          </cell>
          <cell r="BU236">
            <v>42255</v>
          </cell>
          <cell r="CE236">
            <v>0</v>
          </cell>
          <cell r="CF236">
            <v>42256</v>
          </cell>
          <cell r="CH236">
            <v>42258</v>
          </cell>
          <cell r="CN236">
            <v>0</v>
          </cell>
          <cell r="CO236">
            <v>42261</v>
          </cell>
          <cell r="CR236">
            <v>0</v>
          </cell>
          <cell r="CS236">
            <v>42262</v>
          </cell>
          <cell r="CU236" t="str">
            <v>KC0316</v>
          </cell>
          <cell r="DH236">
            <v>0</v>
          </cell>
          <cell r="DI236">
            <v>42272</v>
          </cell>
          <cell r="DK236">
            <v>42269</v>
          </cell>
          <cell r="DM236">
            <v>42273</v>
          </cell>
          <cell r="DO236">
            <v>0</v>
          </cell>
          <cell r="DP236">
            <v>42272</v>
          </cell>
          <cell r="DT236">
            <v>0</v>
          </cell>
          <cell r="DU236">
            <v>42287</v>
          </cell>
          <cell r="DW236">
            <v>0</v>
          </cell>
          <cell r="DY236">
            <v>42273</v>
          </cell>
          <cell r="EA236" t="str">
            <v>Camusat</v>
          </cell>
          <cell r="EJ236">
            <v>0</v>
          </cell>
          <cell r="EK236">
            <v>42290</v>
          </cell>
          <cell r="EM236">
            <v>42291</v>
          </cell>
          <cell r="EQ236">
            <v>42300</v>
          </cell>
          <cell r="EW236">
            <v>0</v>
          </cell>
          <cell r="EX236">
            <v>42314</v>
          </cell>
          <cell r="EZ236">
            <v>42310</v>
          </cell>
          <cell r="FB236">
            <v>42312</v>
          </cell>
          <cell r="FU236">
            <v>42314</v>
          </cell>
          <cell r="FW236">
            <v>42314</v>
          </cell>
          <cell r="GJ236">
            <v>0</v>
          </cell>
          <cell r="GN236" t="str">
            <v>ERICSSON</v>
          </cell>
          <cell r="GU236" t="str">
            <v xml:space="preserve">		</v>
          </cell>
          <cell r="HD236">
            <v>1</v>
          </cell>
        </row>
        <row r="237">
          <cell r="A237" t="str">
            <v>KC0329</v>
          </cell>
          <cell r="B237" t="str">
            <v>ANKC_0022</v>
          </cell>
          <cell r="C237" t="str">
            <v>Apollo</v>
          </cell>
          <cell r="D237" t="str">
            <v>Adriaan Coetsee</v>
          </cell>
          <cell r="F237" t="str">
            <v>Aung Thu Win</v>
          </cell>
          <cell r="G237" t="str">
            <v>Shine Ko Ko</v>
          </cell>
          <cell r="H237" t="str">
            <v>RED</v>
          </cell>
          <cell r="I237" t="str">
            <v>North</v>
          </cell>
          <cell r="J237" t="str">
            <v>96.901545</v>
          </cell>
          <cell r="K237" t="str">
            <v>25.34505</v>
          </cell>
          <cell r="L237" t="str">
            <v>Rural</v>
          </cell>
          <cell r="M237" t="str">
            <v>Kachin</v>
          </cell>
          <cell r="N237" t="str">
            <v>Mogaung</v>
          </cell>
          <cell r="O237" t="str">
            <v>Mogaung</v>
          </cell>
          <cell r="P237" t="str">
            <v>Kachin</v>
          </cell>
          <cell r="Q237" t="str">
            <v>1</v>
          </cell>
          <cell r="R237" t="str">
            <v>Mogaung</v>
          </cell>
          <cell r="S237" t="str">
            <v>8</v>
          </cell>
          <cell r="T237" t="str">
            <v>GSM+UMTS</v>
          </cell>
          <cell r="W237" t="str">
            <v>Ph2-Priority</v>
          </cell>
          <cell r="X237" t="str">
            <v>45</v>
          </cell>
          <cell r="Y237" t="str">
            <v>47</v>
          </cell>
          <cell r="Z237" t="str">
            <v>GBT</v>
          </cell>
          <cell r="AA237" t="str">
            <v>500</v>
          </cell>
          <cell r="AB237" t="str">
            <v>Access</v>
          </cell>
          <cell r="AC237" t="str">
            <v>Class C</v>
          </cell>
          <cell r="BE237" t="str">
            <v>NPT Metro</v>
          </cell>
          <cell r="BH237" t="str">
            <v>Camusat</v>
          </cell>
          <cell r="BJ237">
            <v>42172</v>
          </cell>
          <cell r="BK237">
            <v>42167</v>
          </cell>
          <cell r="BL237">
            <v>42177</v>
          </cell>
          <cell r="BM237">
            <v>42174</v>
          </cell>
          <cell r="BT237">
            <v>46</v>
          </cell>
          <cell r="BU237">
            <v>42255</v>
          </cell>
          <cell r="BV237">
            <v>42213</v>
          </cell>
          <cell r="BW237" t="str">
            <v>96.9024</v>
          </cell>
          <cell r="BX237" t="str">
            <v>25.3416</v>
          </cell>
          <cell r="BY237" t="str">
            <v>C1</v>
          </cell>
          <cell r="BZ237" t="str">
            <v>NO.4/41 KUNCHANSU VILLAGE, OAKTARATHIRI TSP, NAY PYI TAW</v>
          </cell>
          <cell r="CA237" t="str">
            <v>AY YAR MYO MYINT / 09-5103693/ 09-799187137</v>
          </cell>
          <cell r="CB237" t="str">
            <v>28 July 15:C1-SAR submission</v>
          </cell>
          <cell r="CC237" t="str">
            <v>Village</v>
          </cell>
          <cell r="CE237">
            <v>1</v>
          </cell>
          <cell r="CF237">
            <v>42256</v>
          </cell>
          <cell r="CG237">
            <v>42214</v>
          </cell>
          <cell r="CH237">
            <v>42258</v>
          </cell>
          <cell r="CJ237">
            <v>42211</v>
          </cell>
          <cell r="CK237" t="str">
            <v>45</v>
          </cell>
          <cell r="CL237" t="str">
            <v>47</v>
          </cell>
          <cell r="CM237" t="str">
            <v>50</v>
          </cell>
          <cell r="CN237">
            <v>19</v>
          </cell>
          <cell r="CO237">
            <v>42261</v>
          </cell>
          <cell r="CP237">
            <v>42213</v>
          </cell>
          <cell r="CQ237" t="str">
            <v>M4: solar + DG + battery</v>
          </cell>
          <cell r="CR237">
            <v>0</v>
          </cell>
          <cell r="CS237">
            <v>42262</v>
          </cell>
          <cell r="CT237">
            <v>42214</v>
          </cell>
          <cell r="CU237" t="str">
            <v>KC0329</v>
          </cell>
          <cell r="DH237">
            <v>0</v>
          </cell>
          <cell r="DI237">
            <v>42272</v>
          </cell>
          <cell r="DK237">
            <v>42269</v>
          </cell>
          <cell r="DM237">
            <v>42273</v>
          </cell>
          <cell r="DO237">
            <v>0</v>
          </cell>
          <cell r="DP237">
            <v>42272</v>
          </cell>
          <cell r="DT237">
            <v>0</v>
          </cell>
          <cell r="DU237">
            <v>42287</v>
          </cell>
          <cell r="DW237">
            <v>0</v>
          </cell>
          <cell r="DY237">
            <v>42273</v>
          </cell>
          <cell r="DZ237">
            <v>42223</v>
          </cell>
          <cell r="EA237" t="str">
            <v>Camusat</v>
          </cell>
          <cell r="EJ237">
            <v>0</v>
          </cell>
          <cell r="EK237">
            <v>42290</v>
          </cell>
          <cell r="EM237">
            <v>42291</v>
          </cell>
          <cell r="EQ237">
            <v>42300</v>
          </cell>
          <cell r="EW237">
            <v>0</v>
          </cell>
          <cell r="EX237">
            <v>42314</v>
          </cell>
          <cell r="EZ237">
            <v>42310</v>
          </cell>
          <cell r="FB237">
            <v>42312</v>
          </cell>
          <cell r="FU237">
            <v>42314</v>
          </cell>
          <cell r="FW237">
            <v>42314</v>
          </cell>
          <cell r="GJ237">
            <v>0</v>
          </cell>
          <cell r="GN237" t="str">
            <v>ERICSSON</v>
          </cell>
          <cell r="GO237">
            <v>42200</v>
          </cell>
          <cell r="HD237">
            <v>1</v>
          </cell>
        </row>
        <row r="238">
          <cell r="A238" t="str">
            <v>KC0334</v>
          </cell>
          <cell r="B238" t="str">
            <v>ANKC_0023</v>
          </cell>
          <cell r="C238" t="str">
            <v>Apollo</v>
          </cell>
          <cell r="D238" t="str">
            <v>Adriaan Coetsee</v>
          </cell>
          <cell r="F238" t="str">
            <v>Aung Thu Win</v>
          </cell>
          <cell r="G238" t="str">
            <v>Shine Ko Ko</v>
          </cell>
          <cell r="H238" t="str">
            <v>RED</v>
          </cell>
          <cell r="I238" t="str">
            <v>North</v>
          </cell>
          <cell r="J238" t="str">
            <v>97.290838</v>
          </cell>
          <cell r="K238" t="str">
            <v>24.321719</v>
          </cell>
          <cell r="L238" t="str">
            <v>Rural</v>
          </cell>
          <cell r="M238" t="str">
            <v>Kachin</v>
          </cell>
          <cell r="N238" t="str">
            <v>Bhamo</v>
          </cell>
          <cell r="O238" t="str">
            <v>Bhamo</v>
          </cell>
          <cell r="P238" t="str">
            <v>Kachin</v>
          </cell>
          <cell r="Q238" t="str">
            <v>1</v>
          </cell>
          <cell r="R238" t="str">
            <v>Bhamo</v>
          </cell>
          <cell r="S238" t="str">
            <v>10</v>
          </cell>
          <cell r="T238" t="str">
            <v>GSM+UMTS</v>
          </cell>
          <cell r="W238" t="str">
            <v>Ph2-Priority</v>
          </cell>
          <cell r="X238" t="str">
            <v>45</v>
          </cell>
          <cell r="Y238" t="str">
            <v>47</v>
          </cell>
          <cell r="Z238" t="str">
            <v>GBT</v>
          </cell>
          <cell r="AA238" t="str">
            <v>500</v>
          </cell>
          <cell r="AB238" t="str">
            <v>Access</v>
          </cell>
          <cell r="AC238" t="str">
            <v>Class C</v>
          </cell>
          <cell r="BH238" t="str">
            <v>Camusat</v>
          </cell>
          <cell r="BJ238">
            <v>42172</v>
          </cell>
          <cell r="BK238">
            <v>42167</v>
          </cell>
          <cell r="BL238">
            <v>42177</v>
          </cell>
          <cell r="BM238">
            <v>42174</v>
          </cell>
          <cell r="BT238">
            <v>34</v>
          </cell>
          <cell r="BU238">
            <v>42256</v>
          </cell>
          <cell r="BV238">
            <v>42201</v>
          </cell>
          <cell r="BW238" t="str">
            <v>97.28956</v>
          </cell>
          <cell r="BX238" t="str">
            <v>24.321763</v>
          </cell>
          <cell r="BY238" t="str">
            <v>C1</v>
          </cell>
          <cell r="BZ238" t="str">
            <v>TharSi village, Moe Mate village Group, Ba Maw Township.</v>
          </cell>
          <cell r="CA238" t="str">
            <v>U Hla Nyo</v>
          </cell>
          <cell r="CB238" t="str">
            <v>16 July 15 :C1-SAR submission</v>
          </cell>
          <cell r="CC238" t="str">
            <v>Town / Village</v>
          </cell>
          <cell r="CE238">
            <v>4</v>
          </cell>
          <cell r="CF238">
            <v>42257</v>
          </cell>
          <cell r="CG238">
            <v>42205</v>
          </cell>
          <cell r="CH238">
            <v>42259</v>
          </cell>
          <cell r="CJ238">
            <v>42227</v>
          </cell>
          <cell r="CK238" t="str">
            <v>45</v>
          </cell>
          <cell r="CL238" t="str">
            <v>47</v>
          </cell>
          <cell r="CM238" t="str">
            <v>50</v>
          </cell>
          <cell r="CN238">
            <v>24</v>
          </cell>
          <cell r="CO238">
            <v>42262</v>
          </cell>
          <cell r="CP238">
            <v>42229</v>
          </cell>
          <cell r="CQ238" t="str">
            <v>M4: solar + DG + battery</v>
          </cell>
          <cell r="CR238">
            <v>4</v>
          </cell>
          <cell r="CS238">
            <v>42263</v>
          </cell>
          <cell r="CT238">
            <v>42234</v>
          </cell>
          <cell r="CU238" t="str">
            <v>KC0334</v>
          </cell>
          <cell r="DH238">
            <v>0</v>
          </cell>
          <cell r="DI238">
            <v>42273</v>
          </cell>
          <cell r="DK238">
            <v>42270</v>
          </cell>
          <cell r="DL238">
            <v>42172</v>
          </cell>
          <cell r="DM238">
            <v>42274</v>
          </cell>
          <cell r="DN238">
            <v>42172</v>
          </cell>
          <cell r="DO238">
            <v>0</v>
          </cell>
          <cell r="DP238">
            <v>42273</v>
          </cell>
          <cell r="DT238">
            <v>0</v>
          </cell>
          <cell r="DU238">
            <v>42288</v>
          </cell>
          <cell r="DW238">
            <v>0</v>
          </cell>
          <cell r="DY238">
            <v>42274</v>
          </cell>
          <cell r="DZ238">
            <v>42168</v>
          </cell>
          <cell r="EA238" t="str">
            <v>Camusat</v>
          </cell>
          <cell r="ED238" t="str">
            <v>30Jul15 :ChoYee.Thaung: 23/7/15 : Tower erection done with pole mount, power equ on site and install done, grounding done, cable tray done, RFI, Fencing on going but site is pending by local authority (18.7.15)_x000D_
14/7/15 : Tower erection full height
14Jul15 :ChoYee.Thaung: 9/7/15 : Tower erection start yesterday and today on going (10 M), Equipment pad done_x000D_
2/7/15 : Backfilling on going with compactor, Equipment pad column done, steel cutting and formwork prepare for Equipment slab, Tower materials on site (28/6/15)_x000D_
1/7/15 : Footing casted done, pedestal casted done today, backfilling will start tomorrow
24Jun15 :ChoYee.Thaung: Excavation done (18/6/15), Lean done, Rebar work done with form work, Footing will cast tomorrow, Excavation done for Equipment pad_x000D_
18/6/15 : Demarcation only</v>
          </cell>
          <cell r="EI238" t="str">
            <v>M7: 2DG + battery      </v>
          </cell>
          <cell r="EJ238">
            <v>0</v>
          </cell>
          <cell r="EK238">
            <v>42291</v>
          </cell>
          <cell r="EL238">
            <v>42187</v>
          </cell>
          <cell r="EM238">
            <v>42292</v>
          </cell>
          <cell r="EN238">
            <v>42187</v>
          </cell>
          <cell r="EQ238">
            <v>42301</v>
          </cell>
          <cell r="ER238">
            <v>42200</v>
          </cell>
          <cell r="ES238">
            <v>42191</v>
          </cell>
          <cell r="ET238">
            <v>42201</v>
          </cell>
          <cell r="EU238">
            <v>42201</v>
          </cell>
          <cell r="EW238">
            <v>0</v>
          </cell>
          <cell r="EX238">
            <v>42315</v>
          </cell>
          <cell r="EZ238">
            <v>42311</v>
          </cell>
          <cell r="FA238">
            <v>42205</v>
          </cell>
          <cell r="FB238">
            <v>42313</v>
          </cell>
          <cell r="FC238">
            <v>42205</v>
          </cell>
          <cell r="FE238">
            <v>42179</v>
          </cell>
          <cell r="FU238">
            <v>42315</v>
          </cell>
          <cell r="FW238">
            <v>42315</v>
          </cell>
          <cell r="FY238" t="str">
            <v>UT</v>
          </cell>
          <cell r="FZ238">
            <v>42191</v>
          </cell>
          <cell r="GA238">
            <v>42193</v>
          </cell>
          <cell r="GB238">
            <v>42197</v>
          </cell>
          <cell r="GE238">
            <v>42197</v>
          </cell>
          <cell r="GI238">
            <v>42246</v>
          </cell>
          <cell r="GJ238">
            <v>0</v>
          </cell>
          <cell r="GL238" t="str">
            <v>H/O issue :: Local Govt. Authority Create problem regarding Hazard Issue</v>
          </cell>
          <cell r="GN238" t="str">
            <v xml:space="preserve">ERICSSON </v>
          </cell>
          <cell r="GO238">
            <v>42137</v>
          </cell>
          <cell r="GP238">
            <v>42199</v>
          </cell>
          <cell r="GQ238" t="str">
            <v xml:space="preserve">H/O Issue; </v>
          </cell>
          <cell r="GU238" t="str">
            <v xml:space="preserve">		</v>
          </cell>
          <cell r="HD238">
            <v>1</v>
          </cell>
        </row>
        <row r="239">
          <cell r="A239" t="str">
            <v>KC0335</v>
          </cell>
          <cell r="B239" t="str">
            <v>ANKC_0024</v>
          </cell>
          <cell r="C239" t="str">
            <v>Apollo</v>
          </cell>
          <cell r="D239" t="str">
            <v>Adriaan Coetsee</v>
          </cell>
          <cell r="F239" t="str">
            <v>Aung Thu Win</v>
          </cell>
          <cell r="G239" t="str">
            <v>Shine Ko Ko</v>
          </cell>
          <cell r="H239" t="str">
            <v>RED</v>
          </cell>
          <cell r="I239" t="str">
            <v>North</v>
          </cell>
          <cell r="J239" t="str">
            <v>97.344344</v>
          </cell>
          <cell r="K239" t="str">
            <v>24.346975</v>
          </cell>
          <cell r="L239" t="str">
            <v>Rural</v>
          </cell>
          <cell r="M239" t="str">
            <v>Kachin</v>
          </cell>
          <cell r="N239" t="str">
            <v>Bhamo</v>
          </cell>
          <cell r="O239" t="str">
            <v>Bhamo</v>
          </cell>
          <cell r="P239" t="str">
            <v>Kachin</v>
          </cell>
          <cell r="Q239" t="str">
            <v>1</v>
          </cell>
          <cell r="R239" t="str">
            <v>Bhamo</v>
          </cell>
          <cell r="S239" t="str">
            <v>10</v>
          </cell>
          <cell r="T239" t="str">
            <v>GSM+UMTS</v>
          </cell>
          <cell r="W239" t="str">
            <v>Ph2-Priority</v>
          </cell>
          <cell r="X239" t="str">
            <v>45</v>
          </cell>
          <cell r="Y239" t="str">
            <v>47</v>
          </cell>
          <cell r="Z239" t="str">
            <v>GBT</v>
          </cell>
          <cell r="AA239" t="str">
            <v>500</v>
          </cell>
          <cell r="AB239" t="str">
            <v>Access</v>
          </cell>
          <cell r="AC239" t="str">
            <v>Class C</v>
          </cell>
          <cell r="BH239" t="str">
            <v>Camusat</v>
          </cell>
          <cell r="BJ239">
            <v>42172</v>
          </cell>
          <cell r="BK239">
            <v>42167</v>
          </cell>
          <cell r="BL239">
            <v>42177</v>
          </cell>
          <cell r="BM239">
            <v>42174</v>
          </cell>
          <cell r="BT239">
            <v>37</v>
          </cell>
          <cell r="BU239">
            <v>42256</v>
          </cell>
          <cell r="BV239">
            <v>42204</v>
          </cell>
          <cell r="BW239" t="str">
            <v>97.34164</v>
          </cell>
          <cell r="BX239" t="str">
            <v>24.34334</v>
          </cell>
          <cell r="BY239" t="str">
            <v>C1</v>
          </cell>
          <cell r="BZ239" t="str">
            <v>Ma-Au-Pin Village, Ma-au-pin village group, Bhamo Township, Kachin State</v>
          </cell>
          <cell r="CA239" t="str">
            <v>U Win Myint</v>
          </cell>
          <cell r="CB239" t="str">
            <v>25May15: C1 SAR Sub</v>
          </cell>
          <cell r="CC239" t="str">
            <v>Village</v>
          </cell>
          <cell r="CE239">
            <v>2</v>
          </cell>
          <cell r="CF239">
            <v>42257</v>
          </cell>
          <cell r="CG239">
            <v>42206</v>
          </cell>
          <cell r="CH239">
            <v>42259</v>
          </cell>
          <cell r="CJ239">
            <v>42227</v>
          </cell>
          <cell r="CK239" t="str">
            <v>45</v>
          </cell>
          <cell r="CL239" t="str">
            <v>47</v>
          </cell>
          <cell r="CM239" t="str">
            <v>50</v>
          </cell>
          <cell r="CN239">
            <v>23</v>
          </cell>
          <cell r="CO239">
            <v>42262</v>
          </cell>
          <cell r="CP239">
            <v>42229</v>
          </cell>
          <cell r="CQ239" t="str">
            <v>M4: solar + DG + battery</v>
          </cell>
          <cell r="CR239">
            <v>4</v>
          </cell>
          <cell r="CS239">
            <v>42263</v>
          </cell>
          <cell r="CT239">
            <v>42234</v>
          </cell>
          <cell r="CU239" t="str">
            <v>KC0335</v>
          </cell>
          <cell r="DH239">
            <v>0</v>
          </cell>
          <cell r="DI239">
            <v>42273</v>
          </cell>
          <cell r="DK239">
            <v>42270</v>
          </cell>
          <cell r="DL239">
            <v>42167</v>
          </cell>
          <cell r="DM239">
            <v>42274</v>
          </cell>
          <cell r="DN239">
            <v>42175</v>
          </cell>
          <cell r="DO239">
            <v>0</v>
          </cell>
          <cell r="DP239">
            <v>42273</v>
          </cell>
          <cell r="DT239">
            <v>0</v>
          </cell>
          <cell r="DU239">
            <v>42288</v>
          </cell>
          <cell r="DW239">
            <v>0</v>
          </cell>
          <cell r="DY239">
            <v>42274</v>
          </cell>
          <cell r="DZ239">
            <v>42175</v>
          </cell>
          <cell r="EA239" t="str">
            <v>Camusat</v>
          </cell>
          <cell r="EB239">
            <v>42212</v>
          </cell>
          <cell r="ED239" t="str">
            <v>14Jul15 :ChoYee.Thaung: 9/7/15 : Rebar work done, footing casted done, waiting for anchor bolt and nut, _x000D_
2/7/15 : Rebar work on going_x000D_
1/7/15 : Excavation done, rebar work on going
24Jun15 :ChoYee.Thaung: Excavation on going</v>
          </cell>
          <cell r="EE239" t="str">
            <v xml:space="preserve">10 Aug 15:Flood affected_Hold-No access; 27-Jul-15: ACCESS PROBLEM IF CONTINUOUS RAIN (DIRT ROAD),access road issue-broken bridge on the wat to site 								</v>
          </cell>
          <cell r="EJ239">
            <v>0</v>
          </cell>
          <cell r="EK239">
            <v>42291</v>
          </cell>
          <cell r="EL239">
            <v>42199</v>
          </cell>
          <cell r="EM239">
            <v>42292</v>
          </cell>
          <cell r="EN239">
            <v>42202</v>
          </cell>
          <cell r="EQ239">
            <v>42301</v>
          </cell>
          <cell r="ES239">
            <v>42209</v>
          </cell>
          <cell r="EW239">
            <v>0</v>
          </cell>
          <cell r="EX239">
            <v>42315</v>
          </cell>
          <cell r="EZ239">
            <v>42311</v>
          </cell>
          <cell r="FA239">
            <v>42229</v>
          </cell>
          <cell r="FB239">
            <v>42313</v>
          </cell>
          <cell r="FC239">
            <v>42234</v>
          </cell>
          <cell r="FE239">
            <v>42193</v>
          </cell>
          <cell r="FU239">
            <v>42315</v>
          </cell>
          <cell r="FW239">
            <v>42315</v>
          </cell>
          <cell r="FY239" t="str">
            <v>TN</v>
          </cell>
          <cell r="FZ239">
            <v>42205</v>
          </cell>
          <cell r="GA239">
            <v>42206</v>
          </cell>
          <cell r="GB239">
            <v>42221</v>
          </cell>
          <cell r="GE239">
            <v>42221</v>
          </cell>
          <cell r="GF239">
            <v>42221</v>
          </cell>
          <cell r="GI239">
            <v>42246</v>
          </cell>
          <cell r="GJ239">
            <v>0</v>
          </cell>
          <cell r="GL239" t="str">
            <v>AZM to TN</v>
          </cell>
          <cell r="GN239" t="str">
            <v xml:space="preserve">ERICSSON </v>
          </cell>
          <cell r="GQ239">
            <v>0</v>
          </cell>
          <cell r="GU239" t="str">
            <v xml:space="preserve">		</v>
          </cell>
          <cell r="HD239">
            <v>1</v>
          </cell>
        </row>
        <row r="240">
          <cell r="A240" t="str">
            <v>KC0336</v>
          </cell>
          <cell r="B240" t="str">
            <v>ANKC_0025</v>
          </cell>
          <cell r="C240" t="str">
            <v>Apollo</v>
          </cell>
          <cell r="D240" t="str">
            <v>Adriaan Coetsee</v>
          </cell>
          <cell r="F240" t="str">
            <v>Aung Thu Win</v>
          </cell>
          <cell r="G240" t="str">
            <v>Shine Ko Ko</v>
          </cell>
          <cell r="H240" t="str">
            <v>RED</v>
          </cell>
          <cell r="I240" t="str">
            <v>North</v>
          </cell>
          <cell r="J240" t="str">
            <v>96.755743</v>
          </cell>
          <cell r="K240" t="str">
            <v>24.250787</v>
          </cell>
          <cell r="L240" t="str">
            <v>Rural</v>
          </cell>
          <cell r="M240" t="str">
            <v>Kachin</v>
          </cell>
          <cell r="N240" t="str">
            <v>Shwegu</v>
          </cell>
          <cell r="O240" t="str">
            <v>Shwegu</v>
          </cell>
          <cell r="P240" t="str">
            <v>Kachin</v>
          </cell>
          <cell r="Q240" t="str">
            <v>1</v>
          </cell>
          <cell r="R240" t="str">
            <v>Shwegu</v>
          </cell>
          <cell r="S240" t="str">
            <v>11</v>
          </cell>
          <cell r="T240" t="str">
            <v>GSM+UMTS</v>
          </cell>
          <cell r="W240" t="str">
            <v>Ph2-Priority</v>
          </cell>
          <cell r="X240" t="str">
            <v>45</v>
          </cell>
          <cell r="Y240" t="str">
            <v>47</v>
          </cell>
          <cell r="Z240" t="str">
            <v>GBT</v>
          </cell>
          <cell r="AA240" t="str">
            <v>500</v>
          </cell>
          <cell r="AB240" t="str">
            <v>Access</v>
          </cell>
          <cell r="AC240" t="str">
            <v>Class C</v>
          </cell>
          <cell r="BE240" t="str">
            <v>Taunggyi-Loikaw-Taungoo</v>
          </cell>
          <cell r="BH240" t="str">
            <v>Camusat</v>
          </cell>
          <cell r="BJ240">
            <v>42172</v>
          </cell>
          <cell r="BK240">
            <v>42121</v>
          </cell>
          <cell r="BL240">
            <v>42177</v>
          </cell>
          <cell r="BM240">
            <v>42156</v>
          </cell>
          <cell r="BT240">
            <v>84</v>
          </cell>
          <cell r="BU240">
            <v>42255</v>
          </cell>
          <cell r="BV240">
            <v>42200</v>
          </cell>
          <cell r="BW240" t="str">
            <v>96.75517</v>
          </cell>
          <cell r="BX240" t="str">
            <v>24.24964</v>
          </cell>
          <cell r="BY240" t="str">
            <v>C1</v>
          </cell>
          <cell r="BZ240" t="str">
            <v>Mite Kan Village Group, Loi Kaw Township, Kayah</v>
          </cell>
          <cell r="CA240" t="str">
            <v>U Khun Hawee Hteet</v>
          </cell>
          <cell r="CB240" t="str">
            <v>15 July 15 :C1-SAR submission</v>
          </cell>
          <cell r="CC240" t="str">
            <v>Village</v>
          </cell>
          <cell r="CE240">
            <v>2</v>
          </cell>
          <cell r="CF240">
            <v>42256</v>
          </cell>
          <cell r="CG240">
            <v>42202</v>
          </cell>
          <cell r="CH240">
            <v>42258</v>
          </cell>
          <cell r="CJ240">
            <v>42221</v>
          </cell>
          <cell r="CK240" t="str">
            <v>45</v>
          </cell>
          <cell r="CL240" t="str">
            <v>47</v>
          </cell>
          <cell r="CM240" t="str">
            <v>60</v>
          </cell>
          <cell r="CN240">
            <v>31</v>
          </cell>
          <cell r="CO240">
            <v>42261</v>
          </cell>
          <cell r="CP240">
            <v>42223</v>
          </cell>
          <cell r="CQ240" t="str">
            <v>M4: solar + DG + battery</v>
          </cell>
          <cell r="CR240">
            <v>0</v>
          </cell>
          <cell r="CS240">
            <v>42262</v>
          </cell>
          <cell r="CT240">
            <v>42226</v>
          </cell>
          <cell r="CU240" t="str">
            <v>KC0336</v>
          </cell>
          <cell r="DH240">
            <v>0</v>
          </cell>
          <cell r="DI240">
            <v>42272</v>
          </cell>
          <cell r="DK240">
            <v>42269</v>
          </cell>
          <cell r="DM240">
            <v>42273</v>
          </cell>
          <cell r="DO240">
            <v>0</v>
          </cell>
          <cell r="DP240">
            <v>42272</v>
          </cell>
          <cell r="DT240">
            <v>0</v>
          </cell>
          <cell r="DU240">
            <v>42287</v>
          </cell>
          <cell r="DW240">
            <v>0</v>
          </cell>
          <cell r="DY240">
            <v>42273</v>
          </cell>
          <cell r="EA240" t="str">
            <v>Camusat</v>
          </cell>
          <cell r="EJ240">
            <v>0</v>
          </cell>
          <cell r="EK240">
            <v>42290</v>
          </cell>
          <cell r="EM240">
            <v>42291</v>
          </cell>
          <cell r="EQ240">
            <v>42300</v>
          </cell>
          <cell r="EW240">
            <v>0</v>
          </cell>
          <cell r="EX240">
            <v>42314</v>
          </cell>
          <cell r="EZ240">
            <v>42310</v>
          </cell>
          <cell r="FB240">
            <v>42312</v>
          </cell>
          <cell r="FU240">
            <v>42314</v>
          </cell>
          <cell r="FW240">
            <v>42314</v>
          </cell>
          <cell r="GJ240">
            <v>0</v>
          </cell>
          <cell r="GN240" t="str">
            <v>ERICSSON</v>
          </cell>
          <cell r="GU240" t="str">
            <v xml:space="preserve">		</v>
          </cell>
          <cell r="HD240">
            <v>1</v>
          </cell>
        </row>
        <row r="241">
          <cell r="A241" t="str">
            <v>KY0147</v>
          </cell>
          <cell r="B241" t="str">
            <v>ASKH_0001</v>
          </cell>
          <cell r="C241" t="str">
            <v>Apollo</v>
          </cell>
          <cell r="D241" t="str">
            <v>Chris Thomson</v>
          </cell>
          <cell r="F241" t="str">
            <v>Phyo Wai Maung</v>
          </cell>
          <cell r="G241" t="str">
            <v>Paing Thu Soe</v>
          </cell>
          <cell r="H241" t="str">
            <v>GREEN</v>
          </cell>
          <cell r="I241" t="str">
            <v>South</v>
          </cell>
          <cell r="J241" t="str">
            <v>97.1298399858888</v>
          </cell>
          <cell r="K241" t="str">
            <v>19.414191931724</v>
          </cell>
          <cell r="L241" t="str">
            <v>Suburban</v>
          </cell>
          <cell r="M241" t="str">
            <v>Kayah</v>
          </cell>
          <cell r="N241" t="str">
            <v>Hpruso</v>
          </cell>
          <cell r="O241" t="str">
            <v>Hpruso</v>
          </cell>
          <cell r="P241" t="str">
            <v>Kayah</v>
          </cell>
          <cell r="Q241" t="str">
            <v>3</v>
          </cell>
          <cell r="R241" t="str">
            <v>Hpruso</v>
          </cell>
          <cell r="S241" t="str">
            <v>21</v>
          </cell>
          <cell r="T241" t="str">
            <v>GSM+UMTS</v>
          </cell>
          <cell r="W241" t="str">
            <v>Ph2-Priority</v>
          </cell>
          <cell r="X241" t="str">
            <v>35</v>
          </cell>
          <cell r="Y241" t="str">
            <v>37</v>
          </cell>
          <cell r="Z241" t="str">
            <v>GBT</v>
          </cell>
          <cell r="AA241" t="str">
            <v>250</v>
          </cell>
          <cell r="AB241" t="str">
            <v>Access</v>
          </cell>
          <cell r="AC241" t="str">
            <v>Class B</v>
          </cell>
          <cell r="BE241" t="str">
            <v>Route 12 Taunggyi-Taungoo</v>
          </cell>
          <cell r="BH241" t="str">
            <v>GTL</v>
          </cell>
          <cell r="BJ241">
            <v>42129</v>
          </cell>
          <cell r="BK241">
            <v>42126</v>
          </cell>
          <cell r="BL241">
            <v>42134</v>
          </cell>
          <cell r="BM241">
            <v>42133</v>
          </cell>
          <cell r="BT241">
            <v>17</v>
          </cell>
          <cell r="BU241">
            <v>42171</v>
          </cell>
          <cell r="BV241">
            <v>42143</v>
          </cell>
          <cell r="BW241" t="str">
            <v>97.12601</v>
          </cell>
          <cell r="BX241" t="str">
            <v>19.4157</v>
          </cell>
          <cell r="BY241" t="str">
            <v>C2</v>
          </cell>
          <cell r="BZ241" t="str">
            <v>Hta/37,No(1) Street ,Htee Ta Ye Ward.</v>
          </cell>
          <cell r="CA241" t="str">
            <v>U Sal Kaw;Hta/37, Htee Ta Ye Ward, Hpruso Township;09 36094464,083 45053</v>
          </cell>
          <cell r="CB241" t="str">
            <v>20 May 15 : C2 SAR approved as an option 1(RND approved with 35m/37m GBT;Site dependence on Repeater - KY0171_R1 (97.239161, 19.297457) (45M)); 19May15: C2 SAR Sub. C1 Owner Backout. 12 May 15 : C1 SAR approved as an option 1(TND approved as fiber site and no MW link for this site); 10May15: C1 SAR Sub.</v>
          </cell>
          <cell r="CE241">
            <v>1</v>
          </cell>
          <cell r="CF241">
            <v>42172</v>
          </cell>
          <cell r="CG241">
            <v>42144</v>
          </cell>
          <cell r="CH241">
            <v>42174</v>
          </cell>
          <cell r="CJ241">
            <v>42157</v>
          </cell>
          <cell r="CK241" t="str">
            <v>35</v>
          </cell>
          <cell r="CL241" t="str">
            <v>37</v>
          </cell>
          <cell r="CM241" t="str">
            <v>60</v>
          </cell>
          <cell r="CN241">
            <v>15</v>
          </cell>
          <cell r="CO241">
            <v>42177</v>
          </cell>
          <cell r="CP241">
            <v>42159</v>
          </cell>
          <cell r="CQ241" t="str">
            <v>M1: grid power + battery</v>
          </cell>
          <cell r="CR241">
            <v>5</v>
          </cell>
          <cell r="CS241">
            <v>42178</v>
          </cell>
          <cell r="CT241">
            <v>42164</v>
          </cell>
          <cell r="CU241" t="str">
            <v>KY0147</v>
          </cell>
          <cell r="DH241">
            <v>69</v>
          </cell>
          <cell r="DI241">
            <v>42188</v>
          </cell>
          <cell r="DJ241">
            <v>42217</v>
          </cell>
          <cell r="DK241">
            <v>42185</v>
          </cell>
          <cell r="DL241">
            <v>42180</v>
          </cell>
          <cell r="DM241">
            <v>42189</v>
          </cell>
          <cell r="DN241">
            <v>42180</v>
          </cell>
          <cell r="DO241">
            <v>0</v>
          </cell>
          <cell r="DP241">
            <v>42188</v>
          </cell>
          <cell r="DQ241">
            <v>42217</v>
          </cell>
          <cell r="DT241">
            <v>0</v>
          </cell>
          <cell r="DU241">
            <v>42203</v>
          </cell>
          <cell r="DW241">
            <v>0</v>
          </cell>
          <cell r="DY241">
            <v>42189</v>
          </cell>
          <cell r="DZ241">
            <v>42180</v>
          </cell>
          <cell r="EA241" t="str">
            <v>GTL</v>
          </cell>
          <cell r="ED241" t="str">
            <v>10Aug15 :PaingThu.Soe: 7-8-15 Erection done.Grounding done.Telecom installation making.Waiting Fiber.
03Aug15 :PaingThu.Soe: 29-7-15 Erection on going.Grounding making in progress.Power on site.
13Jul15 :PaingThu.Soe: 13-7-15 Footing done.Column pedestal done.</v>
          </cell>
          <cell r="EE241" t="str">
            <v xml:space="preserve">10 Aug 15:Rain affected_Progress affected; 30-Jul-15:Rain affected_ Site is progressing but rain is affecting the work every day. Excavation to start								</v>
          </cell>
          <cell r="EI241" t="str">
            <v>M5: grid power + DG + battery      </v>
          </cell>
          <cell r="EJ241">
            <v>12</v>
          </cell>
          <cell r="EK241">
            <v>42211</v>
          </cell>
          <cell r="EL241">
            <v>42192</v>
          </cell>
          <cell r="EM241">
            <v>42212</v>
          </cell>
          <cell r="EN241">
            <v>42200</v>
          </cell>
          <cell r="EQ241">
            <v>42224</v>
          </cell>
          <cell r="ER241">
            <v>42209</v>
          </cell>
          <cell r="ES241">
            <v>42199</v>
          </cell>
          <cell r="ET241">
            <v>42210</v>
          </cell>
          <cell r="EU241">
            <v>42210</v>
          </cell>
          <cell r="EW241">
            <v>53</v>
          </cell>
          <cell r="EX241">
            <v>42238</v>
          </cell>
          <cell r="EZ241">
            <v>42234</v>
          </cell>
          <cell r="FA241">
            <v>42207</v>
          </cell>
          <cell r="FB241">
            <v>42236</v>
          </cell>
          <cell r="FC241">
            <v>42210</v>
          </cell>
          <cell r="FE241">
            <v>42193</v>
          </cell>
          <cell r="FU241">
            <v>42238</v>
          </cell>
          <cell r="FW241">
            <v>42238</v>
          </cell>
          <cell r="FX241">
            <v>42211</v>
          </cell>
          <cell r="FY241" t="str">
            <v>AZM</v>
          </cell>
          <cell r="FZ241">
            <v>42212</v>
          </cell>
          <cell r="GA241">
            <v>42215</v>
          </cell>
          <cell r="GB241">
            <v>42217</v>
          </cell>
          <cell r="GC241">
            <v>42217</v>
          </cell>
          <cell r="GD241">
            <v>42217</v>
          </cell>
          <cell r="GE241">
            <v>42219</v>
          </cell>
          <cell r="GF241">
            <v>42219</v>
          </cell>
          <cell r="GG241">
            <v>42219</v>
          </cell>
          <cell r="GH241">
            <v>42236</v>
          </cell>
          <cell r="GI241">
            <v>42246</v>
          </cell>
          <cell r="GJ241" t="str">
            <v>44-2015</v>
          </cell>
          <cell r="GK241">
            <v>42236</v>
          </cell>
          <cell r="GL241" t="str">
            <v>Fiber Dependency :: Fiber Termination Pending</v>
          </cell>
          <cell r="GN241" t="str">
            <v>ERICSSON</v>
          </cell>
          <cell r="GQ241" t="str">
            <v xml:space="preserve">Fiber Dependency; </v>
          </cell>
          <cell r="GU241" t="str">
            <v xml:space="preserve">		</v>
          </cell>
          <cell r="HD241">
            <v>1</v>
          </cell>
        </row>
        <row r="242">
          <cell r="A242" t="str">
            <v>KY0148</v>
          </cell>
          <cell r="B242" t="str">
            <v>ASKH_0002</v>
          </cell>
          <cell r="C242" t="str">
            <v>Apollo</v>
          </cell>
          <cell r="D242" t="str">
            <v>Chris Thomson</v>
          </cell>
          <cell r="F242" t="str">
            <v>Phyo Wai Maung</v>
          </cell>
          <cell r="G242" t="str">
            <v>Paing Thu Soe</v>
          </cell>
          <cell r="H242" t="str">
            <v>YELLOW</v>
          </cell>
          <cell r="I242" t="str">
            <v>South</v>
          </cell>
          <cell r="J242" t="str">
            <v>97.2320466919175</v>
          </cell>
          <cell r="K242" t="str">
            <v>19.8771365017479</v>
          </cell>
          <cell r="L242" t="str">
            <v>Rural</v>
          </cell>
          <cell r="M242" t="str">
            <v>Kayah</v>
          </cell>
          <cell r="N242" t="str">
            <v>Loikaw</v>
          </cell>
          <cell r="O242" t="str">
            <v>Loikaw</v>
          </cell>
          <cell r="P242" t="str">
            <v>Kayah</v>
          </cell>
          <cell r="Q242" t="str">
            <v>3</v>
          </cell>
          <cell r="R242" t="str">
            <v>Loikaw</v>
          </cell>
          <cell r="S242" t="str">
            <v>19</v>
          </cell>
          <cell r="T242" t="str">
            <v>GSM+UMTS</v>
          </cell>
          <cell r="W242" t="str">
            <v>Ph2-Priority</v>
          </cell>
          <cell r="X242" t="str">
            <v>45</v>
          </cell>
          <cell r="Y242" t="str">
            <v>47</v>
          </cell>
          <cell r="Z242" t="str">
            <v>GBT</v>
          </cell>
          <cell r="AA242" t="str">
            <v>500</v>
          </cell>
          <cell r="AB242" t="str">
            <v>Access</v>
          </cell>
          <cell r="AC242" t="str">
            <v>Class C</v>
          </cell>
          <cell r="BE242" t="str">
            <v>Route 12 Taunggyi-Taungoo</v>
          </cell>
          <cell r="BH242" t="str">
            <v>GTL</v>
          </cell>
          <cell r="BJ242">
            <v>42155</v>
          </cell>
          <cell r="BK242">
            <v>42132</v>
          </cell>
          <cell r="BL242">
            <v>42160</v>
          </cell>
          <cell r="BM242">
            <v>42139</v>
          </cell>
          <cell r="BT242">
            <v>17</v>
          </cell>
          <cell r="BU242">
            <v>42235</v>
          </cell>
          <cell r="BV242">
            <v>42149</v>
          </cell>
          <cell r="BW242" t="str">
            <v>97.23174</v>
          </cell>
          <cell r="BX242" t="str">
            <v>19.87899</v>
          </cell>
          <cell r="BY242" t="str">
            <v>C2</v>
          </cell>
          <cell r="BZ242" t="str">
            <v>NO.75, 8 WARD,LOI LIN LAY VILLAGE GROUP.</v>
          </cell>
          <cell r="CA242" t="str">
            <v>U MAUNG THAN;No-75, 2 Ward, Loi Lin Lay Village Group, Loikaw Township;09 49353904</v>
          </cell>
          <cell r="CB242" t="str">
            <v>27 May 15 : C2 SAR approved as an option 1(RND approved with 45m/60m GBT as per TND suggestion with priority 1 and this site is 210m far from the nominal point.;  TND approved for MW antennas at 58M  for KY0148 and SH0212(IGT).); 25May15: C2 SAR Sub</v>
          </cell>
          <cell r="CC242" t="str">
            <v>Residential</v>
          </cell>
          <cell r="CE242">
            <v>2</v>
          </cell>
          <cell r="CF242">
            <v>42236</v>
          </cell>
          <cell r="CG242">
            <v>42151</v>
          </cell>
          <cell r="CH242">
            <v>42238</v>
          </cell>
          <cell r="CJ242">
            <v>42170</v>
          </cell>
          <cell r="CK242" t="str">
            <v>58</v>
          </cell>
          <cell r="CL242" t="str">
            <v>60</v>
          </cell>
          <cell r="CM242" t="str">
            <v>60</v>
          </cell>
          <cell r="CN242">
            <v>21</v>
          </cell>
          <cell r="CO242">
            <v>42241</v>
          </cell>
          <cell r="CP242">
            <v>42172</v>
          </cell>
          <cell r="CQ242" t="str">
            <v>M1: grid power + battery</v>
          </cell>
          <cell r="CR242">
            <v>1</v>
          </cell>
          <cell r="CS242">
            <v>42242</v>
          </cell>
          <cell r="CT242">
            <v>42173</v>
          </cell>
          <cell r="CU242" t="str">
            <v>KY0148</v>
          </cell>
          <cell r="DH242">
            <v>60</v>
          </cell>
          <cell r="DI242">
            <v>42252</v>
          </cell>
          <cell r="DK242">
            <v>42249</v>
          </cell>
          <cell r="DL242">
            <v>42180</v>
          </cell>
          <cell r="DM242">
            <v>42253</v>
          </cell>
          <cell r="DN242">
            <v>42180</v>
          </cell>
          <cell r="DO242">
            <v>0</v>
          </cell>
          <cell r="DP242">
            <v>42252</v>
          </cell>
          <cell r="DT242">
            <v>0</v>
          </cell>
          <cell r="DU242">
            <v>42267</v>
          </cell>
          <cell r="DW242">
            <v>0</v>
          </cell>
          <cell r="DY242">
            <v>42253</v>
          </cell>
          <cell r="DZ242">
            <v>42184</v>
          </cell>
          <cell r="EA242" t="str">
            <v>Leadcom</v>
          </cell>
          <cell r="ED242" t="str">
            <v>10Aug15 :PaingThu.Soe: 7-8-15 Telecom eq on site.Column done.DG&amp;Rectifier done.Waiting tower delivery.
03Aug15 :PaingThu.Soe: 29-7-15 Column done.Waiting tower material delivery.Equipment pad done.
13Jul15 :PaingThu.Soe: 13-7-15 marking for excavation done.CW not start yet.
06Jul15 :PaingThu.Soe: marking for excavation done.CW not start yet.</v>
          </cell>
          <cell r="EI242" t="str">
            <v>M5: grid power + DG + battery      </v>
          </cell>
          <cell r="EJ242">
            <v>20</v>
          </cell>
          <cell r="EK242">
            <v>42275</v>
          </cell>
          <cell r="EL242">
            <v>42204</v>
          </cell>
          <cell r="EM242">
            <v>42276</v>
          </cell>
          <cell r="EQ242">
            <v>42288</v>
          </cell>
          <cell r="ES242">
            <v>42207</v>
          </cell>
          <cell r="EW242">
            <v>49</v>
          </cell>
          <cell r="EX242">
            <v>42302</v>
          </cell>
          <cell r="EZ242">
            <v>42298</v>
          </cell>
          <cell r="FA242">
            <v>42214</v>
          </cell>
          <cell r="FB242">
            <v>42300</v>
          </cell>
          <cell r="FC242">
            <v>42215</v>
          </cell>
          <cell r="FE242">
            <v>42193</v>
          </cell>
          <cell r="FU242">
            <v>42302</v>
          </cell>
          <cell r="FW242">
            <v>42302</v>
          </cell>
          <cell r="FY242" t="str">
            <v>AZM</v>
          </cell>
          <cell r="FZ242">
            <v>42219</v>
          </cell>
          <cell r="GA242">
            <v>42221</v>
          </cell>
          <cell r="GB242">
            <v>42223</v>
          </cell>
          <cell r="GC242">
            <v>42223</v>
          </cell>
          <cell r="GF242">
            <v>42102</v>
          </cell>
          <cell r="GI242">
            <v>42246</v>
          </cell>
          <cell r="GJ242" t="str">
            <v>49-2015</v>
          </cell>
          <cell r="GL242" t="str">
            <v>Fiber Dependency :: Fiber Termination Pending</v>
          </cell>
          <cell r="GN242" t="str">
            <v xml:space="preserve">ERICSSON </v>
          </cell>
          <cell r="GQ242" t="str">
            <v xml:space="preserve">Fiber Dependency; </v>
          </cell>
          <cell r="GU242" t="str">
            <v xml:space="preserve">		</v>
          </cell>
          <cell r="HD242">
            <v>1</v>
          </cell>
        </row>
        <row r="243">
          <cell r="A243" t="str">
            <v>KY0149</v>
          </cell>
          <cell r="B243" t="str">
            <v>ASKH_0003</v>
          </cell>
          <cell r="C243" t="str">
            <v>Apollo</v>
          </cell>
          <cell r="D243" t="str">
            <v>Chris Thomson</v>
          </cell>
          <cell r="F243" t="str">
            <v>Phyo Wai Maung</v>
          </cell>
          <cell r="G243" t="str">
            <v>Paing Thu Soe</v>
          </cell>
          <cell r="H243" t="str">
            <v>RED</v>
          </cell>
          <cell r="I243" t="str">
            <v>South</v>
          </cell>
          <cell r="J243" t="str">
            <v>97.3413082900005</v>
          </cell>
          <cell r="K243" t="str">
            <v>19.1727028343989</v>
          </cell>
          <cell r="L243" t="str">
            <v>Rural</v>
          </cell>
          <cell r="M243" t="str">
            <v>Kayah</v>
          </cell>
          <cell r="N243" t="str">
            <v>Bawlakhe</v>
          </cell>
          <cell r="O243" t="str">
            <v>Bawlakhe</v>
          </cell>
          <cell r="P243" t="str">
            <v>Kayah</v>
          </cell>
          <cell r="Q243" t="str">
            <v>3</v>
          </cell>
          <cell r="R243" t="str">
            <v>Bawlakhe</v>
          </cell>
          <cell r="S243" t="str">
            <v>23</v>
          </cell>
          <cell r="T243" t="str">
            <v>GSM+UMTS</v>
          </cell>
          <cell r="W243" t="str">
            <v>Ph2-Priority</v>
          </cell>
          <cell r="X243" t="str">
            <v>45</v>
          </cell>
          <cell r="Y243" t="str">
            <v>47</v>
          </cell>
          <cell r="Z243" t="str">
            <v>GBT</v>
          </cell>
          <cell r="AA243" t="str">
            <v>500</v>
          </cell>
          <cell r="AB243" t="str">
            <v>Access</v>
          </cell>
          <cell r="AC243" t="str">
            <v>Class C</v>
          </cell>
          <cell r="BE243" t="str">
            <v>Route 12 Taunggyi-Taungoo</v>
          </cell>
          <cell r="BH243" t="str">
            <v>GTL</v>
          </cell>
          <cell r="BJ243">
            <v>42155</v>
          </cell>
          <cell r="BK243">
            <v>42132</v>
          </cell>
          <cell r="BL243">
            <v>42160</v>
          </cell>
          <cell r="BM243">
            <v>42165</v>
          </cell>
          <cell r="BT243">
            <v>90</v>
          </cell>
          <cell r="BU243">
            <v>42235</v>
          </cell>
          <cell r="BV243">
            <v>42222</v>
          </cell>
          <cell r="BW243" t="str">
            <v>97.33849</v>
          </cell>
          <cell r="BX243" t="str">
            <v>19.17463</v>
          </cell>
          <cell r="BY243" t="str">
            <v>C4</v>
          </cell>
          <cell r="BZ243" t="str">
            <v>Zee Cho Pin (River) Village, Yay Twin Village Track, Chouk Township, Magway Division.</v>
          </cell>
          <cell r="CA243" t="str">
            <v>U Zaw Lin</v>
          </cell>
          <cell r="CB243" t="str">
            <v>6 Aug 15 : C4 SAR sub;29 July 15 : C3 SAR rejected (As per TM radio suggestion, RND rejected because this site is 691m far from the nominal point and away from the population area. Please find the new candidate within the search ring.);28 July 15 : C3 SAR sub(C2 the Owner Backed Out);8 July 15 : C2 SAR app;7 July 15 : C2 SAR sub(C01 near Ooredoo Tower @ 122M);18 June 15 : C1 TSSR app;27 May 15 : C1 SAR app</v>
          </cell>
          <cell r="CC243" t="str">
            <v>Residential</v>
          </cell>
          <cell r="CE243">
            <v>11</v>
          </cell>
          <cell r="CF243">
            <v>42236</v>
          </cell>
          <cell r="CG243">
            <v>42233</v>
          </cell>
          <cell r="CH243">
            <v>42238</v>
          </cell>
          <cell r="CJ243">
            <v>42200</v>
          </cell>
          <cell r="CK243" t="str">
            <v>35</v>
          </cell>
          <cell r="CL243" t="str">
            <v>37</v>
          </cell>
          <cell r="CM243" t="str">
            <v>40</v>
          </cell>
          <cell r="CN243">
            <v>0</v>
          </cell>
          <cell r="CO243">
            <v>42241</v>
          </cell>
          <cell r="CP243">
            <v>42202</v>
          </cell>
          <cell r="CQ243" t="str">
            <v>M1: grid power + battery</v>
          </cell>
          <cell r="CR243">
            <v>0</v>
          </cell>
          <cell r="CS243">
            <v>42242</v>
          </cell>
          <cell r="CT243">
            <v>42206</v>
          </cell>
          <cell r="CU243" t="str">
            <v>KY0149</v>
          </cell>
          <cell r="DH243">
            <v>0</v>
          </cell>
          <cell r="DI243">
            <v>42252</v>
          </cell>
          <cell r="DK243">
            <v>42249</v>
          </cell>
          <cell r="DL243">
            <v>42208</v>
          </cell>
          <cell r="DM243">
            <v>42253</v>
          </cell>
          <cell r="DN243">
            <v>42226</v>
          </cell>
          <cell r="DO243">
            <v>0</v>
          </cell>
          <cell r="DP243">
            <v>42252</v>
          </cell>
          <cell r="DT243">
            <v>0</v>
          </cell>
          <cell r="DU243">
            <v>42267</v>
          </cell>
          <cell r="DW243">
            <v>0</v>
          </cell>
          <cell r="DY243">
            <v>42253</v>
          </cell>
          <cell r="DZ243">
            <v>42226</v>
          </cell>
          <cell r="EA243" t="str">
            <v>Leadcom</v>
          </cell>
          <cell r="EJ243">
            <v>0</v>
          </cell>
          <cell r="EK243">
            <v>42275</v>
          </cell>
          <cell r="EM243">
            <v>42276</v>
          </cell>
          <cell r="EQ243">
            <v>42288</v>
          </cell>
          <cell r="EW243">
            <v>0</v>
          </cell>
          <cell r="EX243">
            <v>42302</v>
          </cell>
          <cell r="EZ243">
            <v>42298</v>
          </cell>
          <cell r="FB243">
            <v>42300</v>
          </cell>
          <cell r="FU243">
            <v>42302</v>
          </cell>
          <cell r="FW243">
            <v>42302</v>
          </cell>
          <cell r="GF243">
            <v>42087</v>
          </cell>
          <cell r="GJ243">
            <v>0</v>
          </cell>
          <cell r="GN243" t="str">
            <v>ERICSSON</v>
          </cell>
          <cell r="GU243" t="str">
            <v xml:space="preserve">		</v>
          </cell>
          <cell r="HD243">
            <v>1</v>
          </cell>
        </row>
        <row r="244">
          <cell r="A244" t="str">
            <v>KY0154</v>
          </cell>
          <cell r="B244" t="str">
            <v>ASKH_0004</v>
          </cell>
          <cell r="C244" t="str">
            <v>Apollo</v>
          </cell>
          <cell r="D244" t="str">
            <v>Chris Thomson</v>
          </cell>
          <cell r="F244" t="str">
            <v>Phyo Wai Maung</v>
          </cell>
          <cell r="G244" t="str">
            <v>Paing Thu Soe</v>
          </cell>
          <cell r="H244" t="str">
            <v>WHITE</v>
          </cell>
          <cell r="I244" t="str">
            <v>South</v>
          </cell>
          <cell r="J244" t="str">
            <v>97.208427</v>
          </cell>
          <cell r="K244" t="str">
            <v>19.688431</v>
          </cell>
          <cell r="L244" t="str">
            <v>SubUrban</v>
          </cell>
          <cell r="M244" t="str">
            <v>Kayah</v>
          </cell>
          <cell r="N244" t="str">
            <v>Loikaw</v>
          </cell>
          <cell r="O244" t="str">
            <v>Loikaw</v>
          </cell>
          <cell r="P244" t="str">
            <v>Kayah</v>
          </cell>
          <cell r="Q244" t="str">
            <v>3</v>
          </cell>
          <cell r="R244" t="str">
            <v>Loikaw</v>
          </cell>
          <cell r="S244" t="str">
            <v>19</v>
          </cell>
          <cell r="T244" t="str">
            <v>GSM+UMTS</v>
          </cell>
          <cell r="W244" t="str">
            <v>Ph2-Priority</v>
          </cell>
          <cell r="X244" t="str">
            <v>35</v>
          </cell>
          <cell r="Y244" t="str">
            <v>35</v>
          </cell>
          <cell r="Z244" t="str">
            <v>GBT</v>
          </cell>
          <cell r="AA244" t="str">
            <v>250</v>
          </cell>
          <cell r="AB244" t="str">
            <v>Access</v>
          </cell>
          <cell r="AC244" t="str">
            <v>Class B</v>
          </cell>
          <cell r="BE244" t="str">
            <v>Route 12 Taunggyi-Taungoo</v>
          </cell>
          <cell r="BH244" t="str">
            <v>GTL</v>
          </cell>
          <cell r="BJ244">
            <v>42129</v>
          </cell>
          <cell r="BK244">
            <v>42130</v>
          </cell>
          <cell r="BL244">
            <v>42134</v>
          </cell>
          <cell r="BM244">
            <v>42151</v>
          </cell>
          <cell r="BT244">
            <v>31</v>
          </cell>
          <cell r="BU244">
            <v>42134</v>
          </cell>
          <cell r="BV244">
            <v>42161</v>
          </cell>
          <cell r="BW244" t="str">
            <v>97.20682</v>
          </cell>
          <cell r="BX244" t="str">
            <v>19.69039</v>
          </cell>
          <cell r="BY244" t="str">
            <v>C2</v>
          </cell>
          <cell r="BZ244" t="str">
            <v>No-(Na/324), Bayint Naung Road, Naung Yar (Ka) Ward, Loikaw Township.</v>
          </cell>
          <cell r="CA244" t="str">
            <v>Daw Aster Nyunt;No-(Na/324), Bayint Naung Road, Naung Yar (Ka) Ward, Loikaw Township;083 21039</v>
          </cell>
          <cell r="CB244" t="str">
            <v>6Jun15: C2 SAR Sub. C1 Backout. 10May15: C1 SAR Sub.</v>
          </cell>
          <cell r="CC244" t="str">
            <v>Slip Land (Permit land)</v>
          </cell>
          <cell r="CE244">
            <v>2</v>
          </cell>
          <cell r="CF244">
            <v>42135</v>
          </cell>
          <cell r="CG244">
            <v>42163</v>
          </cell>
          <cell r="CH244">
            <v>42158</v>
          </cell>
          <cell r="CJ244">
            <v>42162</v>
          </cell>
          <cell r="CK244" t="str">
            <v>35</v>
          </cell>
          <cell r="CL244" t="str">
            <v>37</v>
          </cell>
          <cell r="CM244" t="str">
            <v>35</v>
          </cell>
          <cell r="CN244">
            <v>1</v>
          </cell>
          <cell r="CO244">
            <v>42161</v>
          </cell>
          <cell r="CP244">
            <v>42164</v>
          </cell>
          <cell r="CQ244" t="str">
            <v>M1: grid power + battery</v>
          </cell>
          <cell r="CR244">
            <v>1</v>
          </cell>
          <cell r="CS244">
            <v>42162</v>
          </cell>
          <cell r="CT244">
            <v>42165</v>
          </cell>
          <cell r="CU244" t="str">
            <v>KY0154</v>
          </cell>
          <cell r="DH244">
            <v>68</v>
          </cell>
          <cell r="DI244">
            <v>42172</v>
          </cell>
          <cell r="DK244">
            <v>42169</v>
          </cell>
          <cell r="DL244">
            <v>42173</v>
          </cell>
          <cell r="DM244">
            <v>42173</v>
          </cell>
          <cell r="DN244">
            <v>42173</v>
          </cell>
          <cell r="DO244">
            <v>0</v>
          </cell>
          <cell r="DP244">
            <v>42172</v>
          </cell>
          <cell r="DT244">
            <v>0</v>
          </cell>
          <cell r="DU244">
            <v>42187</v>
          </cell>
          <cell r="DW244">
            <v>0</v>
          </cell>
          <cell r="DY244">
            <v>42173</v>
          </cell>
          <cell r="DZ244">
            <v>42173</v>
          </cell>
          <cell r="EA244" t="str">
            <v>GTL</v>
          </cell>
          <cell r="EB244">
            <v>42213</v>
          </cell>
          <cell r="ED244" t="str">
            <v>10Aug15 :PaingThu.Soe: 10-8-15 Site On Air at 8.8.15.
03Aug15 :PaingThu.Soe: 29-7-15 Equipment pad done.Erection on going.Power On site.
13Jul15 :PaingThu.Soe: 13-7-15 Equipment pad done and tower material not available in site.
06Jul15 :PaingThu.Soe: Column pedestal done.Backfilling done and tower material not available in site.
29Jun15 :PaingThu.Soe: Footing done.Formwork done.</v>
          </cell>
          <cell r="EE244" t="str">
            <v xml:space="preserve">10 Aug 15:Flood affected_Hold-No access; 28-Jul-15: Flooded access or site is flooded_ we canÆt proceed to this site for now								</v>
          </cell>
          <cell r="EI244" t="str">
            <v>M5: grid power + DG + battery      </v>
          </cell>
          <cell r="EJ244">
            <v>12</v>
          </cell>
          <cell r="EK244">
            <v>42188</v>
          </cell>
          <cell r="EL244">
            <v>42185</v>
          </cell>
          <cell r="EM244">
            <v>42189</v>
          </cell>
          <cell r="EN244">
            <v>42200</v>
          </cell>
          <cell r="EQ244">
            <v>42196</v>
          </cell>
          <cell r="ER244">
            <v>42217</v>
          </cell>
          <cell r="ES244">
            <v>42201</v>
          </cell>
          <cell r="ET244">
            <v>42219</v>
          </cell>
          <cell r="EU244">
            <v>42219</v>
          </cell>
          <cell r="EW244">
            <v>60</v>
          </cell>
          <cell r="EX244">
            <v>42210</v>
          </cell>
          <cell r="EZ244">
            <v>42206</v>
          </cell>
          <cell r="FA244">
            <v>42209</v>
          </cell>
          <cell r="FB244">
            <v>42208</v>
          </cell>
          <cell r="FC244">
            <v>42210</v>
          </cell>
          <cell r="FE244">
            <v>42193</v>
          </cell>
          <cell r="FU244">
            <v>42210</v>
          </cell>
          <cell r="FW244">
            <v>42210</v>
          </cell>
          <cell r="FX244">
            <v>42219</v>
          </cell>
          <cell r="FY244" t="str">
            <v>UT</v>
          </cell>
          <cell r="FZ244">
            <v>42191</v>
          </cell>
          <cell r="GA244">
            <v>42196</v>
          </cell>
          <cell r="GB244">
            <v>42197</v>
          </cell>
          <cell r="GC244">
            <v>42220</v>
          </cell>
          <cell r="GD244">
            <v>42224</v>
          </cell>
          <cell r="GE244">
            <v>42197</v>
          </cell>
          <cell r="GF244">
            <v>42224</v>
          </cell>
          <cell r="GG244">
            <v>42224</v>
          </cell>
          <cell r="GH244">
            <v>42224</v>
          </cell>
          <cell r="GI244">
            <v>42246</v>
          </cell>
          <cell r="GJ244" t="str">
            <v>36-2015</v>
          </cell>
          <cell r="GK244">
            <v>42224</v>
          </cell>
          <cell r="GN244" t="str">
            <v xml:space="preserve">ERICSSON </v>
          </cell>
          <cell r="GO244">
            <v>42150</v>
          </cell>
          <cell r="GP244">
            <v>42186</v>
          </cell>
          <cell r="GU244" t="str">
            <v xml:space="preserve">		</v>
          </cell>
          <cell r="HD244">
            <v>1</v>
          </cell>
        </row>
        <row r="245">
          <cell r="A245" t="str">
            <v>KY0155</v>
          </cell>
          <cell r="B245" t="str">
            <v>ASKH_0005</v>
          </cell>
          <cell r="C245" t="str">
            <v>Apollo</v>
          </cell>
          <cell r="D245" t="str">
            <v>Chris Thomson</v>
          </cell>
          <cell r="F245" t="str">
            <v>Phyo Wai Maung</v>
          </cell>
          <cell r="G245" t="str">
            <v>Paing Thu Soe</v>
          </cell>
          <cell r="H245" t="str">
            <v>RED</v>
          </cell>
          <cell r="I245" t="str">
            <v>South</v>
          </cell>
          <cell r="J245" t="str">
            <v>97.2138389999999</v>
          </cell>
          <cell r="K245" t="str">
            <v>19.666359</v>
          </cell>
          <cell r="L245" t="str">
            <v>SubUrban</v>
          </cell>
          <cell r="M245" t="str">
            <v>Kayah</v>
          </cell>
          <cell r="N245" t="str">
            <v>Loikaw</v>
          </cell>
          <cell r="O245" t="str">
            <v>Loikaw</v>
          </cell>
          <cell r="P245" t="str">
            <v>Kayah</v>
          </cell>
          <cell r="Q245" t="str">
            <v>3</v>
          </cell>
          <cell r="R245" t="str">
            <v>Loikaw</v>
          </cell>
          <cell r="S245" t="str">
            <v>19</v>
          </cell>
          <cell r="T245" t="str">
            <v>GSM+UMTS</v>
          </cell>
          <cell r="W245" t="str">
            <v>Ph2-Priority</v>
          </cell>
          <cell r="X245" t="str">
            <v>35</v>
          </cell>
          <cell r="Y245" t="str">
            <v>35</v>
          </cell>
          <cell r="Z245" t="str">
            <v>GBT</v>
          </cell>
          <cell r="AA245" t="str">
            <v>250</v>
          </cell>
          <cell r="AB245" t="str">
            <v>Access</v>
          </cell>
          <cell r="AC245" t="str">
            <v>Class B</v>
          </cell>
          <cell r="BE245" t="str">
            <v>Route 12 Taunggyi-Taungoo</v>
          </cell>
          <cell r="BH245" t="str">
            <v>GTL</v>
          </cell>
          <cell r="BJ245">
            <v>42129</v>
          </cell>
          <cell r="BK245">
            <v>42121</v>
          </cell>
          <cell r="BL245">
            <v>42134</v>
          </cell>
          <cell r="BM245">
            <v>42175</v>
          </cell>
          <cell r="BT245">
            <v>112</v>
          </cell>
          <cell r="BU245">
            <v>42134</v>
          </cell>
          <cell r="BV245">
            <v>42134</v>
          </cell>
          <cell r="BW245" t="str">
            <v>97.21299</v>
          </cell>
          <cell r="BX245" t="str">
            <v>19.66641</v>
          </cell>
          <cell r="BY245" t="str">
            <v>Reject</v>
          </cell>
          <cell r="BZ245" t="str">
            <v>U Pyin Nyar Thiha Law Damma Monastery, Law Damma Ward ,Loikaw.</v>
          </cell>
          <cell r="CA245" t="str">
            <v>U Pyin Nyar Thiha Law Damma Monastary,Loikaw Township,09 5600601;(U Kyaw Kyaw Myint,No (la/213), Law Pi Ta Street, Law Damma ward, Loikaw Township;09 5600601)</v>
          </cell>
          <cell r="CB245" t="str">
            <v>13 Aug 15: C1 deactivate because of Paddy land thus rejected by Legal; 25 May 15 : C1 TSSR app;22May 15 : C1 TSSR sub;12 May 15 : C1 SAR app;10May15: C1 SAR Sub.</v>
          </cell>
          <cell r="CE245">
            <v>0</v>
          </cell>
          <cell r="CF245">
            <v>42135</v>
          </cell>
          <cell r="CG245">
            <v>42136</v>
          </cell>
          <cell r="CH245">
            <v>42137</v>
          </cell>
          <cell r="CJ245">
            <v>42144</v>
          </cell>
          <cell r="CK245" t="str">
            <v>35</v>
          </cell>
          <cell r="CL245" t="str">
            <v>37</v>
          </cell>
          <cell r="CM245" t="str">
            <v>35</v>
          </cell>
          <cell r="CN245">
            <v>0</v>
          </cell>
          <cell r="CO245">
            <v>42140</v>
          </cell>
          <cell r="CP245">
            <v>42146</v>
          </cell>
          <cell r="CQ245" t="str">
            <v>M4: solar + DG + battery</v>
          </cell>
          <cell r="CR245">
            <v>0</v>
          </cell>
          <cell r="CS245">
            <v>42141</v>
          </cell>
          <cell r="CT245">
            <v>42149</v>
          </cell>
          <cell r="CU245" t="str">
            <v>KY0155</v>
          </cell>
          <cell r="DH245">
            <v>0</v>
          </cell>
          <cell r="DI245">
            <v>42163</v>
          </cell>
          <cell r="DK245">
            <v>42160</v>
          </cell>
          <cell r="DM245">
            <v>42164</v>
          </cell>
          <cell r="DO245">
            <v>0</v>
          </cell>
          <cell r="DP245">
            <v>42163</v>
          </cell>
          <cell r="DT245">
            <v>0</v>
          </cell>
          <cell r="DU245">
            <v>42178</v>
          </cell>
          <cell r="DW245">
            <v>0</v>
          </cell>
          <cell r="DY245">
            <v>42164</v>
          </cell>
          <cell r="DZ245">
            <v>42241</v>
          </cell>
          <cell r="EA245" t="str">
            <v>GTL</v>
          </cell>
          <cell r="ED245" t="str">
            <v xml:space="preserve">24Aug15 :PaingThu.Soe: Excavation done.Lean done.
</v>
          </cell>
          <cell r="EJ245">
            <v>0</v>
          </cell>
          <cell r="EK245">
            <v>42179</v>
          </cell>
          <cell r="EM245">
            <v>42180</v>
          </cell>
          <cell r="EQ245">
            <v>42187</v>
          </cell>
          <cell r="EW245">
            <v>0</v>
          </cell>
          <cell r="EX245">
            <v>42201</v>
          </cell>
          <cell r="EZ245">
            <v>42197</v>
          </cell>
          <cell r="FB245">
            <v>42199</v>
          </cell>
          <cell r="FU245">
            <v>42201</v>
          </cell>
          <cell r="FW245">
            <v>42201</v>
          </cell>
          <cell r="GJ245">
            <v>0</v>
          </cell>
          <cell r="GN245" t="str">
            <v>ERICSSON</v>
          </cell>
          <cell r="GU245" t="str">
            <v xml:space="preserve">		</v>
          </cell>
          <cell r="HD245">
            <v>1</v>
          </cell>
        </row>
        <row r="246">
          <cell r="A246" t="str">
            <v>KY0161</v>
          </cell>
          <cell r="B246" t="str">
            <v>ASKH_0006</v>
          </cell>
          <cell r="C246" t="str">
            <v>Apollo</v>
          </cell>
          <cell r="D246" t="str">
            <v>Chris Thomson</v>
          </cell>
          <cell r="F246" t="str">
            <v>Phyo Wai Maung</v>
          </cell>
          <cell r="G246" t="str">
            <v>Paing Thu Soe</v>
          </cell>
          <cell r="H246" t="str">
            <v>RED</v>
          </cell>
          <cell r="I246" t="str">
            <v>South</v>
          </cell>
          <cell r="J246" t="str">
            <v>97.2097710344073</v>
          </cell>
          <cell r="K246" t="str">
            <v>19.6473988231388</v>
          </cell>
          <cell r="L246" t="str">
            <v>SubUrban</v>
          </cell>
          <cell r="M246" t="str">
            <v>Kayah</v>
          </cell>
          <cell r="N246" t="str">
            <v>Loikaw</v>
          </cell>
          <cell r="O246" t="str">
            <v>Loikaw</v>
          </cell>
          <cell r="P246" t="str">
            <v>Kayah</v>
          </cell>
          <cell r="Q246" t="str">
            <v>3</v>
          </cell>
          <cell r="R246" t="str">
            <v>Loikaw</v>
          </cell>
          <cell r="S246" t="str">
            <v>19</v>
          </cell>
          <cell r="T246" t="str">
            <v>GSM+UMTS</v>
          </cell>
          <cell r="W246" t="str">
            <v>Ph2-Priority</v>
          </cell>
          <cell r="X246" t="str">
            <v>35</v>
          </cell>
          <cell r="Y246" t="str">
            <v>35</v>
          </cell>
          <cell r="Z246" t="str">
            <v>GBT</v>
          </cell>
          <cell r="AA246" t="str">
            <v>250</v>
          </cell>
          <cell r="AB246" t="str">
            <v>Access</v>
          </cell>
          <cell r="AC246" t="str">
            <v>Class B</v>
          </cell>
          <cell r="BE246" t="str">
            <v>Route 12 Taunggyi-Taungoo</v>
          </cell>
          <cell r="BH246" t="str">
            <v>GTL</v>
          </cell>
          <cell r="BJ246">
            <v>42168</v>
          </cell>
          <cell r="BK246">
            <v>42121</v>
          </cell>
          <cell r="BL246">
            <v>42173</v>
          </cell>
          <cell r="BT246">
            <v>100</v>
          </cell>
          <cell r="BU246">
            <v>42171</v>
          </cell>
          <cell r="BV246">
            <v>42221</v>
          </cell>
          <cell r="BW246" t="str">
            <v>97.21331</v>
          </cell>
          <cell r="BX246" t="str">
            <v>19.64726</v>
          </cell>
          <cell r="BY246" t="str">
            <v>C1</v>
          </cell>
          <cell r="BZ246" t="str">
            <v>Htu Du Ngan Tha village, Pan Kan Village Group,Loi Kaw</v>
          </cell>
          <cell r="CA246" t="str">
            <v>U Htar Ruu</v>
          </cell>
          <cell r="CB246" t="str">
            <v>5 Aug  15 : C1 SAR reconsider and approved as an option 1 earlier rejected;( First, RND rejected because this candidate is 360m far from nominal out of search ring and the elevation is 20m lower than nominal. But we approved again with 35m / 37m GBT as per discussion in SAQ meeting with Zaw and confirmation mail on 3_Aug_15. Tower co can't get candidate within the search ring because this nominal area is cemetery area.);Put the SAR sub and app date as 5 Aug 15; 6 July 15 : C2 SAR rejected( According to TM radio suggestion, RND rejected because this site is 800m far from the nominal point. Please find the near nominal point.);3 July 15 : C2 SAR sub (NP is inside huge Forest surrounded by Cemetery);6 May 15: C1 SAR rejected( First, RND approved but this candidate is 360m far from nominal out of search ring and the elevation is 20m lower than nominal . So RND rejected this candidate as per TM radio suggestion.); 5May15: C1 SAR Sub.</v>
          </cell>
          <cell r="CC246" t="str">
            <v>Residential</v>
          </cell>
          <cell r="CE246">
            <v>0</v>
          </cell>
          <cell r="CF246">
            <v>42172</v>
          </cell>
          <cell r="CG246">
            <v>42221</v>
          </cell>
          <cell r="CH246">
            <v>42174</v>
          </cell>
          <cell r="CJ246">
            <v>42224</v>
          </cell>
          <cell r="CK246" t="str">
            <v>35</v>
          </cell>
          <cell r="CL246" t="str">
            <v>37</v>
          </cell>
          <cell r="CM246" t="str">
            <v>35</v>
          </cell>
          <cell r="CN246">
            <v>5</v>
          </cell>
          <cell r="CO246">
            <v>42177</v>
          </cell>
          <cell r="CP246">
            <v>42226</v>
          </cell>
          <cell r="CQ246" t="str">
            <v>M4: solar + DG + battery</v>
          </cell>
          <cell r="CR246">
            <v>2</v>
          </cell>
          <cell r="CS246">
            <v>42178</v>
          </cell>
          <cell r="CT246">
            <v>42228</v>
          </cell>
          <cell r="CU246" t="str">
            <v>KY0161</v>
          </cell>
          <cell r="DH246">
            <v>5</v>
          </cell>
          <cell r="DI246">
            <v>42188</v>
          </cell>
          <cell r="DK246">
            <v>42185</v>
          </cell>
          <cell r="DM246">
            <v>42189</v>
          </cell>
          <cell r="DO246">
            <v>0</v>
          </cell>
          <cell r="DP246">
            <v>42188</v>
          </cell>
          <cell r="DT246">
            <v>0</v>
          </cell>
          <cell r="DU246">
            <v>42203</v>
          </cell>
          <cell r="DW246">
            <v>0</v>
          </cell>
          <cell r="DY246">
            <v>42189</v>
          </cell>
          <cell r="DZ246">
            <v>42233</v>
          </cell>
          <cell r="EA246" t="str">
            <v>GTL</v>
          </cell>
          <cell r="ED246" t="str">
            <v xml:space="preserve">24Aug15 :PaingThu.Soe: Footing done.Formwork making in progress.
</v>
          </cell>
          <cell r="EJ246">
            <v>0</v>
          </cell>
          <cell r="EK246">
            <v>42204</v>
          </cell>
          <cell r="EL246">
            <v>42250</v>
          </cell>
          <cell r="EM246">
            <v>42205</v>
          </cell>
          <cell r="EQ246">
            <v>42212</v>
          </cell>
          <cell r="EW246">
            <v>0</v>
          </cell>
          <cell r="EX246">
            <v>42226</v>
          </cell>
          <cell r="EZ246">
            <v>42222</v>
          </cell>
          <cell r="FB246">
            <v>42224</v>
          </cell>
          <cell r="FU246">
            <v>42226</v>
          </cell>
          <cell r="FW246">
            <v>42226</v>
          </cell>
          <cell r="GJ246">
            <v>0</v>
          </cell>
          <cell r="GN246" t="str">
            <v>ERICSSON</v>
          </cell>
          <cell r="GU246" t="str">
            <v xml:space="preserve">		</v>
          </cell>
          <cell r="HD246">
            <v>1</v>
          </cell>
        </row>
        <row r="247">
          <cell r="A247" t="str">
            <v>KY0165</v>
          </cell>
          <cell r="B247" t="str">
            <v>ASKH_0007</v>
          </cell>
          <cell r="C247" t="str">
            <v>Apollo</v>
          </cell>
          <cell r="D247" t="str">
            <v>Chris Thomson</v>
          </cell>
          <cell r="F247" t="str">
            <v>Phyo Wai Maung</v>
          </cell>
          <cell r="G247" t="str">
            <v>Paing Thu Soe</v>
          </cell>
          <cell r="H247" t="str">
            <v>RED</v>
          </cell>
          <cell r="I247" t="str">
            <v>South</v>
          </cell>
          <cell r="J247" t="str">
            <v>97.297723</v>
          </cell>
          <cell r="K247" t="str">
            <v>19.595438</v>
          </cell>
          <cell r="L247" t="str">
            <v>Rural</v>
          </cell>
          <cell r="M247" t="str">
            <v>Kayah</v>
          </cell>
          <cell r="N247" t="str">
            <v>Loikaw</v>
          </cell>
          <cell r="O247" t="str">
            <v>Loikaw</v>
          </cell>
          <cell r="P247" t="str">
            <v>Kayah</v>
          </cell>
          <cell r="Q247" t="str">
            <v>3</v>
          </cell>
          <cell r="R247" t="str">
            <v>Loikaw</v>
          </cell>
          <cell r="S247" t="str">
            <v>19</v>
          </cell>
          <cell r="T247" t="str">
            <v>GSM+UMTS</v>
          </cell>
          <cell r="W247" t="str">
            <v>Ph2-Priority</v>
          </cell>
          <cell r="X247" t="str">
            <v>45</v>
          </cell>
          <cell r="Y247" t="str">
            <v>47</v>
          </cell>
          <cell r="Z247" t="str">
            <v>GBT</v>
          </cell>
          <cell r="AA247" t="str">
            <v>500</v>
          </cell>
          <cell r="AB247" t="str">
            <v>Access</v>
          </cell>
          <cell r="AC247" t="str">
            <v>Class C</v>
          </cell>
          <cell r="BE247" t="str">
            <v>Route 8 Mandalay - Magwe</v>
          </cell>
          <cell r="BH247" t="str">
            <v>GTL</v>
          </cell>
          <cell r="BJ247">
            <v>42168</v>
          </cell>
          <cell r="BK247">
            <v>42121</v>
          </cell>
          <cell r="BL247">
            <v>42173</v>
          </cell>
          <cell r="BM247">
            <v>42156</v>
          </cell>
          <cell r="BT247">
            <v>84</v>
          </cell>
          <cell r="BU247">
            <v>42171</v>
          </cell>
          <cell r="BV247">
            <v>42205</v>
          </cell>
          <cell r="BW247" t="str">
            <v>97.30263</v>
          </cell>
          <cell r="BX247" t="str">
            <v>19.58924</v>
          </cell>
          <cell r="BY247" t="str">
            <v>C4</v>
          </cell>
          <cell r="BZ247" t="str">
            <v>Mite Kan Village Group, Loi Kaw Township, Kayah</v>
          </cell>
          <cell r="CA247" t="str">
            <v>U Khun Hawee Hteet</v>
          </cell>
          <cell r="CB247" t="str">
            <v>20 July 15 : C4 SAR sub ;27 May 15 : C1 SAR Rejected( TND Reject for mountain obstacle blocks .KY0165 new location suggested (19.596778,97.295581) );  18May15: C1 SAR Sub</v>
          </cell>
          <cell r="CC247" t="str">
            <v>Residential</v>
          </cell>
          <cell r="CE247">
            <v>2</v>
          </cell>
          <cell r="CF247">
            <v>42172</v>
          </cell>
          <cell r="CG247">
            <v>42207</v>
          </cell>
          <cell r="CH247">
            <v>42174</v>
          </cell>
          <cell r="CJ247">
            <v>42221</v>
          </cell>
          <cell r="CK247" t="str">
            <v>45</v>
          </cell>
          <cell r="CL247" t="str">
            <v>47</v>
          </cell>
          <cell r="CM247" t="str">
            <v>60</v>
          </cell>
          <cell r="CN247">
            <v>16</v>
          </cell>
          <cell r="CO247">
            <v>42177</v>
          </cell>
          <cell r="CP247">
            <v>42223</v>
          </cell>
          <cell r="CQ247" t="str">
            <v>M1: grid power + battery</v>
          </cell>
          <cell r="CR247">
            <v>3</v>
          </cell>
          <cell r="CS247">
            <v>42178</v>
          </cell>
          <cell r="CT247">
            <v>42226</v>
          </cell>
          <cell r="CU247" t="str">
            <v>KY0165</v>
          </cell>
          <cell r="DH247">
            <v>7</v>
          </cell>
          <cell r="DI247">
            <v>42188</v>
          </cell>
          <cell r="DJ247">
            <v>42202</v>
          </cell>
          <cell r="DK247">
            <v>42185</v>
          </cell>
          <cell r="DL247">
            <v>42159</v>
          </cell>
          <cell r="DM247">
            <v>42189</v>
          </cell>
          <cell r="DN247">
            <v>42171</v>
          </cell>
          <cell r="DO247">
            <v>0</v>
          </cell>
          <cell r="DP247">
            <v>42188</v>
          </cell>
          <cell r="DQ247">
            <v>42201</v>
          </cell>
          <cell r="DT247">
            <v>0</v>
          </cell>
          <cell r="DU247">
            <v>42203</v>
          </cell>
          <cell r="DW247">
            <v>0</v>
          </cell>
          <cell r="DY247">
            <v>42189</v>
          </cell>
          <cell r="DZ247">
            <v>42238</v>
          </cell>
          <cell r="EA247" t="str">
            <v>GTL</v>
          </cell>
          <cell r="ED247" t="str">
            <v xml:space="preserve">06Jul15 :SiThu.Moe: Tower foundation is done.Equipment part is ongoing.
</v>
          </cell>
          <cell r="EI247" t="str">
            <v>M5: grid power + DG + battery      </v>
          </cell>
          <cell r="EJ247">
            <v>0</v>
          </cell>
          <cell r="EK247">
            <v>42211</v>
          </cell>
          <cell r="EL247">
            <v>42185</v>
          </cell>
          <cell r="EM247">
            <v>42212</v>
          </cell>
          <cell r="EN247">
            <v>42187</v>
          </cell>
          <cell r="EQ247">
            <v>42224</v>
          </cell>
          <cell r="ER247">
            <v>42198</v>
          </cell>
          <cell r="ES247">
            <v>42197</v>
          </cell>
          <cell r="ET247">
            <v>42198</v>
          </cell>
          <cell r="EU247">
            <v>42198</v>
          </cell>
          <cell r="EW247">
            <v>0</v>
          </cell>
          <cell r="EX247">
            <v>42238</v>
          </cell>
          <cell r="EZ247">
            <v>42234</v>
          </cell>
          <cell r="FA247">
            <v>42201</v>
          </cell>
          <cell r="FB247">
            <v>42236</v>
          </cell>
          <cell r="FC247">
            <v>42202</v>
          </cell>
          <cell r="FU247">
            <v>42238</v>
          </cell>
          <cell r="FV247">
            <v>42210</v>
          </cell>
          <cell r="FW247">
            <v>42238</v>
          </cell>
          <cell r="FX247">
            <v>42202</v>
          </cell>
          <cell r="FY247" t="str">
            <v>UT</v>
          </cell>
          <cell r="FZ247">
            <v>42199</v>
          </cell>
          <cell r="GA247">
            <v>42203</v>
          </cell>
          <cell r="GB247">
            <v>42211</v>
          </cell>
          <cell r="GC247">
            <v>42211</v>
          </cell>
          <cell r="GD247">
            <v>42211</v>
          </cell>
          <cell r="GE247">
            <v>42212</v>
          </cell>
          <cell r="GG247">
            <v>42213</v>
          </cell>
          <cell r="GH247">
            <v>42213</v>
          </cell>
          <cell r="GJ247">
            <v>0</v>
          </cell>
          <cell r="GK247">
            <v>42213</v>
          </cell>
          <cell r="GN247" t="str">
            <v>ERICSSON</v>
          </cell>
          <cell r="GU247" t="str">
            <v xml:space="preserve">		</v>
          </cell>
          <cell r="HD247">
            <v>1</v>
          </cell>
        </row>
        <row r="248">
          <cell r="A248" t="str">
            <v>KY0170</v>
          </cell>
          <cell r="B248" t="str">
            <v>ASKH_0008</v>
          </cell>
          <cell r="C248" t="str">
            <v>Apollo</v>
          </cell>
          <cell r="D248" t="str">
            <v>Chris Thomson</v>
          </cell>
          <cell r="F248" t="str">
            <v>Phyo Wai Maung</v>
          </cell>
          <cell r="G248" t="str">
            <v>Paing Thu Soe</v>
          </cell>
          <cell r="H248" t="str">
            <v>RED</v>
          </cell>
          <cell r="I248" t="str">
            <v>South</v>
          </cell>
          <cell r="J248" t="str">
            <v>97.293077</v>
          </cell>
          <cell r="K248" t="str">
            <v>19.872658</v>
          </cell>
          <cell r="L248" t="str">
            <v>Rural</v>
          </cell>
          <cell r="M248" t="str">
            <v>Kayah</v>
          </cell>
          <cell r="N248" t="str">
            <v>Loikaw</v>
          </cell>
          <cell r="O248" t="str">
            <v>Loikaw</v>
          </cell>
          <cell r="P248" t="str">
            <v>Kayah</v>
          </cell>
          <cell r="Q248" t="str">
            <v>3</v>
          </cell>
          <cell r="R248" t="str">
            <v>Loikaw</v>
          </cell>
          <cell r="S248" t="str">
            <v>19</v>
          </cell>
          <cell r="T248" t="str">
            <v>GSM+UMTS</v>
          </cell>
          <cell r="W248" t="str">
            <v>Ph2-Priority</v>
          </cell>
          <cell r="X248" t="str">
            <v>55</v>
          </cell>
          <cell r="Y248" t="str">
            <v>57</v>
          </cell>
          <cell r="Z248" t="str">
            <v>GBT</v>
          </cell>
          <cell r="AA248" t="str">
            <v>500</v>
          </cell>
          <cell r="AB248" t="str">
            <v>Access</v>
          </cell>
          <cell r="AC248" t="str">
            <v>Class C</v>
          </cell>
          <cell r="BH248" t="str">
            <v>GTL</v>
          </cell>
          <cell r="BJ248">
            <v>42155</v>
          </cell>
          <cell r="BK248">
            <v>42170</v>
          </cell>
          <cell r="BL248">
            <v>42160</v>
          </cell>
          <cell r="BM248">
            <v>42177</v>
          </cell>
          <cell r="BT248">
            <v>49</v>
          </cell>
          <cell r="BU248">
            <v>42235</v>
          </cell>
          <cell r="BV248">
            <v>42219</v>
          </cell>
          <cell r="BW248" t="str">
            <v>97.27603</v>
          </cell>
          <cell r="BX248" t="str">
            <v>19.86488</v>
          </cell>
          <cell r="BY248" t="str">
            <v>C1</v>
          </cell>
          <cell r="BZ248" t="str">
            <v>THE PYAY KONE VILLAGE,KWIN GYI VILLAGE GROUP, YAY TAR SHAE TOWNSHIP,BAGO.</v>
          </cell>
          <cell r="CA248" t="str">
            <v>U HLA MYINT;09-794479529,09-250303660</v>
          </cell>
          <cell r="CB248" t="str">
            <v>03 Aug 15 : C1 SAR sub(2 Km from the Nominal Point which falls inside a huge Pady Land)</v>
          </cell>
          <cell r="CC248" t="str">
            <v>Residential</v>
          </cell>
          <cell r="CE248">
            <v>1</v>
          </cell>
          <cell r="CF248">
            <v>42236</v>
          </cell>
          <cell r="CG248">
            <v>42220</v>
          </cell>
          <cell r="CH248">
            <v>42238</v>
          </cell>
          <cell r="CJ248">
            <v>42191</v>
          </cell>
          <cell r="CK248" t="str">
            <v>45</v>
          </cell>
          <cell r="CL248" t="str">
            <v>47</v>
          </cell>
          <cell r="CM248" t="str">
            <v>50</v>
          </cell>
          <cell r="CN248">
            <v>13</v>
          </cell>
          <cell r="CO248">
            <v>42241</v>
          </cell>
          <cell r="CP248">
            <v>42193</v>
          </cell>
          <cell r="CQ248" t="str">
            <v>M1: grid power + battery</v>
          </cell>
          <cell r="CR248">
            <v>0</v>
          </cell>
          <cell r="CS248">
            <v>42242</v>
          </cell>
          <cell r="CT248">
            <v>42194</v>
          </cell>
          <cell r="CU248" t="str">
            <v>KY0170</v>
          </cell>
          <cell r="DH248">
            <v>0</v>
          </cell>
          <cell r="DI248">
            <v>42252</v>
          </cell>
          <cell r="DK248">
            <v>42249</v>
          </cell>
          <cell r="DM248">
            <v>42253</v>
          </cell>
          <cell r="DO248">
            <v>0</v>
          </cell>
          <cell r="DP248">
            <v>42252</v>
          </cell>
          <cell r="DT248">
            <v>0</v>
          </cell>
          <cell r="DU248">
            <v>42267</v>
          </cell>
          <cell r="DW248">
            <v>0</v>
          </cell>
          <cell r="DY248">
            <v>42253</v>
          </cell>
          <cell r="EA248" t="str">
            <v>Leadcom</v>
          </cell>
          <cell r="EJ248">
            <v>0</v>
          </cell>
          <cell r="EK248">
            <v>42275</v>
          </cell>
          <cell r="EM248">
            <v>42276</v>
          </cell>
          <cell r="EQ248">
            <v>42288</v>
          </cell>
          <cell r="EW248">
            <v>0</v>
          </cell>
          <cell r="EX248">
            <v>42302</v>
          </cell>
          <cell r="EZ248">
            <v>42298</v>
          </cell>
          <cell r="FB248">
            <v>42300</v>
          </cell>
          <cell r="FU248">
            <v>42302</v>
          </cell>
          <cell r="FW248">
            <v>42302</v>
          </cell>
          <cell r="GJ248">
            <v>0</v>
          </cell>
          <cell r="GN248" t="str">
            <v>ERICSSON</v>
          </cell>
          <cell r="GU248" t="str">
            <v xml:space="preserve">		</v>
          </cell>
          <cell r="HD248">
            <v>1</v>
          </cell>
        </row>
        <row r="249">
          <cell r="A249" t="str">
            <v>KY0173</v>
          </cell>
          <cell r="B249" t="str">
            <v>ASKH_0009</v>
          </cell>
          <cell r="C249" t="str">
            <v>Apollo</v>
          </cell>
          <cell r="D249" t="str">
            <v>Chris Thomson</v>
          </cell>
          <cell r="F249" t="str">
            <v>Phyo Wai Maung</v>
          </cell>
          <cell r="G249" t="str">
            <v>Paing Thu Soe</v>
          </cell>
          <cell r="H249" t="str">
            <v>RED</v>
          </cell>
          <cell r="I249" t="str">
            <v>South</v>
          </cell>
          <cell r="J249" t="str">
            <v>97.237928</v>
          </cell>
          <cell r="K249" t="str">
            <v>19.641721</v>
          </cell>
          <cell r="L249" t="str">
            <v>Suburban</v>
          </cell>
          <cell r="M249" t="str">
            <v>Kayah</v>
          </cell>
          <cell r="N249" t="str">
            <v>Loikaw</v>
          </cell>
          <cell r="O249" t="str">
            <v>Loikaw</v>
          </cell>
          <cell r="P249" t="str">
            <v>Kayah</v>
          </cell>
          <cell r="Q249" t="str">
            <v>3</v>
          </cell>
          <cell r="R249" t="str">
            <v>Loikaw</v>
          </cell>
          <cell r="S249" t="str">
            <v>19</v>
          </cell>
          <cell r="T249" t="str">
            <v>GSM+UMTS</v>
          </cell>
          <cell r="W249" t="str">
            <v>Ph2-Priority</v>
          </cell>
          <cell r="X249" t="str">
            <v>35</v>
          </cell>
          <cell r="Y249" t="str">
            <v>35</v>
          </cell>
          <cell r="Z249" t="str">
            <v>GBT</v>
          </cell>
          <cell r="AA249" t="str">
            <v>250</v>
          </cell>
          <cell r="AB249" t="str">
            <v>Access</v>
          </cell>
          <cell r="AC249" t="str">
            <v>Class B</v>
          </cell>
          <cell r="BH249" t="str">
            <v>GTL</v>
          </cell>
          <cell r="BJ249">
            <v>42168</v>
          </cell>
          <cell r="BK249">
            <v>42121</v>
          </cell>
          <cell r="BL249">
            <v>42173</v>
          </cell>
          <cell r="BM249">
            <v>42126</v>
          </cell>
          <cell r="BT249">
            <v>105</v>
          </cell>
          <cell r="BU249">
            <v>42217</v>
          </cell>
          <cell r="BV249">
            <v>42226</v>
          </cell>
          <cell r="BW249" t="str">
            <v>97.24196</v>
          </cell>
          <cell r="BX249" t="str">
            <v>19.63956</v>
          </cell>
          <cell r="BY249" t="str">
            <v>C5</v>
          </cell>
          <cell r="BZ249" t="str">
            <v>Aye Ni Kan Village, Laikaw Town ship.</v>
          </cell>
          <cell r="CA249" t="str">
            <v>U Kyi win han 9789515059</v>
          </cell>
          <cell r="CB249" t="str">
            <v>10 Aug 15 : C5 SAR sub(C4  cancelled due to Disputed Land);17 Jul 15 : C4 SAR app;16 Jul 15: C4 SAR sub</v>
          </cell>
          <cell r="CC249" t="str">
            <v>Residential</v>
          </cell>
          <cell r="CE249">
            <v>1</v>
          </cell>
          <cell r="CF249">
            <v>42218</v>
          </cell>
          <cell r="CG249">
            <v>42227</v>
          </cell>
          <cell r="CH249">
            <v>42220</v>
          </cell>
          <cell r="CJ249">
            <v>42226</v>
          </cell>
          <cell r="CK249" t="str">
            <v>35</v>
          </cell>
          <cell r="CL249" t="str">
            <v>37</v>
          </cell>
          <cell r="CM249" t="str">
            <v>35</v>
          </cell>
          <cell r="CN249">
            <v>1</v>
          </cell>
          <cell r="CO249">
            <v>42223</v>
          </cell>
          <cell r="CP249">
            <v>42228</v>
          </cell>
          <cell r="CQ249" t="str">
            <v>M1: grid power + battery</v>
          </cell>
          <cell r="CR249">
            <v>2</v>
          </cell>
          <cell r="CS249">
            <v>42224</v>
          </cell>
          <cell r="CT249">
            <v>42230</v>
          </cell>
          <cell r="CU249" t="str">
            <v>KY0173</v>
          </cell>
          <cell r="DH249">
            <v>3</v>
          </cell>
          <cell r="DI249">
            <v>42234</v>
          </cell>
          <cell r="DJ249">
            <v>42198</v>
          </cell>
          <cell r="DK249">
            <v>42231</v>
          </cell>
          <cell r="DM249">
            <v>42235</v>
          </cell>
          <cell r="DO249">
            <v>0</v>
          </cell>
          <cell r="DP249">
            <v>42234</v>
          </cell>
          <cell r="DQ249">
            <v>42198</v>
          </cell>
          <cell r="DT249">
            <v>0</v>
          </cell>
          <cell r="DU249">
            <v>42249</v>
          </cell>
          <cell r="DW249">
            <v>0</v>
          </cell>
          <cell r="DY249">
            <v>42235</v>
          </cell>
          <cell r="DZ249">
            <v>42233</v>
          </cell>
          <cell r="EA249" t="str">
            <v>GTL</v>
          </cell>
          <cell r="EB249">
            <v>42208</v>
          </cell>
          <cell r="ED249" t="str">
            <v xml:space="preserve">24Aug15 :PaingThu.Soe: Excavation done.Lean done.
</v>
          </cell>
          <cell r="EE249" t="str">
            <v xml:space="preserve">10 Aug 15:Flood affected_Hold-No access; 23-Jul-15: Excaveted Pit &amp; Area is fully flooded.								</v>
          </cell>
          <cell r="EJ249">
            <v>0</v>
          </cell>
          <cell r="EK249">
            <v>42250</v>
          </cell>
          <cell r="EM249">
            <v>42251</v>
          </cell>
          <cell r="EQ249">
            <v>42258</v>
          </cell>
          <cell r="EW249">
            <v>0</v>
          </cell>
          <cell r="EX249">
            <v>42220</v>
          </cell>
          <cell r="EZ249">
            <v>42268</v>
          </cell>
          <cell r="FB249">
            <v>42270</v>
          </cell>
          <cell r="FU249">
            <v>42272</v>
          </cell>
          <cell r="FW249">
            <v>42272</v>
          </cell>
          <cell r="GJ249">
            <v>0</v>
          </cell>
          <cell r="GN249" t="str">
            <v>ERICSSON</v>
          </cell>
          <cell r="GS249" t="str">
            <v>4/4/4</v>
          </cell>
          <cell r="GU249" t="str">
            <v xml:space="preserve">		</v>
          </cell>
          <cell r="HD249">
            <v>1</v>
          </cell>
        </row>
        <row r="250">
          <cell r="A250" t="str">
            <v>KY0184</v>
          </cell>
          <cell r="B250" t="str">
            <v>ASKH_0010</v>
          </cell>
          <cell r="C250" t="str">
            <v>Apollo</v>
          </cell>
          <cell r="D250" t="str">
            <v>Chris Thomson</v>
          </cell>
          <cell r="F250" t="str">
            <v>Phyo Wai Maung</v>
          </cell>
          <cell r="G250" t="str">
            <v>Paing Thu Soe</v>
          </cell>
          <cell r="H250" t="str">
            <v>WHITE</v>
          </cell>
          <cell r="I250" t="str">
            <v>South</v>
          </cell>
          <cell r="J250" t="str">
            <v>97.2248509999999</v>
          </cell>
          <cell r="K250" t="str">
            <v>19.696556</v>
          </cell>
          <cell r="L250" t="str">
            <v>Suburban</v>
          </cell>
          <cell r="M250" t="str">
            <v>Kayah</v>
          </cell>
          <cell r="N250" t="str">
            <v>Loikaw</v>
          </cell>
          <cell r="O250" t="str">
            <v>Loikaw</v>
          </cell>
          <cell r="P250" t="str">
            <v>Kayah</v>
          </cell>
          <cell r="Q250" t="str">
            <v>3</v>
          </cell>
          <cell r="R250" t="str">
            <v>Loikaw</v>
          </cell>
          <cell r="S250" t="str">
            <v>19</v>
          </cell>
          <cell r="T250" t="str">
            <v>GSM+UMTS</v>
          </cell>
          <cell r="W250" t="str">
            <v>Ph2-Priority</v>
          </cell>
          <cell r="X250" t="str">
            <v>35</v>
          </cell>
          <cell r="Y250" t="str">
            <v>35</v>
          </cell>
          <cell r="Z250" t="str">
            <v>GBT</v>
          </cell>
          <cell r="AA250" t="str">
            <v>250</v>
          </cell>
          <cell r="AB250" t="str">
            <v>Access</v>
          </cell>
          <cell r="AC250" t="str">
            <v>Class B</v>
          </cell>
          <cell r="BH250" t="str">
            <v>GTL</v>
          </cell>
          <cell r="BJ250">
            <v>42129</v>
          </cell>
          <cell r="BK250">
            <v>42130</v>
          </cell>
          <cell r="BL250">
            <v>42134</v>
          </cell>
          <cell r="BM250">
            <v>42126</v>
          </cell>
          <cell r="BT250">
            <v>6</v>
          </cell>
          <cell r="BU250">
            <v>42134</v>
          </cell>
          <cell r="BV250">
            <v>42136</v>
          </cell>
          <cell r="BW250" t="str">
            <v>97.22489</v>
          </cell>
          <cell r="BX250" t="str">
            <v>19.69631</v>
          </cell>
          <cell r="BY250" t="str">
            <v>C1</v>
          </cell>
          <cell r="BZ250" t="str">
            <v>Chi Kal Village Group, Htay Ta Ma Village, Loikaw Township.</v>
          </cell>
          <cell r="CA250" t="str">
            <v>U Mu Ral;Chi Kal Village Group, Htay Ta Ma Village, Loikaw Township;09 252289599</v>
          </cell>
          <cell r="CB250" t="str">
            <v>12May15: C1 SAR Sub</v>
          </cell>
          <cell r="CE250">
            <v>1</v>
          </cell>
          <cell r="CF250">
            <v>42135</v>
          </cell>
          <cell r="CG250">
            <v>42137</v>
          </cell>
          <cell r="CH250">
            <v>42137</v>
          </cell>
          <cell r="CJ250">
            <v>42144</v>
          </cell>
          <cell r="CK250" t="str">
            <v>35</v>
          </cell>
          <cell r="CL250" t="str">
            <v>37</v>
          </cell>
          <cell r="CM250" t="str">
            <v>35</v>
          </cell>
          <cell r="CN250">
            <v>9</v>
          </cell>
          <cell r="CO250">
            <v>42140</v>
          </cell>
          <cell r="CP250">
            <v>42146</v>
          </cell>
          <cell r="CQ250" t="str">
            <v>M1: grid power + battery</v>
          </cell>
          <cell r="CR250">
            <v>3</v>
          </cell>
          <cell r="CS250">
            <v>42141</v>
          </cell>
          <cell r="CT250">
            <v>42149</v>
          </cell>
          <cell r="CU250" t="str">
            <v>KY0184</v>
          </cell>
          <cell r="DH250">
            <v>84</v>
          </cell>
          <cell r="DI250">
            <v>42163</v>
          </cell>
          <cell r="DK250">
            <v>42160</v>
          </cell>
          <cell r="DL250">
            <v>42172</v>
          </cell>
          <cell r="DM250">
            <v>42164</v>
          </cell>
          <cell r="DN250">
            <v>42172</v>
          </cell>
          <cell r="DO250">
            <v>0</v>
          </cell>
          <cell r="DP250">
            <v>42163</v>
          </cell>
          <cell r="DT250">
            <v>0</v>
          </cell>
          <cell r="DU250">
            <v>42178</v>
          </cell>
          <cell r="DW250">
            <v>0</v>
          </cell>
          <cell r="DY250">
            <v>42164</v>
          </cell>
          <cell r="DZ250">
            <v>42166</v>
          </cell>
          <cell r="EA250" t="str">
            <v>GTL</v>
          </cell>
          <cell r="ED250" t="str">
            <v>10Aug15 :PaingThu.Soe: 7-8-15 Site On Air at 29.7.15.Fencing making in progress.
03Aug15 :PaingThu.Soe: 29-7-15 Site On Air at 29.7.15.
13Jul15 :PaingThu.Soe: 13-7-15 Equipment pad done.Backfilling done.Telecom eq on site.Tower on site.
06Jul15 :PaingThu.Soe: Backfilling done and tower material not available in site.Equipment pad on going.
29Jun15 :PaingThu.Soe: Column pedestal making in progress.
22Jun15 :PaingThu.Soe: 18-6-15 Excavation done.</v>
          </cell>
          <cell r="EI250" t="str">
            <v>M5: grid power + DG + battery      </v>
          </cell>
          <cell r="EJ250">
            <v>12</v>
          </cell>
          <cell r="EK250">
            <v>42179</v>
          </cell>
          <cell r="EL250">
            <v>42178</v>
          </cell>
          <cell r="EM250">
            <v>42180</v>
          </cell>
          <cell r="EN250">
            <v>42198</v>
          </cell>
          <cell r="EQ250">
            <v>42187</v>
          </cell>
          <cell r="ER250">
            <v>42210</v>
          </cell>
          <cell r="ES250">
            <v>42199</v>
          </cell>
          <cell r="ET250">
            <v>42212</v>
          </cell>
          <cell r="EU250">
            <v>42212</v>
          </cell>
          <cell r="EW250">
            <v>67</v>
          </cell>
          <cell r="EX250">
            <v>42201</v>
          </cell>
          <cell r="EZ250">
            <v>42197</v>
          </cell>
          <cell r="FA250">
            <v>42208</v>
          </cell>
          <cell r="FB250">
            <v>42199</v>
          </cell>
          <cell r="FC250">
            <v>42209</v>
          </cell>
          <cell r="FU250">
            <v>42201</v>
          </cell>
          <cell r="FW250">
            <v>42201</v>
          </cell>
          <cell r="FX250">
            <v>42212</v>
          </cell>
          <cell r="FY250" t="str">
            <v>AZM</v>
          </cell>
          <cell r="FZ250">
            <v>42191</v>
          </cell>
          <cell r="GA250">
            <v>42194</v>
          </cell>
          <cell r="GB250">
            <v>42194</v>
          </cell>
          <cell r="GC250">
            <v>42194</v>
          </cell>
          <cell r="GD250">
            <v>42213</v>
          </cell>
          <cell r="GE250">
            <v>42194</v>
          </cell>
          <cell r="GF250">
            <v>42199</v>
          </cell>
          <cell r="GG250">
            <v>42214</v>
          </cell>
          <cell r="GH250">
            <v>42214</v>
          </cell>
          <cell r="GI250">
            <v>42216</v>
          </cell>
          <cell r="GJ250" t="str">
            <v>31-2015</v>
          </cell>
          <cell r="GK250">
            <v>42214</v>
          </cell>
          <cell r="GN250" t="str">
            <v xml:space="preserve">ERICSSON </v>
          </cell>
          <cell r="GP250">
            <v>42186</v>
          </cell>
          <cell r="GU250" t="str">
            <v xml:space="preserve">		</v>
          </cell>
          <cell r="HD250">
            <v>1</v>
          </cell>
        </row>
        <row r="251">
          <cell r="A251" t="str">
            <v>KY0191</v>
          </cell>
          <cell r="B251" t="str">
            <v>ASKH_0011</v>
          </cell>
          <cell r="C251" t="str">
            <v>Apollo</v>
          </cell>
          <cell r="D251" t="str">
            <v>Chris Thomson</v>
          </cell>
          <cell r="F251" t="str">
            <v>Phyo Wai Maung</v>
          </cell>
          <cell r="G251" t="str">
            <v>Paing Thu Soe</v>
          </cell>
          <cell r="H251" t="str">
            <v>WHITE</v>
          </cell>
          <cell r="I251" t="str">
            <v>South</v>
          </cell>
          <cell r="J251" t="str">
            <v>97.28096</v>
          </cell>
          <cell r="K251" t="str">
            <v>19.65709</v>
          </cell>
          <cell r="L251" t="str">
            <v>Rural</v>
          </cell>
          <cell r="M251" t="str">
            <v>Kayah</v>
          </cell>
          <cell r="N251" t="str">
            <v>Loikaw</v>
          </cell>
          <cell r="O251" t="str">
            <v>Loikaw</v>
          </cell>
          <cell r="P251" t="str">
            <v>Kayah</v>
          </cell>
          <cell r="Q251" t="str">
            <v>3</v>
          </cell>
          <cell r="R251" t="str">
            <v>Loikaw</v>
          </cell>
          <cell r="S251" t="str">
            <v>19</v>
          </cell>
          <cell r="T251" t="str">
            <v>GSM+UMTS</v>
          </cell>
          <cell r="W251" t="str">
            <v>Ph2-Priority</v>
          </cell>
          <cell r="X251" t="str">
            <v>45</v>
          </cell>
          <cell r="Y251" t="str">
            <v>47</v>
          </cell>
          <cell r="Z251" t="str">
            <v>GBT</v>
          </cell>
          <cell r="AA251" t="str">
            <v>500</v>
          </cell>
          <cell r="AB251" t="str">
            <v>Access</v>
          </cell>
          <cell r="AC251" t="str">
            <v>Class C</v>
          </cell>
          <cell r="BH251" t="str">
            <v>GTL</v>
          </cell>
          <cell r="BJ251">
            <v>42128</v>
          </cell>
          <cell r="BK251">
            <v>42130</v>
          </cell>
          <cell r="BL251">
            <v>42133</v>
          </cell>
          <cell r="BM251">
            <v>42127</v>
          </cell>
          <cell r="BT251">
            <v>7</v>
          </cell>
          <cell r="BU251">
            <v>42171</v>
          </cell>
          <cell r="BV251">
            <v>42137</v>
          </cell>
          <cell r="BW251" t="str">
            <v>97.28082</v>
          </cell>
          <cell r="BX251" t="str">
            <v>19.65613</v>
          </cell>
          <cell r="BY251" t="str">
            <v>C1</v>
          </cell>
          <cell r="BZ251" t="str">
            <v>Nyein Chan Yay Street, Chi Kal Village Group, Daw Ta Char Village, Loikaw Township.</v>
          </cell>
          <cell r="CA251" t="str">
            <v>U Poe Reh;Nyein Chan Yay Street, Chi Kal Village Group, Daw Ta Char Village, Loikaw Township;09 30575712</v>
          </cell>
          <cell r="CB251" t="str">
            <v>14 July 15 : C1 TSSR updated checklist given from E//  due to rerouting the link at TND 's end; 13May15: C1 SAR Sub</v>
          </cell>
          <cell r="CC251" t="str">
            <v>Garden Land</v>
          </cell>
          <cell r="CE251">
            <v>1</v>
          </cell>
          <cell r="CF251">
            <v>42172</v>
          </cell>
          <cell r="CG251">
            <v>42138</v>
          </cell>
          <cell r="CH251">
            <v>42174</v>
          </cell>
          <cell r="CJ251">
            <v>42144</v>
          </cell>
          <cell r="CK251" t="str">
            <v>45</v>
          </cell>
          <cell r="CL251" t="str">
            <v>47</v>
          </cell>
          <cell r="CM251" t="str">
            <v>60</v>
          </cell>
          <cell r="CN251">
            <v>8</v>
          </cell>
          <cell r="CO251">
            <v>42177</v>
          </cell>
          <cell r="CP251">
            <v>42146</v>
          </cell>
          <cell r="CQ251" t="str">
            <v>M1: grid power + battery</v>
          </cell>
          <cell r="CR251">
            <v>3</v>
          </cell>
          <cell r="CS251">
            <v>42178</v>
          </cell>
          <cell r="CT251">
            <v>42149</v>
          </cell>
          <cell r="CU251" t="str">
            <v>KY0191</v>
          </cell>
          <cell r="DH251">
            <v>84</v>
          </cell>
          <cell r="DI251">
            <v>42188</v>
          </cell>
          <cell r="DK251">
            <v>42185</v>
          </cell>
          <cell r="DL251">
            <v>42180</v>
          </cell>
          <cell r="DM251">
            <v>42189</v>
          </cell>
          <cell r="DN251">
            <v>42180</v>
          </cell>
          <cell r="DO251">
            <v>0</v>
          </cell>
          <cell r="DP251">
            <v>42188</v>
          </cell>
          <cell r="DT251">
            <v>0</v>
          </cell>
          <cell r="DU251">
            <v>42203</v>
          </cell>
          <cell r="DW251">
            <v>0</v>
          </cell>
          <cell r="DY251">
            <v>42189</v>
          </cell>
          <cell r="DZ251">
            <v>42166</v>
          </cell>
          <cell r="EA251" t="str">
            <v>GTL</v>
          </cell>
          <cell r="ED251" t="str">
            <v>10Aug15 :PaingThu.Soe: 7-8-15 Site On Air at 25.7.15.Fencing and Backfilling making in progress.
03Aug15 :PaingThu.Soe: 29-7-15 Site On Air at 25.7.15.
13Jul15 :PaingThu.Soe: 13-7-15 Column done.Backfilling done.Tower on site.Equipment pad making.
06Jul15 :PaingThu.Soe: Column done.Backfilling done.Waiting tower material delivery.
29Jun15 :PaingThu.Soe: Lean done.Rebar done.Footing done.Form work done.
22Jun15 :PaingThu.Soe: 18-6-15 Excavation done.</v>
          </cell>
          <cell r="EI251" t="str">
            <v>M5: grid power + DG + battery      </v>
          </cell>
          <cell r="EJ251">
            <v>20</v>
          </cell>
          <cell r="EK251">
            <v>42211</v>
          </cell>
          <cell r="EL251">
            <v>42186</v>
          </cell>
          <cell r="EM251">
            <v>42212</v>
          </cell>
          <cell r="EN251">
            <v>42198</v>
          </cell>
          <cell r="EQ251">
            <v>42224</v>
          </cell>
          <cell r="ER251">
            <v>42205</v>
          </cell>
          <cell r="ES251">
            <v>42199</v>
          </cell>
          <cell r="ET251">
            <v>42208</v>
          </cell>
          <cell r="EU251">
            <v>42208</v>
          </cell>
          <cell r="EW251">
            <v>67</v>
          </cell>
          <cell r="EX251">
            <v>42238</v>
          </cell>
          <cell r="EZ251">
            <v>42234</v>
          </cell>
          <cell r="FA251">
            <v>42207</v>
          </cell>
          <cell r="FB251">
            <v>42236</v>
          </cell>
          <cell r="FC251">
            <v>42209</v>
          </cell>
          <cell r="FE251">
            <v>42193</v>
          </cell>
          <cell r="FU251">
            <v>42238</v>
          </cell>
          <cell r="FW251">
            <v>42238</v>
          </cell>
          <cell r="FX251">
            <v>42211</v>
          </cell>
          <cell r="FY251" t="str">
            <v>AZM</v>
          </cell>
          <cell r="FZ251">
            <v>42199</v>
          </cell>
          <cell r="GA251">
            <v>42201</v>
          </cell>
          <cell r="GB251">
            <v>42201</v>
          </cell>
          <cell r="GC251">
            <v>42208</v>
          </cell>
          <cell r="GD251">
            <v>42208</v>
          </cell>
          <cell r="GE251">
            <v>42201</v>
          </cell>
          <cell r="GF251">
            <v>42201</v>
          </cell>
          <cell r="GG251">
            <v>42209</v>
          </cell>
          <cell r="GH251">
            <v>42210</v>
          </cell>
          <cell r="GI251">
            <v>42216</v>
          </cell>
          <cell r="GJ251" t="str">
            <v>30-2015</v>
          </cell>
          <cell r="GK251">
            <v>42210</v>
          </cell>
          <cell r="GN251" t="str">
            <v xml:space="preserve">ERICSSON </v>
          </cell>
          <cell r="GP251">
            <v>42186</v>
          </cell>
          <cell r="GS251" t="str">
            <v>4/4/4</v>
          </cell>
          <cell r="GU251" t="str">
            <v xml:space="preserve">		</v>
          </cell>
          <cell r="HD251">
            <v>1</v>
          </cell>
        </row>
        <row r="252">
          <cell r="A252" t="str">
            <v>KY0194</v>
          </cell>
          <cell r="B252" t="str">
            <v>ASKH_0012</v>
          </cell>
          <cell r="C252" t="str">
            <v>Apollo</v>
          </cell>
          <cell r="D252" t="str">
            <v>Chris Thomson</v>
          </cell>
          <cell r="F252" t="str">
            <v>Phyo Wai Maung</v>
          </cell>
          <cell r="G252" t="str">
            <v>Paing Thu Soe</v>
          </cell>
          <cell r="H252" t="str">
            <v>YELLOW</v>
          </cell>
          <cell r="I252" t="str">
            <v>South</v>
          </cell>
          <cell r="J252" t="str">
            <v>97.1926469999999</v>
          </cell>
          <cell r="K252" t="str">
            <v>19.724261</v>
          </cell>
          <cell r="L252" t="str">
            <v>Suburban</v>
          </cell>
          <cell r="M252" t="str">
            <v>Kayah</v>
          </cell>
          <cell r="N252" t="str">
            <v>Loikaw</v>
          </cell>
          <cell r="O252" t="str">
            <v>Loikaw</v>
          </cell>
          <cell r="P252" t="str">
            <v>Kayah</v>
          </cell>
          <cell r="Q252" t="str">
            <v>3</v>
          </cell>
          <cell r="R252" t="str">
            <v>Loikaw</v>
          </cell>
          <cell r="S252" t="str">
            <v>19</v>
          </cell>
          <cell r="T252" t="str">
            <v>GSM+UMTS</v>
          </cell>
          <cell r="W252" t="str">
            <v>Ph2-Priority</v>
          </cell>
          <cell r="X252" t="str">
            <v>35</v>
          </cell>
          <cell r="Y252" t="str">
            <v>35</v>
          </cell>
          <cell r="Z252" t="str">
            <v>GBT</v>
          </cell>
          <cell r="AA252" t="str">
            <v>250</v>
          </cell>
          <cell r="AB252" t="str">
            <v>Access</v>
          </cell>
          <cell r="AC252" t="str">
            <v>Class B</v>
          </cell>
          <cell r="BH252" t="str">
            <v>GTL</v>
          </cell>
          <cell r="BJ252">
            <v>42129</v>
          </cell>
          <cell r="BK252">
            <v>42130</v>
          </cell>
          <cell r="BL252">
            <v>42134</v>
          </cell>
          <cell r="BM252">
            <v>42147</v>
          </cell>
          <cell r="BT252">
            <v>75</v>
          </cell>
          <cell r="BU252">
            <v>42134</v>
          </cell>
          <cell r="BV252">
            <v>42205</v>
          </cell>
          <cell r="BW252" t="str">
            <v>97.20025</v>
          </cell>
          <cell r="BX252" t="str">
            <v>19.72551667</v>
          </cell>
          <cell r="BY252" t="str">
            <v>C4</v>
          </cell>
          <cell r="BZ252" t="str">
            <v>Htay B Law Khuu Village, Nwar La Bah Village Group, Laikaw</v>
          </cell>
          <cell r="CA252" t="str">
            <v>U Kyan Reh</v>
          </cell>
          <cell r="CB252" t="str">
            <v>20 July 15 : C4 SAR sub (C3 has problem with ownership documents and owner backout, thus new candidate C4 was nominated/submitted);16 July 15 : C3 TSSR sub but not app yet;1 July 15 :C3 SAR app;27 June 15 : C3 SAR sub(NP Fall inside Huge Paddy Field, nearby option are all paddy land.); 12May15: C1 SAR Sub</v>
          </cell>
          <cell r="CC252" t="str">
            <v>Residential</v>
          </cell>
          <cell r="CE252">
            <v>2</v>
          </cell>
          <cell r="CF252">
            <v>42135</v>
          </cell>
          <cell r="CG252">
            <v>42207</v>
          </cell>
          <cell r="CH252">
            <v>42158</v>
          </cell>
          <cell r="CJ252">
            <v>42212</v>
          </cell>
          <cell r="CK252" t="str">
            <v>35</v>
          </cell>
          <cell r="CL252" t="str">
            <v>37</v>
          </cell>
          <cell r="CM252" t="str">
            <v>35</v>
          </cell>
          <cell r="CN252">
            <v>7</v>
          </cell>
          <cell r="CO252">
            <v>42161</v>
          </cell>
          <cell r="CP252">
            <v>42214</v>
          </cell>
          <cell r="CQ252" t="str">
            <v>M4: solar + DG + battery</v>
          </cell>
          <cell r="CR252">
            <v>1</v>
          </cell>
          <cell r="CS252">
            <v>42162</v>
          </cell>
          <cell r="CT252">
            <v>42215</v>
          </cell>
          <cell r="CU252" t="str">
            <v>KY0194</v>
          </cell>
          <cell r="DH252">
            <v>18</v>
          </cell>
          <cell r="DI252">
            <v>42172</v>
          </cell>
          <cell r="DJ252">
            <v>42209</v>
          </cell>
          <cell r="DK252">
            <v>42169</v>
          </cell>
          <cell r="DL252">
            <v>42242</v>
          </cell>
          <cell r="DM252">
            <v>42173</v>
          </cell>
          <cell r="DO252">
            <v>0</v>
          </cell>
          <cell r="DP252">
            <v>42172</v>
          </cell>
          <cell r="DQ252">
            <v>42209</v>
          </cell>
          <cell r="DT252">
            <v>0</v>
          </cell>
          <cell r="DU252">
            <v>42187</v>
          </cell>
          <cell r="DW252">
            <v>0</v>
          </cell>
          <cell r="DY252">
            <v>42173</v>
          </cell>
          <cell r="DZ252">
            <v>42216</v>
          </cell>
          <cell r="EA252" t="str">
            <v>GTL</v>
          </cell>
          <cell r="EB252">
            <v>42215</v>
          </cell>
          <cell r="ED252" t="str">
            <v>10Aug15 :PaingThu.Soe: 7-8-15 Column done.Tower on site.Backfilling on going.
03Aug15 :PaingThu.Soe: 29-7-15 Excavation making in progress.</v>
          </cell>
          <cell r="EE252" t="str">
            <v xml:space="preserve">10 Aug 15:Rain affected_Progress affected; 3-Aug-15: Rain affected								</v>
          </cell>
          <cell r="EJ252">
            <v>6</v>
          </cell>
          <cell r="EK252">
            <v>42188</v>
          </cell>
          <cell r="EL252">
            <v>42222</v>
          </cell>
          <cell r="EM252">
            <v>42189</v>
          </cell>
          <cell r="EN252">
            <v>42219</v>
          </cell>
          <cell r="EQ252">
            <v>42196</v>
          </cell>
          <cell r="ER252">
            <v>42248</v>
          </cell>
          <cell r="ES252">
            <v>42240</v>
          </cell>
          <cell r="ET252">
            <v>42248</v>
          </cell>
          <cell r="EU252">
            <v>42248</v>
          </cell>
          <cell r="EW252">
            <v>17</v>
          </cell>
          <cell r="EX252">
            <v>42210</v>
          </cell>
          <cell r="EZ252">
            <v>42206</v>
          </cell>
          <cell r="FA252">
            <v>42246</v>
          </cell>
          <cell r="FB252">
            <v>42208</v>
          </cell>
          <cell r="FC252">
            <v>42246</v>
          </cell>
          <cell r="FU252">
            <v>42210</v>
          </cell>
          <cell r="FW252">
            <v>42210</v>
          </cell>
          <cell r="FX252">
            <v>42249</v>
          </cell>
          <cell r="FY252" t="str">
            <v>UT</v>
          </cell>
          <cell r="FZ252">
            <v>42228</v>
          </cell>
          <cell r="GA252">
            <v>42229</v>
          </cell>
          <cell r="GB252">
            <v>42233</v>
          </cell>
          <cell r="GE252">
            <v>42233</v>
          </cell>
          <cell r="GI252">
            <v>42246</v>
          </cell>
          <cell r="GJ252">
            <v>0</v>
          </cell>
          <cell r="GL252" t="str">
            <v>Equipment Required :: Dispatch 10th Aug, Keept in UT WH</v>
          </cell>
          <cell r="GN252" t="str">
            <v xml:space="preserve">ERICSSON </v>
          </cell>
          <cell r="GQ252" t="str">
            <v xml:space="preserve">Equipment Not Delivered; </v>
          </cell>
          <cell r="GS252" t="str">
            <v>4/4/4</v>
          </cell>
          <cell r="GU252" t="str">
            <v xml:space="preserve">		</v>
          </cell>
          <cell r="HD252">
            <v>1</v>
          </cell>
        </row>
        <row r="253">
          <cell r="A253" t="str">
            <v>KY0195</v>
          </cell>
          <cell r="B253" t="str">
            <v>ASKH_0013</v>
          </cell>
          <cell r="C253" t="str">
            <v>Apollo</v>
          </cell>
          <cell r="D253" t="str">
            <v>Chris Thomson</v>
          </cell>
          <cell r="F253" t="str">
            <v>Phyo Wai Maung</v>
          </cell>
          <cell r="G253" t="str">
            <v>Paing Thu Soe</v>
          </cell>
          <cell r="H253" t="str">
            <v>WHITE</v>
          </cell>
          <cell r="I253" t="str">
            <v>South</v>
          </cell>
          <cell r="J253" t="str">
            <v>97.1891359999999</v>
          </cell>
          <cell r="K253" t="str">
            <v>19.705502</v>
          </cell>
          <cell r="L253" t="str">
            <v>Suburban</v>
          </cell>
          <cell r="M253" t="str">
            <v>Kayah</v>
          </cell>
          <cell r="N253" t="str">
            <v>Loikaw</v>
          </cell>
          <cell r="O253" t="str">
            <v>Loikaw</v>
          </cell>
          <cell r="P253" t="str">
            <v>Kayah</v>
          </cell>
          <cell r="Q253" t="str">
            <v>3</v>
          </cell>
          <cell r="R253" t="str">
            <v>Loikaw</v>
          </cell>
          <cell r="S253" t="str">
            <v>19</v>
          </cell>
          <cell r="T253" t="str">
            <v>GSM+UMTS</v>
          </cell>
          <cell r="W253" t="str">
            <v>Ph2-Priority</v>
          </cell>
          <cell r="X253" t="str">
            <v>35</v>
          </cell>
          <cell r="Y253" t="str">
            <v>35</v>
          </cell>
          <cell r="Z253" t="str">
            <v>GBT</v>
          </cell>
          <cell r="AA253" t="str">
            <v>250</v>
          </cell>
          <cell r="AB253" t="str">
            <v>Access</v>
          </cell>
          <cell r="AC253" t="str">
            <v>Class B</v>
          </cell>
          <cell r="BH253" t="str">
            <v>GTL</v>
          </cell>
          <cell r="BJ253">
            <v>42114</v>
          </cell>
          <cell r="BK253">
            <v>42121</v>
          </cell>
          <cell r="BL253">
            <v>42119</v>
          </cell>
          <cell r="BM253">
            <v>42119</v>
          </cell>
          <cell r="BT253">
            <v>8</v>
          </cell>
          <cell r="BU253">
            <v>42139</v>
          </cell>
          <cell r="BV253">
            <v>42129</v>
          </cell>
          <cell r="BW253" t="str">
            <v>97.18887</v>
          </cell>
          <cell r="BX253" t="str">
            <v>19.70555</v>
          </cell>
          <cell r="BY253" t="str">
            <v>C1</v>
          </cell>
          <cell r="BZ253" t="str">
            <v>Yay Yo Village , Noe Koe Village Group,Loikaw Township.</v>
          </cell>
          <cell r="CA253" t="str">
            <v>U La Khay;No-221/B, Noe Koe Village Group, Yay Yo Village, Loikaw Township;09 36181897.</v>
          </cell>
          <cell r="CB253" t="str">
            <v>5May15: C1 SAR Sub.</v>
          </cell>
          <cell r="CC253" t="str">
            <v>Garden Land</v>
          </cell>
          <cell r="CE253">
            <v>1</v>
          </cell>
          <cell r="CF253">
            <v>42140</v>
          </cell>
          <cell r="CG253">
            <v>42130</v>
          </cell>
          <cell r="CH253">
            <v>42142</v>
          </cell>
          <cell r="CJ253">
            <v>42144</v>
          </cell>
          <cell r="CK253" t="str">
            <v>35</v>
          </cell>
          <cell r="CL253" t="str">
            <v>37</v>
          </cell>
          <cell r="CM253" t="str">
            <v>35</v>
          </cell>
          <cell r="CN253">
            <v>16</v>
          </cell>
          <cell r="CO253">
            <v>42145</v>
          </cell>
          <cell r="CP253">
            <v>42146</v>
          </cell>
          <cell r="CQ253" t="str">
            <v>M4: solar + DG + battery</v>
          </cell>
          <cell r="CR253">
            <v>3</v>
          </cell>
          <cell r="CS253">
            <v>42146</v>
          </cell>
          <cell r="CT253">
            <v>42149</v>
          </cell>
          <cell r="CU253" t="str">
            <v>KY0195</v>
          </cell>
          <cell r="DH253">
            <v>84</v>
          </cell>
          <cell r="DI253">
            <v>42163</v>
          </cell>
          <cell r="DK253">
            <v>42160</v>
          </cell>
          <cell r="DL253">
            <v>42172</v>
          </cell>
          <cell r="DM253">
            <v>42164</v>
          </cell>
          <cell r="DN253">
            <v>42172</v>
          </cell>
          <cell r="DO253">
            <v>0</v>
          </cell>
          <cell r="DP253">
            <v>42163</v>
          </cell>
          <cell r="DT253">
            <v>0</v>
          </cell>
          <cell r="DU253">
            <v>42178</v>
          </cell>
          <cell r="DW253">
            <v>0</v>
          </cell>
          <cell r="DY253">
            <v>42164</v>
          </cell>
          <cell r="DZ253">
            <v>42166</v>
          </cell>
          <cell r="EA253" t="str">
            <v>GTL</v>
          </cell>
          <cell r="ED253" t="str">
            <v>10Aug15 :PaingThu.Soe: 7-8-15 Site On Air at 15.7.15.Fencing making in progress.
03Aug15 :PaingThu.Soe: 29-7-15 Site On Air at 15.7.15.
13Jul15 :PaingThu.Soe: 13-7-15 Tower erection done.Equipment pad done.
06Jul15 :PaingThu.Soe: Equipment pad making in progress.Backfilling done and waiting tower material.
29Jun15 :PaingThu.Soe: Column pedestal done.Backfilling done.Waiting tower material.
22Jun15 :PaingThu.Soe: 18-6-15 Footing casting ongoing.Anchor bolt available in site.</v>
          </cell>
          <cell r="EI253" t="str">
            <v>M5: grid power + DG + battery      </v>
          </cell>
          <cell r="EJ253">
            <v>9</v>
          </cell>
          <cell r="EK253">
            <v>42179</v>
          </cell>
          <cell r="EL253">
            <v>42175</v>
          </cell>
          <cell r="EM253">
            <v>42180</v>
          </cell>
          <cell r="EN253">
            <v>42189</v>
          </cell>
          <cell r="EQ253">
            <v>42187</v>
          </cell>
          <cell r="ER253">
            <v>42198</v>
          </cell>
          <cell r="ES253">
            <v>42197</v>
          </cell>
          <cell r="ET253">
            <v>42198</v>
          </cell>
          <cell r="EU253">
            <v>42198</v>
          </cell>
          <cell r="EW253">
            <v>67</v>
          </cell>
          <cell r="EX253">
            <v>42201</v>
          </cell>
          <cell r="EZ253">
            <v>42197</v>
          </cell>
          <cell r="FA253">
            <v>42199</v>
          </cell>
          <cell r="FB253">
            <v>42199</v>
          </cell>
          <cell r="FC253">
            <v>42201</v>
          </cell>
          <cell r="FE253">
            <v>42193</v>
          </cell>
          <cell r="FU253">
            <v>42201</v>
          </cell>
          <cell r="FW253">
            <v>42201</v>
          </cell>
          <cell r="FX253">
            <v>42201</v>
          </cell>
          <cell r="FY253" t="str">
            <v>AZM</v>
          </cell>
          <cell r="FZ253">
            <v>42191</v>
          </cell>
          <cell r="GA253">
            <v>42194</v>
          </cell>
          <cell r="GB253">
            <v>42194</v>
          </cell>
          <cell r="GC253">
            <v>42198</v>
          </cell>
          <cell r="GD253">
            <v>42198</v>
          </cell>
          <cell r="GE253">
            <v>42194</v>
          </cell>
          <cell r="GF253">
            <v>42199</v>
          </cell>
          <cell r="GG253">
            <v>42200</v>
          </cell>
          <cell r="GH253">
            <v>42200</v>
          </cell>
          <cell r="GI253">
            <v>42216</v>
          </cell>
          <cell r="GJ253" t="str">
            <v>29-2015</v>
          </cell>
          <cell r="GK253">
            <v>42200</v>
          </cell>
          <cell r="GN253" t="str">
            <v xml:space="preserve">ERICSSON </v>
          </cell>
          <cell r="GP253">
            <v>42186</v>
          </cell>
          <cell r="GU253" t="str">
            <v xml:space="preserve">		</v>
          </cell>
          <cell r="HD253">
            <v>1</v>
          </cell>
        </row>
        <row r="254">
          <cell r="A254" t="str">
            <v>KY0196</v>
          </cell>
          <cell r="B254" t="str">
            <v>ASKH_0014</v>
          </cell>
          <cell r="C254" t="str">
            <v>Apollo</v>
          </cell>
          <cell r="D254" t="str">
            <v>Chris Thomson</v>
          </cell>
          <cell r="F254" t="str">
            <v>Phyo Wai Maung</v>
          </cell>
          <cell r="G254" t="str">
            <v>Paing Thu Soe</v>
          </cell>
          <cell r="H254" t="str">
            <v>GREEN</v>
          </cell>
          <cell r="I254" t="str">
            <v>South</v>
          </cell>
          <cell r="J254" t="str">
            <v>97.172697</v>
          </cell>
          <cell r="K254" t="str">
            <v>19.693554</v>
          </cell>
          <cell r="L254" t="str">
            <v>Suburban</v>
          </cell>
          <cell r="M254" t="str">
            <v>Kayah</v>
          </cell>
          <cell r="N254" t="str">
            <v>Loikaw</v>
          </cell>
          <cell r="O254" t="str">
            <v>Loikaw</v>
          </cell>
          <cell r="P254" t="str">
            <v>Kayah</v>
          </cell>
          <cell r="Q254" t="str">
            <v>3</v>
          </cell>
          <cell r="R254" t="str">
            <v>Loikaw</v>
          </cell>
          <cell r="S254" t="str">
            <v>19</v>
          </cell>
          <cell r="T254" t="str">
            <v>GSM+UMTS</v>
          </cell>
          <cell r="W254" t="str">
            <v>Ph2-Priority</v>
          </cell>
          <cell r="X254" t="str">
            <v>35</v>
          </cell>
          <cell r="Y254" t="str">
            <v>35</v>
          </cell>
          <cell r="Z254" t="str">
            <v>GBT</v>
          </cell>
          <cell r="AA254" t="str">
            <v>250</v>
          </cell>
          <cell r="AB254" t="str">
            <v>Access</v>
          </cell>
          <cell r="AC254" t="str">
            <v>Class B</v>
          </cell>
          <cell r="BH254" t="str">
            <v>GTL</v>
          </cell>
          <cell r="BJ254">
            <v>42168</v>
          </cell>
          <cell r="BK254">
            <v>42130</v>
          </cell>
          <cell r="BL254">
            <v>42173</v>
          </cell>
          <cell r="BM254">
            <v>42172</v>
          </cell>
          <cell r="BT254">
            <v>52</v>
          </cell>
          <cell r="BU254">
            <v>42217</v>
          </cell>
          <cell r="BV254">
            <v>42182</v>
          </cell>
          <cell r="BW254" t="str">
            <v>97.18518</v>
          </cell>
          <cell r="BX254" t="str">
            <v>19.69292</v>
          </cell>
          <cell r="BY254" t="str">
            <v>C2</v>
          </cell>
          <cell r="BZ254" t="str">
            <v>Htal khalar village group, laikaw town ship</v>
          </cell>
          <cell r="CA254" t="str">
            <v>U ku Reh 09428006685</v>
          </cell>
          <cell r="CB254" t="str">
            <v>27 June 15 : C2 SAR sub(NP Fall inside Paddy Field, Opted to look for candidates to the nearest village that is 1.5KM approx.);19May15: C1 RND rejeccted this candidate because it is 629m far from the nominal. Suggest to find the candidate within the search ring.18May15: C1 SAR Sub</v>
          </cell>
          <cell r="CC254" t="str">
            <v>Residential</v>
          </cell>
          <cell r="CE254">
            <v>2</v>
          </cell>
          <cell r="CF254">
            <v>42218</v>
          </cell>
          <cell r="CG254">
            <v>42184</v>
          </cell>
          <cell r="CH254">
            <v>42220</v>
          </cell>
          <cell r="CJ254">
            <v>42192</v>
          </cell>
          <cell r="CK254" t="str">
            <v>35</v>
          </cell>
          <cell r="CL254" t="str">
            <v>37</v>
          </cell>
          <cell r="CM254" t="str">
            <v>35</v>
          </cell>
          <cell r="CN254">
            <v>10</v>
          </cell>
          <cell r="CO254">
            <v>42223</v>
          </cell>
          <cell r="CP254">
            <v>42194</v>
          </cell>
          <cell r="CQ254" t="str">
            <v>M1: grid power + battery</v>
          </cell>
          <cell r="CR254">
            <v>1</v>
          </cell>
          <cell r="CS254">
            <v>42224</v>
          </cell>
          <cell r="CT254">
            <v>42195</v>
          </cell>
          <cell r="CU254" t="str">
            <v>KY0196</v>
          </cell>
          <cell r="DH254">
            <v>38</v>
          </cell>
          <cell r="DI254">
            <v>42234</v>
          </cell>
          <cell r="DK254">
            <v>42231</v>
          </cell>
          <cell r="DL254">
            <v>42242</v>
          </cell>
          <cell r="DM254">
            <v>42235</v>
          </cell>
          <cell r="DO254">
            <v>0</v>
          </cell>
          <cell r="DP254">
            <v>42234</v>
          </cell>
          <cell r="DT254">
            <v>0</v>
          </cell>
          <cell r="DU254">
            <v>42249</v>
          </cell>
          <cell r="DW254">
            <v>0</v>
          </cell>
          <cell r="DY254">
            <v>42235</v>
          </cell>
          <cell r="DZ254">
            <v>42201</v>
          </cell>
          <cell r="EA254" t="str">
            <v>GTL</v>
          </cell>
          <cell r="ED254" t="str">
            <v>10Aug15 :PaingThu.Soe: 7-8-15 Column done.Tower on site.Backfilling on going.
03Aug15 :PaingThu.Soe: 29-7-15 Footing casting on going.</v>
          </cell>
          <cell r="EE254" t="str">
            <v xml:space="preserve">10 Aug 15:Rain affected_Progress affected; 3-Aug-15: On going slow progress								</v>
          </cell>
          <cell r="EJ254">
            <v>16</v>
          </cell>
          <cell r="EK254">
            <v>42250</v>
          </cell>
          <cell r="EL254">
            <v>42217</v>
          </cell>
          <cell r="EM254">
            <v>42251</v>
          </cell>
          <cell r="EN254">
            <v>42219</v>
          </cell>
          <cell r="EQ254">
            <v>42258</v>
          </cell>
          <cell r="ER254">
            <v>42230</v>
          </cell>
          <cell r="ES254">
            <v>42242</v>
          </cell>
          <cell r="ET254">
            <v>42242</v>
          </cell>
          <cell r="EU254">
            <v>42242</v>
          </cell>
          <cell r="EW254">
            <v>32</v>
          </cell>
          <cell r="EX254">
            <v>42220</v>
          </cell>
          <cell r="EZ254">
            <v>42268</v>
          </cell>
          <cell r="FA254">
            <v>42247</v>
          </cell>
          <cell r="FB254">
            <v>42270</v>
          </cell>
          <cell r="FC254">
            <v>42248</v>
          </cell>
          <cell r="FU254">
            <v>42272</v>
          </cell>
          <cell r="FW254">
            <v>42272</v>
          </cell>
          <cell r="FX254">
            <v>42248</v>
          </cell>
          <cell r="FY254" t="str">
            <v>UT</v>
          </cell>
          <cell r="FZ254">
            <v>42234</v>
          </cell>
          <cell r="GA254">
            <v>42238</v>
          </cell>
          <cell r="GB254">
            <v>42242</v>
          </cell>
          <cell r="GC254">
            <v>42243</v>
          </cell>
          <cell r="GD254">
            <v>42250</v>
          </cell>
          <cell r="GE254">
            <v>42242</v>
          </cell>
          <cell r="GF254">
            <v>41974</v>
          </cell>
          <cell r="GI254">
            <v>42246</v>
          </cell>
          <cell r="GJ254" t="str">
            <v>44-2015</v>
          </cell>
          <cell r="GL254" t="str">
            <v>Equipment Required :: Materials Keept at UT WH</v>
          </cell>
          <cell r="GN254" t="str">
            <v xml:space="preserve">ERICSSON </v>
          </cell>
          <cell r="GQ254" t="str">
            <v xml:space="preserve">Infra Issue; </v>
          </cell>
          <cell r="GU254" t="str">
            <v xml:space="preserve">		</v>
          </cell>
          <cell r="HD254">
            <v>1</v>
          </cell>
        </row>
        <row r="255">
          <cell r="A255" t="str">
            <v>MD0346</v>
          </cell>
          <cell r="B255" t="str">
            <v>ANMD_0061</v>
          </cell>
          <cell r="C255" t="str">
            <v>Apollo</v>
          </cell>
          <cell r="D255" t="str">
            <v>Adriaan Coetsee</v>
          </cell>
          <cell r="F255" t="str">
            <v>Aung Thu Win</v>
          </cell>
          <cell r="G255" t="str">
            <v>May Sandar Kyaw</v>
          </cell>
          <cell r="H255" t="str">
            <v>WHITE</v>
          </cell>
          <cell r="I255" t="str">
            <v>North</v>
          </cell>
          <cell r="J255" t="str">
            <v>96.2130077469952</v>
          </cell>
          <cell r="K255" t="str">
            <v>20.7458093547285</v>
          </cell>
          <cell r="L255" t="str">
            <v>Rural</v>
          </cell>
          <cell r="M255" t="str">
            <v>Mandalay 2</v>
          </cell>
          <cell r="N255" t="str">
            <v>Thazi</v>
          </cell>
          <cell r="O255" t="str">
            <v>Thazi</v>
          </cell>
          <cell r="P255" t="str">
            <v>Mandalay 2</v>
          </cell>
          <cell r="Q255" t="str">
            <v>9</v>
          </cell>
          <cell r="R255" t="str">
            <v>Thazi</v>
          </cell>
          <cell r="S255" t="str">
            <v>168</v>
          </cell>
          <cell r="T255" t="str">
            <v>GSM+UMTS</v>
          </cell>
          <cell r="W255" t="str">
            <v>Ph2-Priority</v>
          </cell>
          <cell r="X255" t="str">
            <v>45</v>
          </cell>
          <cell r="Y255" t="str">
            <v>47</v>
          </cell>
          <cell r="Z255" t="str">
            <v>GBT</v>
          </cell>
          <cell r="AA255" t="str">
            <v>500</v>
          </cell>
          <cell r="AB255" t="str">
            <v>Access</v>
          </cell>
          <cell r="AC255" t="str">
            <v>Class C</v>
          </cell>
          <cell r="BE255" t="str">
            <v>Route 1 Yangon - Mandalay</v>
          </cell>
          <cell r="BH255" t="str">
            <v>Camusat</v>
          </cell>
          <cell r="BJ255">
            <v>42145</v>
          </cell>
          <cell r="BK255">
            <v>42130</v>
          </cell>
          <cell r="BL255">
            <v>42150</v>
          </cell>
          <cell r="BM255">
            <v>42138</v>
          </cell>
          <cell r="BT255">
            <v>18</v>
          </cell>
          <cell r="BU255">
            <v>42255</v>
          </cell>
          <cell r="BV255">
            <v>42148</v>
          </cell>
          <cell r="BW255" t="str">
            <v>96.21466</v>
          </cell>
          <cell r="BX255" t="str">
            <v>20.742416</v>
          </cell>
          <cell r="BY255" t="str">
            <v>C1</v>
          </cell>
          <cell r="BZ255" t="str">
            <v>No(136), Five Pagodas Taung Village, Tharsi Township.</v>
          </cell>
          <cell r="CA255" t="str">
            <v>Daw Khin Toke;No(136), Five Pagodas Taung Village, Tharsi Township, Mandalay Division;09-33848858/09-797849672</v>
          </cell>
          <cell r="CB255" t="str">
            <v>11 Aug 15 : C1 TSSR updated checklist given from E// because of changing link up site;24May15: C1 SAR Sub.</v>
          </cell>
          <cell r="CE255">
            <v>2</v>
          </cell>
          <cell r="CF255">
            <v>42256</v>
          </cell>
          <cell r="CG255">
            <v>42150</v>
          </cell>
          <cell r="CH255">
            <v>42258</v>
          </cell>
          <cell r="CJ255">
            <v>42156</v>
          </cell>
          <cell r="CK255" t="str">
            <v>45</v>
          </cell>
          <cell r="CL255" t="str">
            <v>47</v>
          </cell>
          <cell r="CM255" t="str">
            <v>50</v>
          </cell>
          <cell r="CN255">
            <v>8</v>
          </cell>
          <cell r="CO255">
            <v>42261</v>
          </cell>
          <cell r="CP255">
            <v>42158</v>
          </cell>
          <cell r="CQ255" t="str">
            <v>M4: solar + DG + battery</v>
          </cell>
          <cell r="CR255">
            <v>1</v>
          </cell>
          <cell r="CS255">
            <v>42262</v>
          </cell>
          <cell r="CT255">
            <v>42159</v>
          </cell>
          <cell r="CU255" t="str">
            <v>MD0346</v>
          </cell>
          <cell r="DH255">
            <v>15</v>
          </cell>
          <cell r="DI255">
            <v>42272</v>
          </cell>
          <cell r="DJ255">
            <v>42174</v>
          </cell>
          <cell r="DK255">
            <v>42269</v>
          </cell>
          <cell r="DL255">
            <v>42168</v>
          </cell>
          <cell r="DM255">
            <v>42273</v>
          </cell>
          <cell r="DN255">
            <v>42179</v>
          </cell>
          <cell r="DO255">
            <v>0</v>
          </cell>
          <cell r="DP255">
            <v>42272</v>
          </cell>
          <cell r="DQ255">
            <v>42174</v>
          </cell>
          <cell r="DT255">
            <v>6</v>
          </cell>
          <cell r="DU255">
            <v>42287</v>
          </cell>
          <cell r="DV255">
            <v>42180</v>
          </cell>
          <cell r="DW255">
            <v>0</v>
          </cell>
          <cell r="DY255">
            <v>42273</v>
          </cell>
          <cell r="DZ255">
            <v>42180</v>
          </cell>
          <cell r="EA255" t="str">
            <v>Camusat</v>
          </cell>
          <cell r="ED255" t="str">
            <v xml:space="preserve">17Aug15 :KyawZay.Yar: Excavation ongoin together with lean concrete.
</v>
          </cell>
          <cell r="EI255" t="str">
            <v>M7: 2DG + battery      </v>
          </cell>
          <cell r="EJ255">
            <v>19</v>
          </cell>
          <cell r="EK255">
            <v>42290</v>
          </cell>
          <cell r="EL255">
            <v>42199</v>
          </cell>
          <cell r="EM255">
            <v>42291</v>
          </cell>
          <cell r="EN255">
            <v>42203</v>
          </cell>
          <cell r="EQ255">
            <v>42300</v>
          </cell>
          <cell r="ER255">
            <v>42209</v>
          </cell>
          <cell r="ES255">
            <v>42203</v>
          </cell>
          <cell r="ET255">
            <v>42213</v>
          </cell>
          <cell r="EU255">
            <v>42213</v>
          </cell>
          <cell r="EW255">
            <v>53</v>
          </cell>
          <cell r="EX255">
            <v>42314</v>
          </cell>
          <cell r="EZ255">
            <v>42310</v>
          </cell>
          <cell r="FA255">
            <v>42212</v>
          </cell>
          <cell r="FB255">
            <v>42312</v>
          </cell>
          <cell r="FC255">
            <v>42214</v>
          </cell>
          <cell r="FU255">
            <v>42314</v>
          </cell>
          <cell r="FW255">
            <v>42314</v>
          </cell>
          <cell r="FX255">
            <v>42214</v>
          </cell>
          <cell r="FY255" t="str">
            <v>ABC</v>
          </cell>
          <cell r="FZ255">
            <v>42213</v>
          </cell>
          <cell r="GA255">
            <v>42218</v>
          </cell>
          <cell r="GB255">
            <v>42220</v>
          </cell>
          <cell r="GC255">
            <v>42220</v>
          </cell>
          <cell r="GD255">
            <v>42221</v>
          </cell>
          <cell r="GE255">
            <v>42227</v>
          </cell>
          <cell r="GF255">
            <v>42227</v>
          </cell>
          <cell r="GG255">
            <v>42228</v>
          </cell>
          <cell r="GH255">
            <v>42229</v>
          </cell>
          <cell r="GI255">
            <v>42246</v>
          </cell>
          <cell r="GJ255" t="str">
            <v>36-2015</v>
          </cell>
          <cell r="GK255">
            <v>42229</v>
          </cell>
          <cell r="GL255" t="str">
            <v>Infra Dep.:: No Pole Mount at FE MD0114</v>
          </cell>
          <cell r="GN255" t="str">
            <v>ERICSSON</v>
          </cell>
          <cell r="GQ255" t="str">
            <v xml:space="preserve">Infra Issue; </v>
          </cell>
          <cell r="HD255">
            <v>1</v>
          </cell>
        </row>
        <row r="256">
          <cell r="A256" t="str">
            <v>MD0354</v>
          </cell>
          <cell r="B256" t="str">
            <v>ANMD_0062</v>
          </cell>
          <cell r="C256" t="str">
            <v>Apollo</v>
          </cell>
          <cell r="D256" t="str">
            <v>Adriaan Coetsee</v>
          </cell>
          <cell r="F256" t="str">
            <v>Aung Thu Win</v>
          </cell>
          <cell r="G256" t="str">
            <v>Win Pa Kyi Myint</v>
          </cell>
          <cell r="H256" t="str">
            <v>YELLOW</v>
          </cell>
          <cell r="I256" t="str">
            <v>North</v>
          </cell>
          <cell r="J256" t="str">
            <v>96.255034</v>
          </cell>
          <cell r="K256" t="str">
            <v>21.851206</v>
          </cell>
          <cell r="L256" t="str">
            <v>Rural</v>
          </cell>
          <cell r="M256" t="str">
            <v>Mandalay 1</v>
          </cell>
          <cell r="N256" t="str">
            <v>Patheingyi</v>
          </cell>
          <cell r="O256" t="str">
            <v>Patheingyi</v>
          </cell>
          <cell r="P256" t="str">
            <v>Mandalay 1</v>
          </cell>
          <cell r="Q256" t="str">
            <v>8</v>
          </cell>
          <cell r="R256" t="str">
            <v>Patheingyi</v>
          </cell>
          <cell r="S256" t="str">
            <v>148</v>
          </cell>
          <cell r="T256" t="str">
            <v>GSM+UMTS</v>
          </cell>
          <cell r="W256" t="str">
            <v>Ph2-Priority</v>
          </cell>
          <cell r="X256" t="str">
            <v>45</v>
          </cell>
          <cell r="Y256" t="str">
            <v>45</v>
          </cell>
          <cell r="Z256" t="str">
            <v>GBT</v>
          </cell>
          <cell r="AA256" t="str">
            <v>500</v>
          </cell>
          <cell r="AB256" t="str">
            <v>Access</v>
          </cell>
          <cell r="AC256" t="str">
            <v>Class C</v>
          </cell>
          <cell r="BE256" t="str">
            <v>MDL DC</v>
          </cell>
          <cell r="BH256" t="str">
            <v>Camusat</v>
          </cell>
          <cell r="BJ256">
            <v>42143</v>
          </cell>
          <cell r="BK256">
            <v>42130</v>
          </cell>
          <cell r="BL256">
            <v>42148</v>
          </cell>
          <cell r="BM256">
            <v>42138</v>
          </cell>
          <cell r="BT256">
            <v>37</v>
          </cell>
          <cell r="BU256">
            <v>42171</v>
          </cell>
          <cell r="BV256">
            <v>42167</v>
          </cell>
          <cell r="BW256" t="str">
            <v>96.25619</v>
          </cell>
          <cell r="BX256" t="str">
            <v>21.85294</v>
          </cell>
          <cell r="BY256" t="str">
            <v>C2</v>
          </cell>
          <cell r="BZ256" t="str">
            <v>Kyauk Chaw Village, Shwe Sar Yan Village Group, Patheingyi Township,Mandalay Division.</v>
          </cell>
          <cell r="CA256" t="str">
            <v>Daw Mya Than;09 257457665</v>
          </cell>
          <cell r="CB256" t="str">
            <v>30 June 15 : C2 TSSR approved and also restore C2 SAR submission and approoval date ;29 June 15 : C2 TSSR sub (C1 has been rejected since during soil test NOC issue occured. C2-Variation order has been eliminated thus this C2 is now the active candidate.) and change cadidate number and sub date;23 June 15: C1 TSSR sub;20Jun15: TSS failed on C2 due to very high variation. Requested to TN for reactivation of C1 and waiting for confirmation before sending the C1-TSSR. Family issue for C1 has been settled. June 15: SAR_C2 approved and ready for TSS/Soil by Camusat Mandalay
 12Jun15: C2-SAR submission; C1-family dispute and no longer interested; 24May15: C1 SAR Sub. C2-SAR submission; C1-family dispute and no longer interested</v>
          </cell>
          <cell r="CE256">
            <v>3</v>
          </cell>
          <cell r="CF256">
            <v>42172</v>
          </cell>
          <cell r="CG256">
            <v>42170</v>
          </cell>
          <cell r="CH256">
            <v>42174</v>
          </cell>
          <cell r="CJ256">
            <v>42182</v>
          </cell>
          <cell r="CK256" t="str">
            <v>45</v>
          </cell>
          <cell r="CL256" t="str">
            <v>47</v>
          </cell>
          <cell r="CM256" t="str">
            <v>45</v>
          </cell>
          <cell r="CN256">
            <v>14</v>
          </cell>
          <cell r="CO256">
            <v>42177</v>
          </cell>
          <cell r="CP256">
            <v>42184</v>
          </cell>
          <cell r="CQ256" t="str">
            <v>M1: grid power + battery</v>
          </cell>
          <cell r="CR256">
            <v>1</v>
          </cell>
          <cell r="CS256">
            <v>42178</v>
          </cell>
          <cell r="CT256">
            <v>42185</v>
          </cell>
          <cell r="CU256" t="str">
            <v>MD0354</v>
          </cell>
          <cell r="DH256">
            <v>6</v>
          </cell>
          <cell r="DI256">
            <v>42188</v>
          </cell>
          <cell r="DJ256">
            <v>42191</v>
          </cell>
          <cell r="DK256">
            <v>42185</v>
          </cell>
          <cell r="DL256">
            <v>42187</v>
          </cell>
          <cell r="DM256">
            <v>42189</v>
          </cell>
          <cell r="DN256">
            <v>42196</v>
          </cell>
          <cell r="DO256">
            <v>0</v>
          </cell>
          <cell r="DP256">
            <v>42188</v>
          </cell>
          <cell r="DQ256">
            <v>42191</v>
          </cell>
          <cell r="DT256">
            <v>10</v>
          </cell>
          <cell r="DU256">
            <v>42203</v>
          </cell>
          <cell r="DV256">
            <v>42201</v>
          </cell>
          <cell r="DW256">
            <v>-6</v>
          </cell>
          <cell r="DY256">
            <v>42189</v>
          </cell>
          <cell r="DZ256">
            <v>42195</v>
          </cell>
          <cell r="EA256" t="str">
            <v>Camusat</v>
          </cell>
          <cell r="EE256" t="str">
            <v xml:space="preserve">10 Aug 15:Rain affected_Progress affected; 3-Aug-15: Rain affected_ Site is progressing but rain is affecting the work every day.  Tower base casted and Pedestal IP								</v>
          </cell>
          <cell r="EJ256">
            <v>28</v>
          </cell>
          <cell r="EK256">
            <v>42206</v>
          </cell>
          <cell r="EL256">
            <v>42223</v>
          </cell>
          <cell r="EM256">
            <v>42207</v>
          </cell>
          <cell r="EN256">
            <v>42233</v>
          </cell>
          <cell r="EQ256">
            <v>42216</v>
          </cell>
          <cell r="ER256">
            <v>42240</v>
          </cell>
          <cell r="ES256">
            <v>42228</v>
          </cell>
          <cell r="ET256">
            <v>42241</v>
          </cell>
          <cell r="EU256">
            <v>42241</v>
          </cell>
          <cell r="EW256">
            <v>38</v>
          </cell>
          <cell r="EX256">
            <v>42230</v>
          </cell>
          <cell r="EZ256">
            <v>42226</v>
          </cell>
          <cell r="FA256">
            <v>42243</v>
          </cell>
          <cell r="FB256">
            <v>42228</v>
          </cell>
          <cell r="FC256">
            <v>42243</v>
          </cell>
          <cell r="FU256">
            <v>42230</v>
          </cell>
          <cell r="FW256">
            <v>42230</v>
          </cell>
          <cell r="FX256">
            <v>42243</v>
          </cell>
          <cell r="FY256" t="str">
            <v>TN</v>
          </cell>
          <cell r="FZ256">
            <v>42236</v>
          </cell>
          <cell r="GA256">
            <v>42239</v>
          </cell>
          <cell r="GB256">
            <v>42241</v>
          </cell>
          <cell r="GC256">
            <v>42241</v>
          </cell>
          <cell r="GD256">
            <v>42244</v>
          </cell>
          <cell r="GE256">
            <v>42243</v>
          </cell>
          <cell r="GF256">
            <v>42244</v>
          </cell>
          <cell r="GG256">
            <v>42244</v>
          </cell>
          <cell r="GH256">
            <v>42244</v>
          </cell>
          <cell r="GI256">
            <v>42246</v>
          </cell>
          <cell r="GJ256" t="str">
            <v>44-2015</v>
          </cell>
          <cell r="GK256">
            <v>42247</v>
          </cell>
          <cell r="GN256" t="str">
            <v>ERICSSON</v>
          </cell>
          <cell r="GO256">
            <v>42185</v>
          </cell>
          <cell r="GP256">
            <v>42206</v>
          </cell>
          <cell r="HD256">
            <v>1</v>
          </cell>
        </row>
        <row r="257">
          <cell r="A257" t="str">
            <v>MD0355</v>
          </cell>
          <cell r="B257" t="str">
            <v>ANMD_0063</v>
          </cell>
          <cell r="C257" t="str">
            <v>Apollo</v>
          </cell>
          <cell r="D257" t="str">
            <v>Adriaan Coetsee</v>
          </cell>
          <cell r="F257" t="str">
            <v>Aung Thu Win</v>
          </cell>
          <cell r="G257" t="str">
            <v>Win Pa Kyi Myint</v>
          </cell>
          <cell r="H257" t="str">
            <v>AMBER</v>
          </cell>
          <cell r="I257" t="str">
            <v>North</v>
          </cell>
          <cell r="J257" t="str">
            <v>96.306055</v>
          </cell>
          <cell r="K257" t="str">
            <v>21.848746</v>
          </cell>
          <cell r="L257" t="str">
            <v>Rural</v>
          </cell>
          <cell r="M257" t="str">
            <v>Mandalay 1</v>
          </cell>
          <cell r="N257" t="str">
            <v>Pyinoolwin</v>
          </cell>
          <cell r="O257" t="str">
            <v>Pyinoolwin</v>
          </cell>
          <cell r="P257" t="str">
            <v>Mandalay 1</v>
          </cell>
          <cell r="Q257" t="str">
            <v>8</v>
          </cell>
          <cell r="R257" t="str">
            <v>Pyinoolwin</v>
          </cell>
          <cell r="S257" t="str">
            <v>149</v>
          </cell>
          <cell r="T257" t="str">
            <v>GSM+UMTS</v>
          </cell>
          <cell r="W257" t="str">
            <v>Ph2-Priority</v>
          </cell>
          <cell r="X257" t="str">
            <v>45</v>
          </cell>
          <cell r="Y257" t="str">
            <v>45</v>
          </cell>
          <cell r="Z257" t="str">
            <v>GBT</v>
          </cell>
          <cell r="AA257" t="str">
            <v>500</v>
          </cell>
          <cell r="AB257" t="str">
            <v>Access</v>
          </cell>
          <cell r="AC257" t="str">
            <v>Class C</v>
          </cell>
          <cell r="BE257" t="str">
            <v>Route 9 Mandalay - Muse</v>
          </cell>
          <cell r="BH257" t="str">
            <v>Camusat</v>
          </cell>
          <cell r="BJ257">
            <v>42143</v>
          </cell>
          <cell r="BK257">
            <v>42130</v>
          </cell>
          <cell r="BL257">
            <v>42148</v>
          </cell>
          <cell r="BM257">
            <v>42137</v>
          </cell>
          <cell r="BT257">
            <v>17</v>
          </cell>
          <cell r="BU257">
            <v>42171</v>
          </cell>
          <cell r="BV257">
            <v>42147</v>
          </cell>
          <cell r="BW257" t="str">
            <v>96.30516</v>
          </cell>
          <cell r="BX257" t="str">
            <v>21.8496</v>
          </cell>
          <cell r="BY257" t="str">
            <v>C1</v>
          </cell>
          <cell r="BZ257" t="str">
            <v>Nyaung Paw Village, PaePin Village Group, PyinOoLwin Township</v>
          </cell>
          <cell r="CA257" t="str">
            <v>U Bo Sate;Nyaung Paw Village, PaePin Village Group, PyinOoLwin Township;09-256617091, 09-256020220,09-258650902</v>
          </cell>
          <cell r="CB257" t="str">
            <v>23May15: C1 SAR Sub</v>
          </cell>
          <cell r="CC257" t="str">
            <v>Farmland</v>
          </cell>
          <cell r="CE257">
            <v>3</v>
          </cell>
          <cell r="CF257">
            <v>42172</v>
          </cell>
          <cell r="CG257">
            <v>42150</v>
          </cell>
          <cell r="CH257">
            <v>42174</v>
          </cell>
          <cell r="CJ257">
            <v>42168</v>
          </cell>
          <cell r="CK257" t="str">
            <v>45</v>
          </cell>
          <cell r="CL257" t="str">
            <v>47</v>
          </cell>
          <cell r="CM257" t="str">
            <v>47</v>
          </cell>
          <cell r="CN257">
            <v>20</v>
          </cell>
          <cell r="CO257">
            <v>42177</v>
          </cell>
          <cell r="CP257">
            <v>42170</v>
          </cell>
          <cell r="CQ257" t="str">
            <v>M1: grid power + battery</v>
          </cell>
          <cell r="CR257">
            <v>0</v>
          </cell>
          <cell r="CS257">
            <v>42178</v>
          </cell>
          <cell r="CT257">
            <v>42170</v>
          </cell>
          <cell r="CU257" t="str">
            <v>MD0355</v>
          </cell>
          <cell r="DH257">
            <v>15</v>
          </cell>
          <cell r="DI257">
            <v>42188</v>
          </cell>
          <cell r="DJ257">
            <v>42185</v>
          </cell>
          <cell r="DK257">
            <v>42185</v>
          </cell>
          <cell r="DL257">
            <v>42172</v>
          </cell>
          <cell r="DM257">
            <v>42189</v>
          </cell>
          <cell r="DN257">
            <v>42188</v>
          </cell>
          <cell r="DO257">
            <v>0</v>
          </cell>
          <cell r="DP257">
            <v>42188</v>
          </cell>
          <cell r="DQ257">
            <v>42185</v>
          </cell>
          <cell r="DT257">
            <v>15</v>
          </cell>
          <cell r="DU257">
            <v>42203</v>
          </cell>
          <cell r="DV257">
            <v>42200</v>
          </cell>
          <cell r="DW257">
            <v>-12</v>
          </cell>
          <cell r="DY257">
            <v>42189</v>
          </cell>
          <cell r="DZ257">
            <v>42188</v>
          </cell>
          <cell r="EA257" t="str">
            <v>Camusat</v>
          </cell>
          <cell r="ED257" t="str">
            <v xml:space="preserve">31Aug15 :MaySandar.Kyaw: Pedestal done, backfilling will start today.
</v>
          </cell>
          <cell r="EE257" t="str">
            <v xml:space="preserve">10 Aug 15:Rain affected_Progress affected; 3-Aug-15: Rain affected_ Site is progressing but rain is affecting the work every day.  Excavation IP								</v>
          </cell>
          <cell r="EJ257">
            <v>45</v>
          </cell>
          <cell r="EK257">
            <v>42206</v>
          </cell>
          <cell r="EL257">
            <v>42244</v>
          </cell>
          <cell r="EM257">
            <v>42207</v>
          </cell>
          <cell r="EQ257">
            <v>42216</v>
          </cell>
          <cell r="EW257">
            <v>45</v>
          </cell>
          <cell r="EX257">
            <v>42230</v>
          </cell>
          <cell r="EZ257">
            <v>42226</v>
          </cell>
          <cell r="FB257">
            <v>42228</v>
          </cell>
          <cell r="FU257">
            <v>42230</v>
          </cell>
          <cell r="FW257">
            <v>42230</v>
          </cell>
          <cell r="GI257">
            <v>42277</v>
          </cell>
          <cell r="GJ257" t="str">
            <v>40-2015</v>
          </cell>
          <cell r="GN257" t="str">
            <v>ERICSSON</v>
          </cell>
          <cell r="GP257">
            <v>42206</v>
          </cell>
          <cell r="HD257">
            <v>1</v>
          </cell>
        </row>
        <row r="258">
          <cell r="A258" t="str">
            <v>MD0358</v>
          </cell>
          <cell r="B258" t="str">
            <v>ANMD_0045</v>
          </cell>
          <cell r="C258" t="str">
            <v>Apollo</v>
          </cell>
          <cell r="D258" t="str">
            <v>Adriaan Coetsee</v>
          </cell>
          <cell r="F258" t="str">
            <v>Aung Thu Win</v>
          </cell>
          <cell r="G258" t="str">
            <v>Win Pa Kyi Myint</v>
          </cell>
          <cell r="H258" t="str">
            <v>WHITE</v>
          </cell>
          <cell r="I258" t="str">
            <v>North</v>
          </cell>
          <cell r="J258" t="str">
            <v>95.4178697539103</v>
          </cell>
          <cell r="K258" t="str">
            <v>21.7350302692824</v>
          </cell>
          <cell r="L258" t="str">
            <v>Rural</v>
          </cell>
          <cell r="M258" t="str">
            <v>Mandalay 1</v>
          </cell>
          <cell r="N258" t="str">
            <v>Myingyan</v>
          </cell>
          <cell r="O258" t="str">
            <v>Myingyan</v>
          </cell>
          <cell r="P258" t="str">
            <v>Mandalay 1</v>
          </cell>
          <cell r="Q258" t="str">
            <v>8</v>
          </cell>
          <cell r="R258" t="str">
            <v>Myingyan</v>
          </cell>
          <cell r="S258" t="str">
            <v>158</v>
          </cell>
          <cell r="T258" t="str">
            <v>GSM+UMTS</v>
          </cell>
          <cell r="W258" t="str">
            <v>Ph2-Priority</v>
          </cell>
          <cell r="X258" t="str">
            <v>45</v>
          </cell>
          <cell r="Y258" t="str">
            <v>47</v>
          </cell>
          <cell r="Z258" t="str">
            <v>GBT</v>
          </cell>
          <cell r="AA258" t="str">
            <v>500</v>
          </cell>
          <cell r="AB258" t="str">
            <v>Access</v>
          </cell>
          <cell r="AC258" t="str">
            <v>Class C</v>
          </cell>
          <cell r="BE258" t="str">
            <v>Route 6 Mandalay - Monywa</v>
          </cell>
          <cell r="BH258" t="str">
            <v>Camusat</v>
          </cell>
          <cell r="BJ258">
            <v>42155</v>
          </cell>
          <cell r="BK258">
            <v>42136</v>
          </cell>
          <cell r="BL258">
            <v>42160</v>
          </cell>
          <cell r="BM258">
            <v>42143</v>
          </cell>
          <cell r="BT258">
            <v>17</v>
          </cell>
          <cell r="BU258">
            <v>42257</v>
          </cell>
          <cell r="BV258">
            <v>42153</v>
          </cell>
          <cell r="BW258" t="str">
            <v>95.41894</v>
          </cell>
          <cell r="BX258" t="str">
            <v>21.73444</v>
          </cell>
          <cell r="BY258" t="str">
            <v>C1</v>
          </cell>
          <cell r="BZ258" t="str">
            <v>Semi k hone Village, Ba Yint Naung Quarter, Myin Gyan Township,Mandalay</v>
          </cell>
          <cell r="CA258" t="str">
            <v>U Ohne Maung;Semikhon Village, Ba Yint Naung Quarter, Myin Gyan Township,Mandalay Division;09-258194679.</v>
          </cell>
          <cell r="CB258" t="str">
            <v>29May15: C1 SAR Sub</v>
          </cell>
          <cell r="CC258" t="str">
            <v>Village</v>
          </cell>
          <cell r="CE258">
            <v>3</v>
          </cell>
          <cell r="CF258">
            <v>42258</v>
          </cell>
          <cell r="CG258">
            <v>42156</v>
          </cell>
          <cell r="CH258">
            <v>42260</v>
          </cell>
          <cell r="CJ258">
            <v>42167</v>
          </cell>
          <cell r="CK258" t="str">
            <v>45</v>
          </cell>
          <cell r="CL258" t="str">
            <v>47</v>
          </cell>
          <cell r="CM258" t="str">
            <v>50</v>
          </cell>
          <cell r="CN258">
            <v>13</v>
          </cell>
          <cell r="CO258">
            <v>42263</v>
          </cell>
          <cell r="CP258">
            <v>42169</v>
          </cell>
          <cell r="CQ258" t="str">
            <v>M1: grid power + battery</v>
          </cell>
          <cell r="CR258">
            <v>1</v>
          </cell>
          <cell r="CS258">
            <v>42264</v>
          </cell>
          <cell r="CT258">
            <v>42170</v>
          </cell>
          <cell r="CU258" t="str">
            <v>MD0358</v>
          </cell>
          <cell r="DH258">
            <v>21</v>
          </cell>
          <cell r="DI258">
            <v>42274</v>
          </cell>
          <cell r="DJ258">
            <v>42191</v>
          </cell>
          <cell r="DK258">
            <v>42271</v>
          </cell>
          <cell r="DL258">
            <v>42173</v>
          </cell>
          <cell r="DM258">
            <v>42275</v>
          </cell>
          <cell r="DN258">
            <v>42188</v>
          </cell>
          <cell r="DO258">
            <v>0</v>
          </cell>
          <cell r="DP258">
            <v>42274</v>
          </cell>
          <cell r="DQ258">
            <v>42191</v>
          </cell>
          <cell r="DT258">
            <v>5</v>
          </cell>
          <cell r="DU258">
            <v>42289</v>
          </cell>
          <cell r="DV258">
            <v>42196</v>
          </cell>
          <cell r="DW258">
            <v>-8</v>
          </cell>
          <cell r="DY258">
            <v>42275</v>
          </cell>
          <cell r="DZ258">
            <v>42188</v>
          </cell>
          <cell r="EA258" t="str">
            <v>Camusat</v>
          </cell>
          <cell r="EI258" t="str">
            <v>M5: grid power + DG + battery      </v>
          </cell>
          <cell r="EJ258">
            <v>13</v>
          </cell>
          <cell r="EK258">
            <v>42292</v>
          </cell>
          <cell r="EL258">
            <v>42201</v>
          </cell>
          <cell r="EM258">
            <v>42293</v>
          </cell>
          <cell r="EN258">
            <v>42205</v>
          </cell>
          <cell r="EQ258">
            <v>42302</v>
          </cell>
          <cell r="ER258">
            <v>42213</v>
          </cell>
          <cell r="ES258">
            <v>42205</v>
          </cell>
          <cell r="ET258">
            <v>42213</v>
          </cell>
          <cell r="EU258">
            <v>42213</v>
          </cell>
          <cell r="EW258">
            <v>45</v>
          </cell>
          <cell r="EX258">
            <v>42316</v>
          </cell>
          <cell r="EZ258">
            <v>42312</v>
          </cell>
          <cell r="FA258">
            <v>42211</v>
          </cell>
          <cell r="FB258">
            <v>42314</v>
          </cell>
          <cell r="FC258">
            <v>42213</v>
          </cell>
          <cell r="FU258">
            <v>42316</v>
          </cell>
          <cell r="FW258">
            <v>42316</v>
          </cell>
          <cell r="FX258">
            <v>42213</v>
          </cell>
          <cell r="FY258" t="str">
            <v>GTL</v>
          </cell>
          <cell r="FZ258">
            <v>42214</v>
          </cell>
          <cell r="GA258">
            <v>42219</v>
          </cell>
          <cell r="GB258">
            <v>42226</v>
          </cell>
          <cell r="GC258">
            <v>42226</v>
          </cell>
          <cell r="GD258">
            <v>42226</v>
          </cell>
          <cell r="GE258">
            <v>42227</v>
          </cell>
          <cell r="GF258">
            <v>42228</v>
          </cell>
          <cell r="GG258">
            <v>42228</v>
          </cell>
          <cell r="GH258">
            <v>42228</v>
          </cell>
          <cell r="GI258">
            <v>42215</v>
          </cell>
          <cell r="GJ258" t="str">
            <v>36-2015</v>
          </cell>
          <cell r="GK258">
            <v>42229</v>
          </cell>
          <cell r="GL258" t="str">
            <v>area flooded ,site near the bank of irrawaddy river</v>
          </cell>
          <cell r="GN258" t="str">
            <v>ERICSSON</v>
          </cell>
          <cell r="GO258">
            <v>42200</v>
          </cell>
          <cell r="GQ258">
            <v>0</v>
          </cell>
          <cell r="HD258">
            <v>1</v>
          </cell>
        </row>
        <row r="259">
          <cell r="A259" t="str">
            <v>MD0359</v>
          </cell>
          <cell r="B259" t="str">
            <v>ANMD_0064</v>
          </cell>
          <cell r="C259" t="str">
            <v>Apollo</v>
          </cell>
          <cell r="D259" t="str">
            <v>Adriaan Coetsee</v>
          </cell>
          <cell r="F259" t="str">
            <v>Aung Thu Win</v>
          </cell>
          <cell r="G259" t="str">
            <v>Win Pa Kyi Myint</v>
          </cell>
          <cell r="H259" t="str">
            <v>RED</v>
          </cell>
          <cell r="I259" t="str">
            <v>North</v>
          </cell>
          <cell r="J259" t="str">
            <v>96.1809851582848</v>
          </cell>
          <cell r="K259" t="str">
            <v>21.5076213395407</v>
          </cell>
          <cell r="L259" t="str">
            <v>Rural</v>
          </cell>
          <cell r="M259" t="str">
            <v>Mandalay 1</v>
          </cell>
          <cell r="N259" t="str">
            <v>Kyaukse</v>
          </cell>
          <cell r="O259" t="str">
            <v>Kyaukse</v>
          </cell>
          <cell r="P259" t="str">
            <v>Mandalay 1</v>
          </cell>
          <cell r="Q259" t="str">
            <v>8</v>
          </cell>
          <cell r="R259" t="str">
            <v>Kyaukse</v>
          </cell>
          <cell r="S259" t="str">
            <v>154</v>
          </cell>
          <cell r="T259" t="str">
            <v>GSM+UMTS</v>
          </cell>
          <cell r="W259" t="str">
            <v>Ph2-Priority</v>
          </cell>
          <cell r="X259" t="str">
            <v>45</v>
          </cell>
          <cell r="Y259" t="str">
            <v>47</v>
          </cell>
          <cell r="Z259" t="str">
            <v>GBT</v>
          </cell>
          <cell r="AA259" t="str">
            <v>500</v>
          </cell>
          <cell r="AB259" t="str">
            <v>Access</v>
          </cell>
          <cell r="AC259" t="str">
            <v>Class C</v>
          </cell>
          <cell r="BE259" t="str">
            <v>Route 1 Yangon - Mandalay</v>
          </cell>
          <cell r="BH259" t="str">
            <v>Camusat</v>
          </cell>
          <cell r="BJ259">
            <v>42165</v>
          </cell>
          <cell r="BK259">
            <v>42171</v>
          </cell>
          <cell r="BL259">
            <v>42170</v>
          </cell>
          <cell r="BM259">
            <v>42174</v>
          </cell>
          <cell r="BT259">
            <v>50</v>
          </cell>
          <cell r="BU259">
            <v>42255</v>
          </cell>
          <cell r="BV259">
            <v>42221</v>
          </cell>
          <cell r="BW259" t="str">
            <v>96.17797</v>
          </cell>
          <cell r="BX259" t="str">
            <v>21.50872</v>
          </cell>
          <cell r="BY259" t="str">
            <v>C2</v>
          </cell>
          <cell r="BZ259" t="str">
            <v>Han Myint Mo Village,Kyauk Sel Township,Mandalay Division.</v>
          </cell>
          <cell r="CA259" t="str">
            <v>Daw Kyin Swe</v>
          </cell>
          <cell r="CB259" t="str">
            <v>5 Aug 15:C2-SAR submission;( C1-rejected due to NOC issue);16 Jul 15 : C1 SAR app;15 Jul 15 : C1 SAR sub</v>
          </cell>
          <cell r="CC259" t="str">
            <v>Farmland</v>
          </cell>
          <cell r="CE259">
            <v>1</v>
          </cell>
          <cell r="CF259">
            <v>42256</v>
          </cell>
          <cell r="CG259">
            <v>42222</v>
          </cell>
          <cell r="CH259">
            <v>42258</v>
          </cell>
          <cell r="CJ259">
            <v>42232</v>
          </cell>
          <cell r="CK259" t="str">
            <v>45</v>
          </cell>
          <cell r="CL259" t="str">
            <v>47</v>
          </cell>
          <cell r="CM259" t="str">
            <v>60</v>
          </cell>
          <cell r="CN259">
            <v>11</v>
          </cell>
          <cell r="CO259">
            <v>42261</v>
          </cell>
          <cell r="CP259">
            <v>42234</v>
          </cell>
          <cell r="CQ259" t="str">
            <v>M1: grid power + battery</v>
          </cell>
          <cell r="CR259">
            <v>0</v>
          </cell>
          <cell r="CS259">
            <v>42262</v>
          </cell>
          <cell r="CT259">
            <v>42237</v>
          </cell>
          <cell r="CU259" t="str">
            <v>MD0359</v>
          </cell>
          <cell r="DH259">
            <v>0</v>
          </cell>
          <cell r="DI259">
            <v>42272</v>
          </cell>
          <cell r="DK259">
            <v>42269</v>
          </cell>
          <cell r="DM259">
            <v>42273</v>
          </cell>
          <cell r="DO259">
            <v>0</v>
          </cell>
          <cell r="DP259">
            <v>42272</v>
          </cell>
          <cell r="DT259">
            <v>0</v>
          </cell>
          <cell r="DU259">
            <v>42287</v>
          </cell>
          <cell r="DW259">
            <v>0</v>
          </cell>
          <cell r="DY259">
            <v>42273</v>
          </cell>
          <cell r="EA259" t="str">
            <v>Camusat</v>
          </cell>
          <cell r="EJ259">
            <v>0</v>
          </cell>
          <cell r="EK259">
            <v>42295</v>
          </cell>
          <cell r="EM259">
            <v>42296</v>
          </cell>
          <cell r="EQ259">
            <v>42308</v>
          </cell>
          <cell r="EW259">
            <v>0</v>
          </cell>
          <cell r="EX259">
            <v>42322</v>
          </cell>
          <cell r="EZ259">
            <v>42318</v>
          </cell>
          <cell r="FB259">
            <v>42320</v>
          </cell>
          <cell r="FU259">
            <v>42322</v>
          </cell>
          <cell r="FW259">
            <v>42322</v>
          </cell>
          <cell r="GI259">
            <v>42183</v>
          </cell>
          <cell r="GJ259">
            <v>0</v>
          </cell>
          <cell r="GN259" t="str">
            <v>ERICSSON</v>
          </cell>
          <cell r="HD259">
            <v>1</v>
          </cell>
        </row>
        <row r="260">
          <cell r="A260" t="str">
            <v>MD0365</v>
          </cell>
          <cell r="B260" t="str">
            <v>ANMD_0065</v>
          </cell>
          <cell r="C260" t="str">
            <v>Apollo</v>
          </cell>
          <cell r="D260" t="str">
            <v>Adriaan Coetsee</v>
          </cell>
          <cell r="F260" t="str">
            <v>Aung Thu Win</v>
          </cell>
          <cell r="G260" t="str">
            <v>Win Pa Kyi Myint</v>
          </cell>
          <cell r="H260" t="str">
            <v>AMBER</v>
          </cell>
          <cell r="I260" t="str">
            <v>North</v>
          </cell>
          <cell r="J260" t="str">
            <v>96.0189527487824</v>
          </cell>
          <cell r="K260" t="str">
            <v>21.7705311721634</v>
          </cell>
          <cell r="L260" t="str">
            <v>Rural</v>
          </cell>
          <cell r="M260" t="str">
            <v>Mandalay 1</v>
          </cell>
          <cell r="N260" t="str">
            <v>Sintgaing</v>
          </cell>
          <cell r="O260" t="str">
            <v>Sintgaing</v>
          </cell>
          <cell r="P260" t="str">
            <v>Mandalay 1</v>
          </cell>
          <cell r="Q260" t="str">
            <v>8</v>
          </cell>
          <cell r="R260" t="str">
            <v>Sintgaing</v>
          </cell>
          <cell r="S260" t="str">
            <v>155</v>
          </cell>
          <cell r="T260" t="str">
            <v>GSM+UMTS</v>
          </cell>
          <cell r="W260" t="str">
            <v>Ph2-Priority</v>
          </cell>
          <cell r="X260" t="str">
            <v>45</v>
          </cell>
          <cell r="Y260" t="str">
            <v>47</v>
          </cell>
          <cell r="Z260" t="str">
            <v>GBT</v>
          </cell>
          <cell r="AA260" t="str">
            <v>500</v>
          </cell>
          <cell r="AB260" t="str">
            <v>Access</v>
          </cell>
          <cell r="AC260" t="str">
            <v>Class C</v>
          </cell>
          <cell r="BE260" t="str">
            <v>Route 8 Mandalay - Magwe</v>
          </cell>
          <cell r="BH260" t="str">
            <v>Camusat</v>
          </cell>
          <cell r="BJ260">
            <v>42145</v>
          </cell>
          <cell r="BK260">
            <v>42130</v>
          </cell>
          <cell r="BL260">
            <v>42150</v>
          </cell>
          <cell r="BM260">
            <v>42155</v>
          </cell>
          <cell r="BT260">
            <v>35</v>
          </cell>
          <cell r="BU260">
            <v>42255</v>
          </cell>
          <cell r="BV260">
            <v>42165</v>
          </cell>
          <cell r="BW260" t="str">
            <v>96.01977</v>
          </cell>
          <cell r="BX260" t="str">
            <v>21.77122</v>
          </cell>
          <cell r="BY260" t="str">
            <v>C2</v>
          </cell>
          <cell r="BZ260" t="str">
            <v>Shwe Lan Htaung Village, Sintgaing Township,Mandalay Division .</v>
          </cell>
          <cell r="CA260" t="str">
            <v>U Nyein Aung;09-256294420</v>
          </cell>
          <cell r="CB260" t="str">
            <v>10Jun15: C2 SAR Sub,C1 owner declined during TSS. 25May15: C1 SAR Sub</v>
          </cell>
          <cell r="CE260">
            <v>1</v>
          </cell>
          <cell r="CF260">
            <v>42256</v>
          </cell>
          <cell r="CG260">
            <v>42166</v>
          </cell>
          <cell r="CH260">
            <v>42258</v>
          </cell>
          <cell r="CJ260">
            <v>42184</v>
          </cell>
          <cell r="CK260" t="str">
            <v>45</v>
          </cell>
          <cell r="CL260" t="str">
            <v>47</v>
          </cell>
          <cell r="CM260" t="str">
            <v>50</v>
          </cell>
          <cell r="CN260">
            <v>20</v>
          </cell>
          <cell r="CO260">
            <v>42261</v>
          </cell>
          <cell r="CP260">
            <v>42186</v>
          </cell>
          <cell r="CQ260" t="str">
            <v>M4: solar + DG + battery</v>
          </cell>
          <cell r="CR260">
            <v>1</v>
          </cell>
          <cell r="CS260">
            <v>42262</v>
          </cell>
          <cell r="CT260">
            <v>42187</v>
          </cell>
          <cell r="CU260" t="str">
            <v>MD0365</v>
          </cell>
          <cell r="DH260">
            <v>30</v>
          </cell>
          <cell r="DI260">
            <v>42272</v>
          </cell>
          <cell r="DJ260">
            <v>42217</v>
          </cell>
          <cell r="DK260">
            <v>42269</v>
          </cell>
          <cell r="DL260">
            <v>42172</v>
          </cell>
          <cell r="DM260">
            <v>42273</v>
          </cell>
          <cell r="DN260">
            <v>42215</v>
          </cell>
          <cell r="DO260">
            <v>0</v>
          </cell>
          <cell r="DP260">
            <v>42272</v>
          </cell>
          <cell r="DQ260">
            <v>42217</v>
          </cell>
          <cell r="DT260">
            <v>16</v>
          </cell>
          <cell r="DU260">
            <v>42287</v>
          </cell>
          <cell r="DV260">
            <v>42186</v>
          </cell>
          <cell r="DW260">
            <v>0</v>
          </cell>
          <cell r="DY260">
            <v>42273</v>
          </cell>
          <cell r="DZ260">
            <v>42215</v>
          </cell>
          <cell r="EA260" t="str">
            <v>Camusat</v>
          </cell>
          <cell r="ED260" t="str">
            <v>17Aug15 :KyawZay.Yar: Tower parts on site &amp; erection will start today evening.Power equip; on site &amp; connectivity ready.
27Jul15 :KyawZay.Yar: Pedestal done.Equip; pad done.Power equip; on site &amp; connectivity ready but not erected yet.
30Jun15 :KyawZay.Yar: Excavation done.Rebar for footing ongoing(Today will finish).</v>
          </cell>
          <cell r="EE260" t="str">
            <v xml:space="preserve">10 Aug 15:Rain affected_Progress affected; 30-Jul-15:Rain affected_ Site is progressing but rain is affecting the work every day. Excavation to start								</v>
          </cell>
          <cell r="EJ260">
            <v>18</v>
          </cell>
          <cell r="EK260">
            <v>42290</v>
          </cell>
          <cell r="EL260">
            <v>42192</v>
          </cell>
          <cell r="EM260">
            <v>42291</v>
          </cell>
          <cell r="EN260">
            <v>42233</v>
          </cell>
          <cell r="EQ260">
            <v>42300</v>
          </cell>
          <cell r="ES260">
            <v>42201</v>
          </cell>
          <cell r="EW260">
            <v>18</v>
          </cell>
          <cell r="EX260">
            <v>42314</v>
          </cell>
          <cell r="EZ260">
            <v>42310</v>
          </cell>
          <cell r="FA260">
            <v>42207</v>
          </cell>
          <cell r="FB260">
            <v>42312</v>
          </cell>
          <cell r="FC260">
            <v>42220</v>
          </cell>
          <cell r="FU260">
            <v>42314</v>
          </cell>
          <cell r="FW260">
            <v>42314</v>
          </cell>
          <cell r="FY260" t="str">
            <v>EM</v>
          </cell>
          <cell r="FZ260">
            <v>42209</v>
          </cell>
          <cell r="GA260">
            <v>42214</v>
          </cell>
          <cell r="GF260">
            <v>42104</v>
          </cell>
          <cell r="GI260">
            <v>42307</v>
          </cell>
          <cell r="GJ260" t="str">
            <v>44-2015</v>
          </cell>
          <cell r="GL260" t="str">
            <v>Infra Dep.:: Tower is not ready</v>
          </cell>
          <cell r="GN260" t="str">
            <v>ERICSSON</v>
          </cell>
          <cell r="GP260">
            <v>42206</v>
          </cell>
          <cell r="GQ260" t="str">
            <v xml:space="preserve">Infra Issue; </v>
          </cell>
          <cell r="HD260">
            <v>1</v>
          </cell>
        </row>
        <row r="261">
          <cell r="A261" t="str">
            <v>MD0368</v>
          </cell>
          <cell r="B261" t="str">
            <v>ANMD_0208</v>
          </cell>
          <cell r="C261" t="str">
            <v>Apollo</v>
          </cell>
          <cell r="D261" t="str">
            <v>Adriaan Coetsee</v>
          </cell>
          <cell r="F261" t="str">
            <v>Aung Thu Win</v>
          </cell>
          <cell r="G261" t="str">
            <v>Win Pa Kyi Myint</v>
          </cell>
          <cell r="H261" t="str">
            <v>RED</v>
          </cell>
          <cell r="I261" t="str">
            <v>North</v>
          </cell>
          <cell r="J261" t="str">
            <v>95.5247229264626</v>
          </cell>
          <cell r="K261" t="str">
            <v>21.4578195236465</v>
          </cell>
          <cell r="L261" t="str">
            <v>Rural</v>
          </cell>
          <cell r="M261" t="str">
            <v>Mandalay 1</v>
          </cell>
          <cell r="N261" t="str">
            <v>Natogyi</v>
          </cell>
          <cell r="O261" t="str">
            <v>Natogyi</v>
          </cell>
          <cell r="P261" t="str">
            <v>Mandalay 1</v>
          </cell>
          <cell r="Q261" t="str">
            <v>8</v>
          </cell>
          <cell r="R261" t="str">
            <v>Natogyi</v>
          </cell>
          <cell r="S261" t="str">
            <v>160</v>
          </cell>
          <cell r="T261" t="str">
            <v>GSM+UMTS</v>
          </cell>
          <cell r="W261" t="str">
            <v>Ph2-Priority</v>
          </cell>
          <cell r="X261" t="str">
            <v>45</v>
          </cell>
          <cell r="Y261" t="str">
            <v>47</v>
          </cell>
          <cell r="Z261" t="str">
            <v>GBT</v>
          </cell>
          <cell r="AA261" t="str">
            <v>500</v>
          </cell>
          <cell r="AB261" t="str">
            <v>Access</v>
          </cell>
          <cell r="AC261" t="str">
            <v>Class C</v>
          </cell>
          <cell r="BE261" t="str">
            <v>Route 8 Mandalay - Magwe</v>
          </cell>
          <cell r="BH261" t="str">
            <v>Camusat</v>
          </cell>
          <cell r="BJ261">
            <v>42155</v>
          </cell>
          <cell r="BK261">
            <v>42158</v>
          </cell>
          <cell r="BL261">
            <v>42160</v>
          </cell>
          <cell r="BM261">
            <v>42166</v>
          </cell>
          <cell r="BT261">
            <v>18</v>
          </cell>
          <cell r="BU261">
            <v>42269</v>
          </cell>
          <cell r="BV261">
            <v>42176</v>
          </cell>
          <cell r="BW261" t="str">
            <v>95.52633</v>
          </cell>
          <cell r="BX261" t="str">
            <v>21.45944</v>
          </cell>
          <cell r="BY261" t="str">
            <v>C1</v>
          </cell>
          <cell r="BZ261" t="str">
            <v>Myinchan, NgarHtoeGyi Township, YwarGyi Village</v>
          </cell>
          <cell r="CA261" t="str">
            <v>U Myint Swe</v>
          </cell>
          <cell r="CB261" t="str">
            <v>21Jun15: C1 SAR Sub</v>
          </cell>
          <cell r="CC261" t="str">
            <v>Village</v>
          </cell>
          <cell r="CE261">
            <v>2</v>
          </cell>
          <cell r="CF261">
            <v>42270</v>
          </cell>
          <cell r="CG261">
            <v>42178</v>
          </cell>
          <cell r="CH261">
            <v>42272</v>
          </cell>
          <cell r="CJ261">
            <v>42203</v>
          </cell>
          <cell r="CK261" t="str">
            <v>46</v>
          </cell>
          <cell r="CL261" t="str">
            <v>47</v>
          </cell>
          <cell r="CM261" t="str">
            <v>50</v>
          </cell>
          <cell r="CN261">
            <v>27</v>
          </cell>
          <cell r="CO261">
            <v>42275</v>
          </cell>
          <cell r="CP261">
            <v>42205</v>
          </cell>
          <cell r="CQ261" t="str">
            <v>M1: grid power + battery</v>
          </cell>
          <cell r="CR261">
            <v>2</v>
          </cell>
          <cell r="CS261">
            <v>42276</v>
          </cell>
          <cell r="CT261">
            <v>42207</v>
          </cell>
          <cell r="CU261" t="str">
            <v>MD0368</v>
          </cell>
          <cell r="DH261">
            <v>26</v>
          </cell>
          <cell r="DI261">
            <v>42286</v>
          </cell>
          <cell r="DK261">
            <v>42283</v>
          </cell>
          <cell r="DL261">
            <v>42198</v>
          </cell>
          <cell r="DM261">
            <v>42287</v>
          </cell>
          <cell r="DN261">
            <v>42198</v>
          </cell>
          <cell r="DO261">
            <v>0</v>
          </cell>
          <cell r="DP261">
            <v>42286</v>
          </cell>
          <cell r="DT261">
            <v>0</v>
          </cell>
          <cell r="DU261">
            <v>42301</v>
          </cell>
          <cell r="DW261">
            <v>0</v>
          </cell>
          <cell r="DY261">
            <v>42287</v>
          </cell>
          <cell r="EA261" t="str">
            <v>Camusat</v>
          </cell>
          <cell r="EJ261">
            <v>0</v>
          </cell>
          <cell r="EK261">
            <v>42304</v>
          </cell>
          <cell r="EM261">
            <v>42305</v>
          </cell>
          <cell r="EQ261">
            <v>42314</v>
          </cell>
          <cell r="EW261">
            <v>0</v>
          </cell>
          <cell r="EX261">
            <v>42316</v>
          </cell>
          <cell r="EZ261">
            <v>42324</v>
          </cell>
          <cell r="FB261">
            <v>42326</v>
          </cell>
          <cell r="FU261">
            <v>42328</v>
          </cell>
          <cell r="FW261">
            <v>42328</v>
          </cell>
          <cell r="FY261" t="str">
            <v>RT</v>
          </cell>
          <cell r="GI261">
            <v>42246</v>
          </cell>
          <cell r="GJ261">
            <v>0</v>
          </cell>
          <cell r="GN261" t="str">
            <v>ERICSSON</v>
          </cell>
          <cell r="GO261">
            <v>42200</v>
          </cell>
          <cell r="HD261">
            <v>1</v>
          </cell>
        </row>
        <row r="262">
          <cell r="A262" t="str">
            <v>MD0369</v>
          </cell>
          <cell r="B262" t="str">
            <v>ANMD_0209</v>
          </cell>
          <cell r="C262" t="str">
            <v>Apollo</v>
          </cell>
          <cell r="D262" t="str">
            <v>Adriaan Coetsee</v>
          </cell>
          <cell r="F262" t="str">
            <v>Aung Thu Win</v>
          </cell>
          <cell r="G262" t="str">
            <v>May Sandar Kyaw</v>
          </cell>
          <cell r="H262" t="str">
            <v>YELLOW</v>
          </cell>
          <cell r="I262" t="str">
            <v>North</v>
          </cell>
          <cell r="J262" t="str">
            <v>95.5835444173588</v>
          </cell>
          <cell r="K262" t="str">
            <v>21.1951076761117</v>
          </cell>
          <cell r="L262" t="str">
            <v>Rural</v>
          </cell>
          <cell r="M262" t="str">
            <v>Mandalay 2</v>
          </cell>
          <cell r="N262" t="str">
            <v>Taungtha</v>
          </cell>
          <cell r="O262" t="str">
            <v>Taungtha</v>
          </cell>
          <cell r="P262" t="str">
            <v>Mandalay 2</v>
          </cell>
          <cell r="Q262" t="str">
            <v>9</v>
          </cell>
          <cell r="R262" t="str">
            <v>Taungtha</v>
          </cell>
          <cell r="S262" t="str">
            <v>159</v>
          </cell>
          <cell r="T262" t="str">
            <v>GSM+UMTS</v>
          </cell>
          <cell r="W262" t="str">
            <v>Ph2-Priority</v>
          </cell>
          <cell r="X262" t="str">
            <v>45</v>
          </cell>
          <cell r="Y262" t="str">
            <v>47</v>
          </cell>
          <cell r="Z262" t="str">
            <v>GBT</v>
          </cell>
          <cell r="AA262" t="str">
            <v>500</v>
          </cell>
          <cell r="AB262" t="str">
            <v>Access</v>
          </cell>
          <cell r="AC262" t="str">
            <v>Class C</v>
          </cell>
          <cell r="BE262" t="str">
            <v>Route 1 Yangon - Mandalay</v>
          </cell>
          <cell r="BH262" t="str">
            <v>Camusat</v>
          </cell>
          <cell r="BJ262">
            <v>42165</v>
          </cell>
          <cell r="BK262">
            <v>42139</v>
          </cell>
          <cell r="BL262">
            <v>42170</v>
          </cell>
          <cell r="BM262">
            <v>42146</v>
          </cell>
          <cell r="BT262">
            <v>17</v>
          </cell>
          <cell r="BU262">
            <v>42255</v>
          </cell>
          <cell r="BV262">
            <v>42156</v>
          </cell>
          <cell r="BW262" t="str">
            <v>95.58772</v>
          </cell>
          <cell r="BX262" t="str">
            <v>21.19306</v>
          </cell>
          <cell r="BY262" t="str">
            <v>C1</v>
          </cell>
          <cell r="BZ262" t="str">
            <v>Yone Si Gyi Village, Taung Thar Township,Myingyan.</v>
          </cell>
          <cell r="CA262" t="str">
            <v>U Kyaw Maung;Yone Si Gyi Village, Taung Thar Township;09-793309363</v>
          </cell>
          <cell r="CB262" t="str">
            <v>1May15: C1 SAR Sub</v>
          </cell>
          <cell r="CE262">
            <v>0</v>
          </cell>
          <cell r="CF262">
            <v>42256</v>
          </cell>
          <cell r="CG262">
            <v>42156</v>
          </cell>
          <cell r="CH262">
            <v>42258</v>
          </cell>
          <cell r="CJ262">
            <v>42163</v>
          </cell>
          <cell r="CK262" t="str">
            <v>45</v>
          </cell>
          <cell r="CL262" t="str">
            <v>47</v>
          </cell>
          <cell r="CM262" t="str">
            <v>60</v>
          </cell>
          <cell r="CN262">
            <v>9</v>
          </cell>
          <cell r="CO262">
            <v>42261</v>
          </cell>
          <cell r="CP262">
            <v>42165</v>
          </cell>
          <cell r="CQ262" t="str">
            <v>M1: grid power + battery</v>
          </cell>
          <cell r="CR262">
            <v>1</v>
          </cell>
          <cell r="CS262">
            <v>42262</v>
          </cell>
          <cell r="CT262">
            <v>42166</v>
          </cell>
          <cell r="CU262" t="str">
            <v>MD0369</v>
          </cell>
          <cell r="DH262">
            <v>25</v>
          </cell>
          <cell r="DI262">
            <v>42272</v>
          </cell>
          <cell r="DJ262">
            <v>42191</v>
          </cell>
          <cell r="DK262">
            <v>42269</v>
          </cell>
          <cell r="DL262">
            <v>42187</v>
          </cell>
          <cell r="DM262">
            <v>42273</v>
          </cell>
          <cell r="DN262">
            <v>42193</v>
          </cell>
          <cell r="DO262">
            <v>0</v>
          </cell>
          <cell r="DP262">
            <v>42272</v>
          </cell>
          <cell r="DQ262">
            <v>42191</v>
          </cell>
          <cell r="DT262">
            <v>5</v>
          </cell>
          <cell r="DU262">
            <v>42287</v>
          </cell>
          <cell r="DV262">
            <v>42196</v>
          </cell>
          <cell r="DW262">
            <v>-3</v>
          </cell>
          <cell r="DY262">
            <v>42273</v>
          </cell>
          <cell r="DZ262">
            <v>42193</v>
          </cell>
          <cell r="EA262" t="str">
            <v>Camusat</v>
          </cell>
          <cell r="EE262" t="str">
            <v xml:space="preserve">10 Aug 15:Rain affected_Progress affected; 4-Aug-15: Awaiting tower EDA 8/15. Tower foundation and equipment slab casted								</v>
          </cell>
          <cell r="EJ262">
            <v>20</v>
          </cell>
          <cell r="EK262">
            <v>42295</v>
          </cell>
          <cell r="EL262">
            <v>42213</v>
          </cell>
          <cell r="EM262">
            <v>42296</v>
          </cell>
          <cell r="EN262">
            <v>42234</v>
          </cell>
          <cell r="EQ262">
            <v>42308</v>
          </cell>
          <cell r="ER262">
            <v>42241</v>
          </cell>
          <cell r="ES262">
            <v>42220</v>
          </cell>
          <cell r="ET262">
            <v>42241</v>
          </cell>
          <cell r="EU262">
            <v>42241</v>
          </cell>
          <cell r="EW262">
            <v>40</v>
          </cell>
          <cell r="EX262">
            <v>42322</v>
          </cell>
          <cell r="EZ262">
            <v>42318</v>
          </cell>
          <cell r="FA262">
            <v>42238</v>
          </cell>
          <cell r="FB262">
            <v>42320</v>
          </cell>
          <cell r="FC262">
            <v>42240</v>
          </cell>
          <cell r="FU262">
            <v>42322</v>
          </cell>
          <cell r="FW262">
            <v>42322</v>
          </cell>
          <cell r="FX262">
            <v>42241</v>
          </cell>
          <cell r="FY262" t="str">
            <v>TN</v>
          </cell>
          <cell r="FZ262">
            <v>42236</v>
          </cell>
          <cell r="GA262">
            <v>42239</v>
          </cell>
          <cell r="GB262">
            <v>42244</v>
          </cell>
          <cell r="GC262">
            <v>42244</v>
          </cell>
          <cell r="GD262">
            <v>42244</v>
          </cell>
          <cell r="GE262">
            <v>42244</v>
          </cell>
          <cell r="GF262">
            <v>42245</v>
          </cell>
          <cell r="GG262">
            <v>42246</v>
          </cell>
          <cell r="GH262">
            <v>42246</v>
          </cell>
          <cell r="GI262">
            <v>42246</v>
          </cell>
          <cell r="GJ262" t="str">
            <v>40-2015</v>
          </cell>
          <cell r="GK262">
            <v>42246</v>
          </cell>
          <cell r="GN262" t="str">
            <v>ERICSSON</v>
          </cell>
          <cell r="GO262">
            <v>42185</v>
          </cell>
          <cell r="GS262" t="str">
            <v>4/4/4</v>
          </cell>
          <cell r="GU262" t="str">
            <v xml:space="preserve">		</v>
          </cell>
          <cell r="HD262">
            <v>1</v>
          </cell>
        </row>
        <row r="263">
          <cell r="A263" t="str">
            <v>MD0370</v>
          </cell>
          <cell r="B263" t="str">
            <v>ANMD_0046</v>
          </cell>
          <cell r="C263" t="str">
            <v>Apollo</v>
          </cell>
          <cell r="D263" t="str">
            <v>Adriaan Coetsee</v>
          </cell>
          <cell r="F263" t="str">
            <v>Aung Thu Win</v>
          </cell>
          <cell r="G263" t="str">
            <v>May Sandar Kyaw</v>
          </cell>
          <cell r="H263" t="str">
            <v>YELLOW</v>
          </cell>
          <cell r="I263" t="str">
            <v>North</v>
          </cell>
          <cell r="J263" t="str">
            <v>95.627185945142</v>
          </cell>
          <cell r="K263" t="str">
            <v>21.1398262830754</v>
          </cell>
          <cell r="L263" t="str">
            <v>Rural</v>
          </cell>
          <cell r="M263" t="str">
            <v>Mandalay 2</v>
          </cell>
          <cell r="N263" t="str">
            <v>Mahlaing</v>
          </cell>
          <cell r="O263" t="str">
            <v>Mahlaing</v>
          </cell>
          <cell r="P263" t="str">
            <v>Mandalay 2</v>
          </cell>
          <cell r="Q263" t="str">
            <v>9</v>
          </cell>
          <cell r="R263" t="str">
            <v>Mahlaing</v>
          </cell>
          <cell r="S263" t="str">
            <v>167</v>
          </cell>
          <cell r="T263" t="str">
            <v>GSM+UMTS</v>
          </cell>
          <cell r="W263" t="str">
            <v>Ph2-Priority</v>
          </cell>
          <cell r="X263" t="str">
            <v>45</v>
          </cell>
          <cell r="Y263" t="str">
            <v>47</v>
          </cell>
          <cell r="Z263" t="str">
            <v>GBT</v>
          </cell>
          <cell r="AA263" t="str">
            <v>500</v>
          </cell>
          <cell r="AB263" t="str">
            <v>Access</v>
          </cell>
          <cell r="AC263" t="str">
            <v>Class C</v>
          </cell>
          <cell r="BE263" t="str">
            <v>Route 1 Yangon - Mandalay</v>
          </cell>
          <cell r="BH263" t="str">
            <v>Camusat</v>
          </cell>
          <cell r="BJ263">
            <v>42165</v>
          </cell>
          <cell r="BK263">
            <v>42143</v>
          </cell>
          <cell r="BL263">
            <v>42170</v>
          </cell>
          <cell r="BM263">
            <v>42150</v>
          </cell>
          <cell r="BT263">
            <v>17</v>
          </cell>
          <cell r="BU263">
            <v>42255</v>
          </cell>
          <cell r="BV263">
            <v>42160</v>
          </cell>
          <cell r="BW263" t="str">
            <v>95.62897</v>
          </cell>
          <cell r="BX263" t="str">
            <v>21.138418</v>
          </cell>
          <cell r="BY263" t="str">
            <v>C1</v>
          </cell>
          <cell r="BZ263" t="str">
            <v>Dhannar Thana Quarter,Pann Aing Village, Mahlaing Township, Mandalay Division</v>
          </cell>
          <cell r="CA263" t="str">
            <v>Daw Khin San Myint;Dhannar Thana Quarter,Pann Aing Village, Mahlaing Township, Mandalay Division;09 402614329, 09 47140065</v>
          </cell>
          <cell r="CB263" t="str">
            <v>5June15: C1 SAR Sub</v>
          </cell>
          <cell r="CC263" t="str">
            <v>Village</v>
          </cell>
          <cell r="CE263">
            <v>4</v>
          </cell>
          <cell r="CF263">
            <v>42256</v>
          </cell>
          <cell r="CG263">
            <v>42164</v>
          </cell>
          <cell r="CH263">
            <v>42258</v>
          </cell>
          <cell r="CJ263">
            <v>42179</v>
          </cell>
          <cell r="CK263" t="str">
            <v>45</v>
          </cell>
          <cell r="CL263" t="str">
            <v>47</v>
          </cell>
          <cell r="CM263" t="str">
            <v>60</v>
          </cell>
          <cell r="CN263">
            <v>17</v>
          </cell>
          <cell r="CO263">
            <v>42261</v>
          </cell>
          <cell r="CP263">
            <v>42181</v>
          </cell>
          <cell r="CQ263" t="str">
            <v>M1: grid power + battery</v>
          </cell>
          <cell r="CR263">
            <v>4</v>
          </cell>
          <cell r="CS263">
            <v>42262</v>
          </cell>
          <cell r="CT263">
            <v>42185</v>
          </cell>
          <cell r="CU263" t="str">
            <v>MD0370</v>
          </cell>
          <cell r="DH263">
            <v>32</v>
          </cell>
          <cell r="DI263">
            <v>42272</v>
          </cell>
          <cell r="DJ263">
            <v>42217</v>
          </cell>
          <cell r="DK263">
            <v>42269</v>
          </cell>
          <cell r="DL263">
            <v>42179</v>
          </cell>
          <cell r="DM263">
            <v>42273</v>
          </cell>
          <cell r="DN263">
            <v>42206</v>
          </cell>
          <cell r="DO263">
            <v>0</v>
          </cell>
          <cell r="DP263">
            <v>42272</v>
          </cell>
          <cell r="DQ263">
            <v>42217</v>
          </cell>
          <cell r="DT263">
            <v>16</v>
          </cell>
          <cell r="DU263">
            <v>42287</v>
          </cell>
          <cell r="DW263">
            <v>0</v>
          </cell>
          <cell r="DY263">
            <v>42273</v>
          </cell>
          <cell r="DZ263">
            <v>42207</v>
          </cell>
          <cell r="EA263" t="str">
            <v>Camusat</v>
          </cell>
          <cell r="ED263" t="str">
            <v xml:space="preserve">17Aug15 :ThantZin.Oo: 13/8/15 : Tower Erection done . Pole mount , grounding  and Equipment Pad done . RFI Telecom .
</v>
          </cell>
          <cell r="EE263" t="str">
            <v xml:space="preserve">10 Aug 15:Rain affected_Progress affected; 3-Aug-15: Rain affected_ Site is progressing but rain is affecting the work every day. Tower foundation rebars IP								</v>
          </cell>
          <cell r="EJ263">
            <v>23</v>
          </cell>
          <cell r="EK263">
            <v>42295</v>
          </cell>
          <cell r="EL263">
            <v>42230</v>
          </cell>
          <cell r="EM263">
            <v>42296</v>
          </cell>
          <cell r="EN263">
            <v>42222</v>
          </cell>
          <cell r="EQ263">
            <v>42308</v>
          </cell>
          <cell r="ER263">
            <v>42226</v>
          </cell>
          <cell r="ES263">
            <v>42233</v>
          </cell>
          <cell r="ET263">
            <v>42228</v>
          </cell>
          <cell r="EU263">
            <v>42228</v>
          </cell>
          <cell r="EW263">
            <v>26</v>
          </cell>
          <cell r="EX263">
            <v>42322</v>
          </cell>
          <cell r="EZ263">
            <v>42318</v>
          </cell>
          <cell r="FA263">
            <v>42238</v>
          </cell>
          <cell r="FB263">
            <v>42320</v>
          </cell>
          <cell r="FC263">
            <v>42240</v>
          </cell>
          <cell r="FU263">
            <v>42322</v>
          </cell>
          <cell r="FW263">
            <v>42322</v>
          </cell>
          <cell r="FX263">
            <v>42232</v>
          </cell>
          <cell r="FY263" t="str">
            <v>AZM</v>
          </cell>
          <cell r="FZ263">
            <v>42238</v>
          </cell>
          <cell r="GA263">
            <v>42243</v>
          </cell>
          <cell r="GB263">
            <v>42232</v>
          </cell>
          <cell r="GC263">
            <v>42232</v>
          </cell>
          <cell r="GD263">
            <v>42232</v>
          </cell>
          <cell r="GE263">
            <v>42233</v>
          </cell>
          <cell r="GF263">
            <v>42233</v>
          </cell>
          <cell r="GG263">
            <v>42233</v>
          </cell>
          <cell r="GH263">
            <v>42234</v>
          </cell>
          <cell r="GI263">
            <v>42186</v>
          </cell>
          <cell r="GJ263" t="str">
            <v>44-2015</v>
          </cell>
          <cell r="GK263">
            <v>42234</v>
          </cell>
          <cell r="GL263" t="str">
            <v>Infra :: Tower is not ready</v>
          </cell>
          <cell r="GN263" t="str">
            <v>ERICSSON</v>
          </cell>
          <cell r="GO263">
            <v>42185</v>
          </cell>
          <cell r="GQ263" t="str">
            <v xml:space="preserve">Infra Issue; </v>
          </cell>
          <cell r="GS263" t="str">
            <v>4/4/4</v>
          </cell>
          <cell r="GU263" t="str">
            <v xml:space="preserve">		</v>
          </cell>
          <cell r="HD263">
            <v>1</v>
          </cell>
        </row>
        <row r="264">
          <cell r="A264" t="str">
            <v>MD0371</v>
          </cell>
          <cell r="B264" t="str">
            <v>ANMD_0210</v>
          </cell>
          <cell r="C264" t="str">
            <v>Apollo</v>
          </cell>
          <cell r="D264" t="str">
            <v>Adriaan Coetsee</v>
          </cell>
          <cell r="F264" t="str">
            <v>Aung Thu Win</v>
          </cell>
          <cell r="G264" t="str">
            <v>May Sandar Kyaw</v>
          </cell>
          <cell r="H264" t="str">
            <v>WHITE</v>
          </cell>
          <cell r="I264" t="str">
            <v>North</v>
          </cell>
          <cell r="J264" t="str">
            <v>96.036218362515</v>
          </cell>
          <cell r="K264" t="str">
            <v>20.9961802910953</v>
          </cell>
          <cell r="L264" t="str">
            <v>Rural</v>
          </cell>
          <cell r="M264" t="str">
            <v>Mandalay 2</v>
          </cell>
          <cell r="N264" t="str">
            <v>Thazi</v>
          </cell>
          <cell r="O264" t="str">
            <v>Thazi</v>
          </cell>
          <cell r="P264" t="str">
            <v>Mandalay 2</v>
          </cell>
          <cell r="Q264" t="str">
            <v>9</v>
          </cell>
          <cell r="R264" t="str">
            <v>Thazi</v>
          </cell>
          <cell r="S264" t="str">
            <v>168</v>
          </cell>
          <cell r="T264" t="str">
            <v>GSM+UMTS</v>
          </cell>
          <cell r="W264" t="str">
            <v>Ph2-Priority</v>
          </cell>
          <cell r="X264" t="str">
            <v>55</v>
          </cell>
          <cell r="Y264" t="str">
            <v>57</v>
          </cell>
          <cell r="Z264" t="str">
            <v>GBT</v>
          </cell>
          <cell r="AA264" t="str">
            <v>500</v>
          </cell>
          <cell r="AB264" t="str">
            <v>Access</v>
          </cell>
          <cell r="AC264" t="str">
            <v>Class C</v>
          </cell>
          <cell r="BE264" t="str">
            <v>Route 1 Yangon - Mandalay</v>
          </cell>
          <cell r="BH264" t="str">
            <v>Camusat</v>
          </cell>
          <cell r="BJ264">
            <v>42145</v>
          </cell>
          <cell r="BK264">
            <v>42130</v>
          </cell>
          <cell r="BL264">
            <v>42150</v>
          </cell>
          <cell r="BM264">
            <v>42138</v>
          </cell>
          <cell r="BT264">
            <v>18</v>
          </cell>
          <cell r="BU264">
            <v>42255</v>
          </cell>
          <cell r="BV264">
            <v>42148</v>
          </cell>
          <cell r="BW264" t="str">
            <v>96.0351</v>
          </cell>
          <cell r="BX264" t="str">
            <v>20.99669</v>
          </cell>
          <cell r="BY264" t="str">
            <v>C1</v>
          </cell>
          <cell r="BZ264" t="str">
            <v>Han Zar Village, Thazi Township,Mandalay.</v>
          </cell>
          <cell r="CA264" t="str">
            <v>U Thein Lwin (B) U Pue Kyaw;No(254), Han Zar Village, Thazi Township;09-428329424,09-41008321</v>
          </cell>
          <cell r="CB264" t="str">
            <v>24May15: C1 SAR Sub.</v>
          </cell>
          <cell r="CE264">
            <v>1</v>
          </cell>
          <cell r="CF264">
            <v>42256</v>
          </cell>
          <cell r="CG264">
            <v>42149</v>
          </cell>
          <cell r="CH264">
            <v>42258</v>
          </cell>
          <cell r="CJ264">
            <v>42158</v>
          </cell>
          <cell r="CK264" t="str">
            <v>50</v>
          </cell>
          <cell r="CL264" t="str">
            <v>52</v>
          </cell>
          <cell r="CM264" t="str">
            <v>60</v>
          </cell>
          <cell r="CN264">
            <v>11</v>
          </cell>
          <cell r="CO264">
            <v>42261</v>
          </cell>
          <cell r="CP264">
            <v>42160</v>
          </cell>
          <cell r="CQ264" t="str">
            <v>M1: grid power + battery</v>
          </cell>
          <cell r="CR264">
            <v>5</v>
          </cell>
          <cell r="CS264">
            <v>42262</v>
          </cell>
          <cell r="CT264">
            <v>42165</v>
          </cell>
          <cell r="CU264" t="str">
            <v>MD0371</v>
          </cell>
          <cell r="DH264">
            <v>9</v>
          </cell>
          <cell r="DI264">
            <v>42272</v>
          </cell>
          <cell r="DJ264">
            <v>42174</v>
          </cell>
          <cell r="DK264">
            <v>42269</v>
          </cell>
          <cell r="DL264">
            <v>42173</v>
          </cell>
          <cell r="DM264">
            <v>42273</v>
          </cell>
          <cell r="DN264">
            <v>42179</v>
          </cell>
          <cell r="DO264">
            <v>0</v>
          </cell>
          <cell r="DP264">
            <v>42272</v>
          </cell>
          <cell r="DQ264">
            <v>42174</v>
          </cell>
          <cell r="DT264">
            <v>6</v>
          </cell>
          <cell r="DU264">
            <v>42287</v>
          </cell>
          <cell r="DV264">
            <v>42180</v>
          </cell>
          <cell r="DW264">
            <v>-1</v>
          </cell>
          <cell r="DY264">
            <v>42273</v>
          </cell>
          <cell r="DZ264">
            <v>42179</v>
          </cell>
          <cell r="EA264" t="str">
            <v>Camusat</v>
          </cell>
          <cell r="ED264" t="str">
            <v xml:space="preserve">14Jul15 :ChoYee.Thaung: 9/7/15 : Equipment pad casted done, waiting for anchor bolt, nut and template and will arrive tonight_x000D_
3/7/15: Excavation done, Lean done, Rebar work on going
</v>
          </cell>
          <cell r="EI264" t="str">
            <v>M5: grid power + DG + battery      </v>
          </cell>
          <cell r="EJ264">
            <v>22</v>
          </cell>
          <cell r="EK264">
            <v>42295</v>
          </cell>
          <cell r="EL264">
            <v>42201</v>
          </cell>
          <cell r="EM264">
            <v>42296</v>
          </cell>
          <cell r="EN264">
            <v>42203</v>
          </cell>
          <cell r="EQ264">
            <v>42308</v>
          </cell>
          <cell r="ER264">
            <v>42216</v>
          </cell>
          <cell r="ES264">
            <v>42208</v>
          </cell>
          <cell r="ET264">
            <v>42216</v>
          </cell>
          <cell r="EU264">
            <v>42216</v>
          </cell>
          <cell r="EW264">
            <v>54</v>
          </cell>
          <cell r="EX264">
            <v>42322</v>
          </cell>
          <cell r="EZ264">
            <v>42318</v>
          </cell>
          <cell r="FA264">
            <v>42216</v>
          </cell>
          <cell r="FB264">
            <v>42320</v>
          </cell>
          <cell r="FC264">
            <v>42217</v>
          </cell>
          <cell r="FE264">
            <v>42193</v>
          </cell>
          <cell r="FU264">
            <v>42322</v>
          </cell>
          <cell r="FV264">
            <v>42221</v>
          </cell>
          <cell r="FW264">
            <v>42322</v>
          </cell>
          <cell r="FX264">
            <v>42217</v>
          </cell>
          <cell r="FY264" t="str">
            <v>TN</v>
          </cell>
          <cell r="FZ264">
            <v>42217</v>
          </cell>
          <cell r="GA264">
            <v>42222</v>
          </cell>
          <cell r="GB264">
            <v>42227</v>
          </cell>
          <cell r="GC264">
            <v>42228</v>
          </cell>
          <cell r="GD264">
            <v>42229</v>
          </cell>
          <cell r="GE264">
            <v>42230</v>
          </cell>
          <cell r="GF264">
            <v>42230</v>
          </cell>
          <cell r="GG264">
            <v>42230</v>
          </cell>
          <cell r="GH264">
            <v>42230</v>
          </cell>
          <cell r="GI264">
            <v>42215</v>
          </cell>
          <cell r="GJ264" t="str">
            <v>36-2015</v>
          </cell>
          <cell r="GK264">
            <v>42230</v>
          </cell>
          <cell r="GL264" t="str">
            <v>TCU, DUG and DUW Missing</v>
          </cell>
          <cell r="GN264" t="str">
            <v>ERICSSON</v>
          </cell>
          <cell r="GO264">
            <v>42186</v>
          </cell>
          <cell r="GP264">
            <v>42198</v>
          </cell>
          <cell r="GQ264">
            <v>0</v>
          </cell>
          <cell r="GU264" t="str">
            <v xml:space="preserve">		</v>
          </cell>
          <cell r="HD264">
            <v>1</v>
          </cell>
        </row>
        <row r="265">
          <cell r="A265" t="str">
            <v>MD0372</v>
          </cell>
          <cell r="B265" t="str">
            <v>ANMD_0211</v>
          </cell>
          <cell r="C265" t="str">
            <v>Apollo</v>
          </cell>
          <cell r="D265" t="str">
            <v>Adriaan Coetsee</v>
          </cell>
          <cell r="F265" t="str">
            <v>Aung Thu Win</v>
          </cell>
          <cell r="G265" t="str">
            <v>May Sandar Kyaw</v>
          </cell>
          <cell r="H265" t="str">
            <v>YELLOW</v>
          </cell>
          <cell r="I265" t="str">
            <v>North</v>
          </cell>
          <cell r="J265" t="str">
            <v>95.8553943956929</v>
          </cell>
          <cell r="K265" t="str">
            <v>20.997594798954</v>
          </cell>
          <cell r="L265" t="str">
            <v>Rural</v>
          </cell>
          <cell r="M265" t="str">
            <v>Mandalay 2</v>
          </cell>
          <cell r="N265" t="str">
            <v>Meiktila</v>
          </cell>
          <cell r="O265" t="str">
            <v>Meiktila</v>
          </cell>
          <cell r="P265" t="str">
            <v>Mandalay 2</v>
          </cell>
          <cell r="Q265" t="str">
            <v>9</v>
          </cell>
          <cell r="R265" t="str">
            <v>Meiktila</v>
          </cell>
          <cell r="S265" t="str">
            <v>166</v>
          </cell>
          <cell r="T265" t="str">
            <v>GSM+UMTS</v>
          </cell>
          <cell r="W265" t="str">
            <v>Ph2-Priority</v>
          </cell>
          <cell r="X265" t="str">
            <v>45</v>
          </cell>
          <cell r="Y265" t="str">
            <v>47</v>
          </cell>
          <cell r="Z265" t="str">
            <v>GBT</v>
          </cell>
          <cell r="AA265" t="str">
            <v>500</v>
          </cell>
          <cell r="AB265" t="str">
            <v>Access</v>
          </cell>
          <cell r="AC265" t="str">
            <v>Class C</v>
          </cell>
          <cell r="BE265" t="str">
            <v>Route 1 Yangon - Mandalay</v>
          </cell>
          <cell r="BH265" t="str">
            <v>Camusat</v>
          </cell>
          <cell r="BJ265">
            <v>42149</v>
          </cell>
          <cell r="BK265">
            <v>42130</v>
          </cell>
          <cell r="BL265">
            <v>42154</v>
          </cell>
          <cell r="BM265">
            <v>42138</v>
          </cell>
          <cell r="BT265">
            <v>18</v>
          </cell>
          <cell r="BU265">
            <v>42166</v>
          </cell>
          <cell r="BV265">
            <v>42148</v>
          </cell>
          <cell r="BW265" t="str">
            <v>95.855568</v>
          </cell>
          <cell r="BX265" t="str">
            <v>21.001068</v>
          </cell>
          <cell r="BY265" t="str">
            <v>C1</v>
          </cell>
          <cell r="BZ265" t="str">
            <v>Tha Phan Village, Wan Twin Township, Mandalay Division.</v>
          </cell>
          <cell r="CA265" t="str">
            <v>U Soe Shwe;Thahtaygone Quarter, Tha Phan Village, Wan Twin Township,Meikhtila District, Mandalay Division;09 33418144, 09 798917600</v>
          </cell>
          <cell r="CB265" t="str">
            <v>24May15: C1 SAR Sub.</v>
          </cell>
          <cell r="CE265">
            <v>1</v>
          </cell>
          <cell r="CF265">
            <v>42167</v>
          </cell>
          <cell r="CG265">
            <v>42149</v>
          </cell>
          <cell r="CH265">
            <v>42169</v>
          </cell>
          <cell r="CJ265">
            <v>42168</v>
          </cell>
          <cell r="CK265" t="str">
            <v>45</v>
          </cell>
          <cell r="CL265" t="str">
            <v>47</v>
          </cell>
          <cell r="CM265" t="str">
            <v>60</v>
          </cell>
          <cell r="CN265">
            <v>21</v>
          </cell>
          <cell r="CO265">
            <v>42172</v>
          </cell>
          <cell r="CP265">
            <v>42170</v>
          </cell>
          <cell r="CQ265" t="str">
            <v>M1: grid power + battery</v>
          </cell>
          <cell r="CR265">
            <v>0</v>
          </cell>
          <cell r="CS265">
            <v>42173</v>
          </cell>
          <cell r="CT265">
            <v>42170</v>
          </cell>
          <cell r="CU265" t="str">
            <v>MD0372</v>
          </cell>
          <cell r="DH265">
            <v>16</v>
          </cell>
          <cell r="DI265">
            <v>42183</v>
          </cell>
          <cell r="DJ265">
            <v>42186</v>
          </cell>
          <cell r="DK265">
            <v>42180</v>
          </cell>
          <cell r="DL265">
            <v>42173</v>
          </cell>
          <cell r="DM265">
            <v>42184</v>
          </cell>
          <cell r="DN265">
            <v>42189</v>
          </cell>
          <cell r="DO265">
            <v>0</v>
          </cell>
          <cell r="DP265">
            <v>42183</v>
          </cell>
          <cell r="DQ265">
            <v>42186</v>
          </cell>
          <cell r="DT265">
            <v>5</v>
          </cell>
          <cell r="DU265">
            <v>42198</v>
          </cell>
          <cell r="DV265">
            <v>42191</v>
          </cell>
          <cell r="DW265">
            <v>-2</v>
          </cell>
          <cell r="DY265">
            <v>42184</v>
          </cell>
          <cell r="DZ265">
            <v>42189</v>
          </cell>
          <cell r="EA265" t="str">
            <v>Camusat</v>
          </cell>
          <cell r="EE265" t="str">
            <v xml:space="preserve">10 Aug 15:Rain affected_Progress affected; 4-Aug-15: Awaiting tower EDA 8/15. Tower foundation and equipment slab casted								</v>
          </cell>
          <cell r="EI265" t="str">
            <v>M5: grid power + DG + battery      </v>
          </cell>
          <cell r="EJ265">
            <v>26</v>
          </cell>
          <cell r="EK265">
            <v>42206</v>
          </cell>
          <cell r="EL265">
            <v>42215</v>
          </cell>
          <cell r="EM265">
            <v>42207</v>
          </cell>
          <cell r="EN265">
            <v>42226</v>
          </cell>
          <cell r="EQ265">
            <v>42219</v>
          </cell>
          <cell r="ER265">
            <v>42234</v>
          </cell>
          <cell r="ES265">
            <v>42222</v>
          </cell>
          <cell r="ET265">
            <v>42236</v>
          </cell>
          <cell r="EU265">
            <v>42236</v>
          </cell>
          <cell r="EW265">
            <v>44</v>
          </cell>
          <cell r="EX265">
            <v>42233</v>
          </cell>
          <cell r="EZ265">
            <v>42229</v>
          </cell>
          <cell r="FA265">
            <v>42231</v>
          </cell>
          <cell r="FB265">
            <v>42231</v>
          </cell>
          <cell r="FC265">
            <v>42234</v>
          </cell>
          <cell r="FU265">
            <v>42233</v>
          </cell>
          <cell r="FW265">
            <v>42233</v>
          </cell>
          <cell r="FX265">
            <v>42236</v>
          </cell>
          <cell r="FY265" t="str">
            <v>KT</v>
          </cell>
          <cell r="FZ265">
            <v>42229</v>
          </cell>
          <cell r="GA265">
            <v>42233</v>
          </cell>
          <cell r="GB265">
            <v>42237</v>
          </cell>
          <cell r="GC265">
            <v>42237</v>
          </cell>
          <cell r="GD265">
            <v>42241</v>
          </cell>
          <cell r="GE265">
            <v>42242</v>
          </cell>
          <cell r="GF265">
            <v>42243</v>
          </cell>
          <cell r="GG265">
            <v>42243</v>
          </cell>
          <cell r="GH265">
            <v>42243</v>
          </cell>
          <cell r="GI265">
            <v>42246</v>
          </cell>
          <cell r="GJ265" t="str">
            <v>36-2015</v>
          </cell>
          <cell r="GK265">
            <v>42244</v>
          </cell>
          <cell r="GN265" t="str">
            <v>ERICSSON</v>
          </cell>
          <cell r="HD265">
            <v>1</v>
          </cell>
        </row>
        <row r="266">
          <cell r="A266" t="str">
            <v>MD0393</v>
          </cell>
          <cell r="B266" t="str">
            <v>ANMD_0047</v>
          </cell>
          <cell r="C266" t="str">
            <v>Apollo</v>
          </cell>
          <cell r="D266" t="str">
            <v>Adriaan Coetsee</v>
          </cell>
          <cell r="F266" t="str">
            <v>Aung Thu Win</v>
          </cell>
          <cell r="G266" t="str">
            <v>May Sandar Kyaw</v>
          </cell>
          <cell r="H266" t="str">
            <v>AMBER</v>
          </cell>
          <cell r="I266" t="str">
            <v>North</v>
          </cell>
          <cell r="J266" t="str">
            <v>95.6782</v>
          </cell>
          <cell r="K266" t="str">
            <v>21.0978</v>
          </cell>
          <cell r="L266" t="str">
            <v>Rural</v>
          </cell>
          <cell r="M266" t="str">
            <v>Mandalay 2</v>
          </cell>
          <cell r="N266" t="str">
            <v>Mahlaing</v>
          </cell>
          <cell r="O266" t="str">
            <v>Mahlaing</v>
          </cell>
          <cell r="P266" t="str">
            <v>Mandalay 2</v>
          </cell>
          <cell r="Q266" t="str">
            <v>9</v>
          </cell>
          <cell r="R266" t="str">
            <v>Mahlaing</v>
          </cell>
          <cell r="S266" t="str">
            <v>167</v>
          </cell>
          <cell r="T266" t="str">
            <v>GSM+UMTS</v>
          </cell>
          <cell r="W266" t="str">
            <v>Ph2-Priority</v>
          </cell>
          <cell r="X266" t="str">
            <v>45</v>
          </cell>
          <cell r="Y266" t="str">
            <v>47</v>
          </cell>
          <cell r="Z266" t="str">
            <v>GBT</v>
          </cell>
          <cell r="AA266" t="str">
            <v>500</v>
          </cell>
          <cell r="AB266" t="str">
            <v>Access</v>
          </cell>
          <cell r="AC266" t="str">
            <v>Class C</v>
          </cell>
          <cell r="BE266" t="str">
            <v>Route 1 Yangon - Mandalay</v>
          </cell>
          <cell r="BH266" t="str">
            <v>Camusat</v>
          </cell>
          <cell r="BJ266">
            <v>42165</v>
          </cell>
          <cell r="BK266">
            <v>42150</v>
          </cell>
          <cell r="BL266">
            <v>42170</v>
          </cell>
          <cell r="BM266">
            <v>42157</v>
          </cell>
          <cell r="BT266">
            <v>17</v>
          </cell>
          <cell r="BU266">
            <v>42255</v>
          </cell>
          <cell r="BV266">
            <v>42167</v>
          </cell>
          <cell r="BW266" t="str">
            <v>95.67783</v>
          </cell>
          <cell r="BX266" t="str">
            <v>21.095029</v>
          </cell>
          <cell r="BY266" t="str">
            <v>C1</v>
          </cell>
          <cell r="BZ266" t="str">
            <v>Kan Gyi Taung Village, Kan Gyi Village Group, Mahlaing Township, Mandalay Division.</v>
          </cell>
          <cell r="CA266" t="str">
            <v>Daw Swe Swe Win;09 - 47104115 / 09 - 402730312</v>
          </cell>
          <cell r="CB266" t="str">
            <v>12Jun15: C1 SAR Sub</v>
          </cell>
          <cell r="CE266">
            <v>3</v>
          </cell>
          <cell r="CF266">
            <v>42256</v>
          </cell>
          <cell r="CG266">
            <v>42170</v>
          </cell>
          <cell r="CH266">
            <v>42258</v>
          </cell>
          <cell r="CJ266">
            <v>42179</v>
          </cell>
          <cell r="CK266" t="str">
            <v>45</v>
          </cell>
          <cell r="CL266" t="str">
            <v>47</v>
          </cell>
          <cell r="CM266" t="str">
            <v>50</v>
          </cell>
          <cell r="CN266">
            <v>11</v>
          </cell>
          <cell r="CO266">
            <v>42261</v>
          </cell>
          <cell r="CP266">
            <v>42181</v>
          </cell>
          <cell r="CQ266" t="str">
            <v>M1: grid power + battery</v>
          </cell>
          <cell r="CR266">
            <v>4</v>
          </cell>
          <cell r="CS266">
            <v>42262</v>
          </cell>
          <cell r="CT266">
            <v>42185</v>
          </cell>
          <cell r="CU266" t="str">
            <v>MD0393</v>
          </cell>
          <cell r="DH266">
            <v>32</v>
          </cell>
          <cell r="DI266">
            <v>42272</v>
          </cell>
          <cell r="DJ266">
            <v>42217</v>
          </cell>
          <cell r="DK266">
            <v>42269</v>
          </cell>
          <cell r="DL266">
            <v>42179</v>
          </cell>
          <cell r="DM266">
            <v>42273</v>
          </cell>
          <cell r="DN266">
            <v>42187</v>
          </cell>
          <cell r="DO266">
            <v>0</v>
          </cell>
          <cell r="DP266">
            <v>42272</v>
          </cell>
          <cell r="DQ266">
            <v>42217</v>
          </cell>
          <cell r="DT266">
            <v>16</v>
          </cell>
          <cell r="DU266">
            <v>42287</v>
          </cell>
          <cell r="DV266">
            <v>42201</v>
          </cell>
          <cell r="DW266">
            <v>0</v>
          </cell>
          <cell r="DY266">
            <v>42273</v>
          </cell>
          <cell r="DZ266">
            <v>42222</v>
          </cell>
          <cell r="EA266" t="str">
            <v>Camusat</v>
          </cell>
          <cell r="EB266">
            <v>42206</v>
          </cell>
          <cell r="EE266" t="str">
            <v xml:space="preserve">10 Aug 15:Flood affected_Hold-No access; 21-Jul-15:Flooded access or site is flooded_ we canÆt proceed to this site								</v>
          </cell>
          <cell r="EJ266">
            <v>11</v>
          </cell>
          <cell r="EK266">
            <v>42290</v>
          </cell>
          <cell r="EL266">
            <v>42237</v>
          </cell>
          <cell r="EM266">
            <v>42291</v>
          </cell>
          <cell r="EN266">
            <v>42240</v>
          </cell>
          <cell r="EQ266">
            <v>42300</v>
          </cell>
          <cell r="ER266">
            <v>42245</v>
          </cell>
          <cell r="ES266">
            <v>42241</v>
          </cell>
          <cell r="ET266">
            <v>42245</v>
          </cell>
          <cell r="EU266">
            <v>42245</v>
          </cell>
          <cell r="EW266">
            <v>11</v>
          </cell>
          <cell r="EX266">
            <v>42314</v>
          </cell>
          <cell r="EZ266">
            <v>42310</v>
          </cell>
          <cell r="FA266">
            <v>42246</v>
          </cell>
          <cell r="FB266">
            <v>42312</v>
          </cell>
          <cell r="FC266">
            <v>42246</v>
          </cell>
          <cell r="FU266">
            <v>42314</v>
          </cell>
          <cell r="FW266">
            <v>42314</v>
          </cell>
          <cell r="FX266">
            <v>42246</v>
          </cell>
          <cell r="FY266" t="str">
            <v>RT</v>
          </cell>
          <cell r="FZ266">
            <v>42245</v>
          </cell>
          <cell r="GA266">
            <v>42250</v>
          </cell>
          <cell r="GJ266">
            <v>0</v>
          </cell>
          <cell r="GN266" t="str">
            <v>ERICSSON</v>
          </cell>
          <cell r="GO266">
            <v>42185</v>
          </cell>
          <cell r="HD266">
            <v>1</v>
          </cell>
        </row>
        <row r="267">
          <cell r="A267" t="str">
            <v>MD0463</v>
          </cell>
          <cell r="B267" t="str">
            <v>ANMD_0212</v>
          </cell>
          <cell r="C267" t="str">
            <v>Apollo</v>
          </cell>
          <cell r="D267" t="str">
            <v>Adriaan Coetsee</v>
          </cell>
          <cell r="F267" t="str">
            <v>Aung Thu Win</v>
          </cell>
          <cell r="G267" t="str">
            <v>Win Pa Kyi Myint</v>
          </cell>
          <cell r="H267" t="str">
            <v>RED</v>
          </cell>
          <cell r="I267" t="str">
            <v>North</v>
          </cell>
          <cell r="J267" t="str">
            <v>95.9734</v>
          </cell>
          <cell r="K267" t="str">
            <v>22.8851</v>
          </cell>
          <cell r="L267" t="str">
            <v>SubUrban</v>
          </cell>
          <cell r="M267" t="str">
            <v>Mandalay 1</v>
          </cell>
          <cell r="N267" t="str">
            <v>Thabeikkyin</v>
          </cell>
          <cell r="O267" t="str">
            <v>Thabeikkyin</v>
          </cell>
          <cell r="P267" t="str">
            <v>Mandalay 1</v>
          </cell>
          <cell r="Q267" t="str">
            <v>8</v>
          </cell>
          <cell r="R267" t="str">
            <v>Thabeikkyin</v>
          </cell>
          <cell r="S267" t="str">
            <v>153</v>
          </cell>
          <cell r="T267" t="str">
            <v>GSM+UMTS</v>
          </cell>
          <cell r="W267" t="str">
            <v>Ph2-Priority</v>
          </cell>
          <cell r="X267" t="str">
            <v>40</v>
          </cell>
          <cell r="Y267" t="str">
            <v>42</v>
          </cell>
          <cell r="Z267" t="str">
            <v>GBT</v>
          </cell>
          <cell r="AA267" t="str">
            <v>250</v>
          </cell>
          <cell r="AB267" t="str">
            <v>Access</v>
          </cell>
          <cell r="AC267" t="str">
            <v>Class B</v>
          </cell>
          <cell r="BE267" t="str">
            <v>Route 10 Mandalay - Myitkyina</v>
          </cell>
          <cell r="BH267" t="str">
            <v>Camusat</v>
          </cell>
          <cell r="BJ267">
            <v>42128</v>
          </cell>
          <cell r="BK267">
            <v>42130</v>
          </cell>
          <cell r="BL267">
            <v>42133</v>
          </cell>
          <cell r="BM267">
            <v>42138</v>
          </cell>
          <cell r="BT267">
            <v>18</v>
          </cell>
          <cell r="BU267">
            <v>42139</v>
          </cell>
          <cell r="BV267">
            <v>42148</v>
          </cell>
          <cell r="BW267" t="str">
            <v>95.97488</v>
          </cell>
          <cell r="BX267" t="str">
            <v>22.88367</v>
          </cell>
          <cell r="BY267" t="str">
            <v>C1</v>
          </cell>
          <cell r="BZ267" t="str">
            <v>Kabae Taung Quarter, Thabeikkyin Township.</v>
          </cell>
          <cell r="CA267" t="str">
            <v>Daw Pu;Kabae Taung Quarter, Thabeikkyin Township,Pyin Oo Lwin District, Mandalay Division;09 2057545</v>
          </cell>
          <cell r="CB267" t="str">
            <v>27 May 15 : C1 SAR approved as an option 1(TND Approved. with 30m repeater, MD0463_R1(22°53'59.1,95°58'44.3) RND approved with 40m/42m GBT as priority 1 and this site is 218m far from the nominal point.); 24May15: C1 SAR Sub.</v>
          </cell>
          <cell r="CC267" t="str">
            <v>Town / Village</v>
          </cell>
          <cell r="CE267">
            <v>3</v>
          </cell>
          <cell r="CF267">
            <v>42140</v>
          </cell>
          <cell r="CG267">
            <v>42151</v>
          </cell>
          <cell r="CH267">
            <v>42165</v>
          </cell>
          <cell r="CJ267">
            <v>42167</v>
          </cell>
          <cell r="CK267" t="str">
            <v>40</v>
          </cell>
          <cell r="CL267" t="str">
            <v>42</v>
          </cell>
          <cell r="CM267" t="str">
            <v>45</v>
          </cell>
          <cell r="CN267">
            <v>18</v>
          </cell>
          <cell r="CO267">
            <v>42168</v>
          </cell>
          <cell r="CP267">
            <v>42169</v>
          </cell>
          <cell r="CQ267" t="str">
            <v>M1: grid power + battery</v>
          </cell>
          <cell r="CR267">
            <v>1</v>
          </cell>
          <cell r="CS267">
            <v>42169</v>
          </cell>
          <cell r="CT267">
            <v>42170</v>
          </cell>
          <cell r="CU267" t="str">
            <v>MD0463</v>
          </cell>
          <cell r="DH267">
            <v>11</v>
          </cell>
          <cell r="DI267">
            <v>42179</v>
          </cell>
          <cell r="DJ267">
            <v>42181</v>
          </cell>
          <cell r="DK267">
            <v>42176</v>
          </cell>
          <cell r="DL267">
            <v>42168</v>
          </cell>
          <cell r="DM267">
            <v>42180</v>
          </cell>
          <cell r="DO267">
            <v>6</v>
          </cell>
          <cell r="DP267">
            <v>42179</v>
          </cell>
          <cell r="DQ267">
            <v>42187</v>
          </cell>
          <cell r="DT267">
            <v>46</v>
          </cell>
          <cell r="DU267">
            <v>42194</v>
          </cell>
          <cell r="DW267">
            <v>0</v>
          </cell>
          <cell r="DY267">
            <v>42180</v>
          </cell>
          <cell r="EA267" t="str">
            <v>Camusat</v>
          </cell>
          <cell r="EJ267">
            <v>0</v>
          </cell>
          <cell r="EK267">
            <v>42197</v>
          </cell>
          <cell r="EM267">
            <v>42198</v>
          </cell>
          <cell r="EQ267">
            <v>42207</v>
          </cell>
          <cell r="EW267">
            <v>0</v>
          </cell>
          <cell r="EX267">
            <v>42216</v>
          </cell>
          <cell r="EZ267">
            <v>42217</v>
          </cell>
          <cell r="FB267">
            <v>42219</v>
          </cell>
          <cell r="FU267">
            <v>42221</v>
          </cell>
          <cell r="FW267">
            <v>42221</v>
          </cell>
          <cell r="GF267">
            <v>42123</v>
          </cell>
          <cell r="GI267">
            <v>42246</v>
          </cell>
          <cell r="GJ267">
            <v>0</v>
          </cell>
          <cell r="GN267" t="str">
            <v>ERICSSON</v>
          </cell>
          <cell r="HD267">
            <v>1</v>
          </cell>
        </row>
        <row r="268">
          <cell r="A268" t="str">
            <v>MD0467</v>
          </cell>
          <cell r="B268" t="str">
            <v>ANMD_0213</v>
          </cell>
          <cell r="C268" t="str">
            <v>Apollo</v>
          </cell>
          <cell r="D268" t="str">
            <v>Adriaan Coetsee</v>
          </cell>
          <cell r="F268" t="str">
            <v>Aung Thu Win</v>
          </cell>
          <cell r="G268" t="str">
            <v>Win Pa Kyi Myint</v>
          </cell>
          <cell r="H268" t="str">
            <v>RED</v>
          </cell>
          <cell r="I268" t="str">
            <v>North</v>
          </cell>
          <cell r="J268" t="str">
            <v>96.4501</v>
          </cell>
          <cell r="K268" t="str">
            <v>21.9874</v>
          </cell>
          <cell r="L268" t="str">
            <v>Rural</v>
          </cell>
          <cell r="M268" t="str">
            <v>Mandalay 1</v>
          </cell>
          <cell r="N268" t="str">
            <v>Pyinoolwin</v>
          </cell>
          <cell r="O268" t="str">
            <v>Pyinoolwin</v>
          </cell>
          <cell r="P268" t="str">
            <v>Mandalay 1</v>
          </cell>
          <cell r="Q268" t="str">
            <v>8</v>
          </cell>
          <cell r="R268" t="str">
            <v>Pyinoolwin</v>
          </cell>
          <cell r="S268" t="str">
            <v>149</v>
          </cell>
          <cell r="T268" t="str">
            <v>GSM+UMTS</v>
          </cell>
          <cell r="W268" t="str">
            <v>Ph2-Priority</v>
          </cell>
          <cell r="X268" t="str">
            <v>45</v>
          </cell>
          <cell r="Y268" t="str">
            <v>45</v>
          </cell>
          <cell r="Z268" t="str">
            <v>GBT</v>
          </cell>
          <cell r="AA268" t="str">
            <v>500</v>
          </cell>
          <cell r="AB268" t="str">
            <v>Access</v>
          </cell>
          <cell r="AC268" t="str">
            <v>Class C</v>
          </cell>
          <cell r="BE268" t="str">
            <v>Route 9 Mandalay - Muse</v>
          </cell>
          <cell r="BH268" t="str">
            <v>Camusat</v>
          </cell>
          <cell r="BJ268">
            <v>42168</v>
          </cell>
          <cell r="BK268">
            <v>42130</v>
          </cell>
          <cell r="BL268">
            <v>42173</v>
          </cell>
          <cell r="BM268">
            <v>42137</v>
          </cell>
          <cell r="BT268">
            <v>74</v>
          </cell>
          <cell r="BU268">
            <v>42189</v>
          </cell>
          <cell r="BV268">
            <v>42204</v>
          </cell>
          <cell r="BW268" t="str">
            <v>96.44718</v>
          </cell>
          <cell r="BX268" t="str">
            <v>22.00836</v>
          </cell>
          <cell r="BY268" t="str">
            <v>C2</v>
          </cell>
          <cell r="BZ268" t="str">
            <v>Gaung Kwal Village, Tadaoo Township, Kyauk Se District, Mandalay Division.</v>
          </cell>
          <cell r="CA268" t="str">
            <v>U Than Zaw;Gaung Kwal Village, Tadaoo Township, Kyauk Se District, Mandalay Division;09 798647537</v>
          </cell>
          <cell r="CB268" t="str">
            <v>03 Aug 15 : Frank sent the CAA rejection 's letter for MD0467(Zero Tower Height);19 July 15 :C2-SAR submission;9 July 15 : C1 SAR reject with justification (As per TM radio suggestion, RND rejected because this site is 1.33km far from the nominal point.);1 July 15 : C1 sub  again with justification;24 June 15 : C1 SAR rejected(RND rejected as it is 1km far frm nominal.Please find the candidate within search ring.)</v>
          </cell>
          <cell r="CC268" t="str">
            <v>Town</v>
          </cell>
          <cell r="CE268">
            <v>9</v>
          </cell>
          <cell r="CF268">
            <v>42190</v>
          </cell>
          <cell r="CG268">
            <v>42213</v>
          </cell>
          <cell r="CH268">
            <v>42192</v>
          </cell>
          <cell r="CN268">
            <v>20</v>
          </cell>
          <cell r="CO268">
            <v>42195</v>
          </cell>
          <cell r="CQ268" t="str">
            <v>M1: grid power + battery</v>
          </cell>
          <cell r="CR268">
            <v>0</v>
          </cell>
          <cell r="CS268">
            <v>42196</v>
          </cell>
          <cell r="CU268" t="str">
            <v>MD0467</v>
          </cell>
          <cell r="DH268">
            <v>0</v>
          </cell>
          <cell r="DI268">
            <v>42206</v>
          </cell>
          <cell r="DK268">
            <v>42203</v>
          </cell>
          <cell r="DM268">
            <v>42207</v>
          </cell>
          <cell r="DO268">
            <v>0</v>
          </cell>
          <cell r="DP268">
            <v>42206</v>
          </cell>
          <cell r="DT268">
            <v>0</v>
          </cell>
          <cell r="DU268">
            <v>42221</v>
          </cell>
          <cell r="DW268">
            <v>0</v>
          </cell>
          <cell r="DY268">
            <v>42207</v>
          </cell>
          <cell r="EA268" t="str">
            <v>Camusat</v>
          </cell>
          <cell r="EJ268">
            <v>0</v>
          </cell>
          <cell r="EK268">
            <v>42224</v>
          </cell>
          <cell r="EM268">
            <v>42225</v>
          </cell>
          <cell r="EQ268">
            <v>42234</v>
          </cell>
          <cell r="EW268">
            <v>0</v>
          </cell>
          <cell r="EX268">
            <v>42215</v>
          </cell>
          <cell r="EZ268">
            <v>42244</v>
          </cell>
          <cell r="FB268">
            <v>42246</v>
          </cell>
          <cell r="FU268">
            <v>42248</v>
          </cell>
          <cell r="FW268">
            <v>42248</v>
          </cell>
          <cell r="GI268">
            <v>42121</v>
          </cell>
          <cell r="GJ268">
            <v>0</v>
          </cell>
          <cell r="GN268" t="str">
            <v>ERICSSON</v>
          </cell>
          <cell r="HD268">
            <v>1</v>
          </cell>
        </row>
        <row r="269">
          <cell r="A269" t="str">
            <v>MD0468</v>
          </cell>
          <cell r="B269" t="str">
            <v>ANMD_0214</v>
          </cell>
          <cell r="C269" t="str">
            <v>Apollo</v>
          </cell>
          <cell r="D269" t="str">
            <v>Adriaan Coetsee</v>
          </cell>
          <cell r="F269" t="str">
            <v>Aung Thu Win</v>
          </cell>
          <cell r="G269" t="str">
            <v>Win Pa Kyi Myint</v>
          </cell>
          <cell r="H269" t="str">
            <v>YELLOW</v>
          </cell>
          <cell r="I269" t="str">
            <v>North</v>
          </cell>
          <cell r="J269" t="str">
            <v>95.9382</v>
          </cell>
          <cell r="K269" t="str">
            <v>21.8224</v>
          </cell>
          <cell r="L269" t="str">
            <v>Rural</v>
          </cell>
          <cell r="M269" t="str">
            <v>Mandalay 1</v>
          </cell>
          <cell r="N269" t="str">
            <v>Tada-U</v>
          </cell>
          <cell r="O269" t="str">
            <v>Tada-U</v>
          </cell>
          <cell r="P269" t="str">
            <v>Mandalay 1</v>
          </cell>
          <cell r="Q269" t="str">
            <v>8</v>
          </cell>
          <cell r="R269" t="str">
            <v>Tada-U</v>
          </cell>
          <cell r="S269" t="str">
            <v>157</v>
          </cell>
          <cell r="T269" t="str">
            <v>GSM+UMTS</v>
          </cell>
          <cell r="W269" t="str">
            <v>Ph2-Priority</v>
          </cell>
          <cell r="X269" t="str">
            <v>45</v>
          </cell>
          <cell r="Y269" t="str">
            <v>47</v>
          </cell>
          <cell r="Z269" t="str">
            <v>GBT</v>
          </cell>
          <cell r="AA269" t="str">
            <v>500</v>
          </cell>
          <cell r="AB269" t="str">
            <v>Access</v>
          </cell>
          <cell r="AC269" t="str">
            <v>Class C</v>
          </cell>
          <cell r="BE269" t="str">
            <v>Route 8 Mandalay - Magwe</v>
          </cell>
          <cell r="BH269" t="str">
            <v>Camusat</v>
          </cell>
          <cell r="BJ269">
            <v>42145</v>
          </cell>
          <cell r="BK269">
            <v>42130</v>
          </cell>
          <cell r="BL269">
            <v>42150</v>
          </cell>
          <cell r="BM269">
            <v>42137</v>
          </cell>
          <cell r="BT269">
            <v>17</v>
          </cell>
          <cell r="BU269">
            <v>42256</v>
          </cell>
          <cell r="BV269">
            <v>42147</v>
          </cell>
          <cell r="BW269" t="str">
            <v>95.939403</v>
          </cell>
          <cell r="BX269" t="str">
            <v>21.820521</v>
          </cell>
          <cell r="BY269" t="str">
            <v>C1</v>
          </cell>
          <cell r="BZ269" t="str">
            <v>Gaung Kwal Village, Tadaoo Township.</v>
          </cell>
          <cell r="CA269" t="str">
            <v>U Than Zaw;Gaung Kwal Village, Tadaoo Township, Kyauk Se District, Mandalay Division;09 798647537</v>
          </cell>
          <cell r="CB269" t="str">
            <v>23May15: C1 SAR Sub</v>
          </cell>
          <cell r="CE269">
            <v>3</v>
          </cell>
          <cell r="CF269">
            <v>42257</v>
          </cell>
          <cell r="CG269">
            <v>42150</v>
          </cell>
          <cell r="CH269">
            <v>42259</v>
          </cell>
          <cell r="CJ269">
            <v>42156</v>
          </cell>
          <cell r="CK269" t="str">
            <v>45</v>
          </cell>
          <cell r="CL269" t="str">
            <v>47</v>
          </cell>
          <cell r="CM269" t="str">
            <v>50</v>
          </cell>
          <cell r="CN269">
            <v>8</v>
          </cell>
          <cell r="CO269">
            <v>42262</v>
          </cell>
          <cell r="CP269">
            <v>42158</v>
          </cell>
          <cell r="CQ269" t="str">
            <v>M1: grid power + battery</v>
          </cell>
          <cell r="CR269">
            <v>1</v>
          </cell>
          <cell r="CS269">
            <v>42263</v>
          </cell>
          <cell r="CT269">
            <v>42159</v>
          </cell>
          <cell r="CU269" t="str">
            <v>MD0468</v>
          </cell>
          <cell r="DH269">
            <v>15</v>
          </cell>
          <cell r="DI269">
            <v>42273</v>
          </cell>
          <cell r="DJ269">
            <v>42174</v>
          </cell>
          <cell r="DK269">
            <v>42270</v>
          </cell>
          <cell r="DL269">
            <v>42178</v>
          </cell>
          <cell r="DM269">
            <v>42274</v>
          </cell>
          <cell r="DN269">
            <v>42178</v>
          </cell>
          <cell r="DO269">
            <v>0</v>
          </cell>
          <cell r="DP269">
            <v>42273</v>
          </cell>
          <cell r="DQ269">
            <v>42174</v>
          </cell>
          <cell r="DT269">
            <v>6</v>
          </cell>
          <cell r="DU269">
            <v>42288</v>
          </cell>
          <cell r="DV269">
            <v>42180</v>
          </cell>
          <cell r="DW269">
            <v>-2</v>
          </cell>
          <cell r="DY269">
            <v>42274</v>
          </cell>
          <cell r="DZ269">
            <v>42178</v>
          </cell>
          <cell r="EA269" t="str">
            <v>Camusat</v>
          </cell>
          <cell r="EE269" t="str">
            <v xml:space="preserve">10 Aug 15:Rain affected_Progress affected; 4-Aug-15: Awaiting tower EDA 8/15. Tower foundation and equipment slab casted								</v>
          </cell>
          <cell r="EJ269">
            <v>30</v>
          </cell>
          <cell r="EK269">
            <v>42291</v>
          </cell>
          <cell r="EL269">
            <v>42208</v>
          </cell>
          <cell r="EM269">
            <v>42292</v>
          </cell>
          <cell r="EN269">
            <v>42233</v>
          </cell>
          <cell r="EQ269">
            <v>42301</v>
          </cell>
          <cell r="ER269">
            <v>42236</v>
          </cell>
          <cell r="ES269">
            <v>42233</v>
          </cell>
          <cell r="ET269">
            <v>42241</v>
          </cell>
          <cell r="EU269">
            <v>42241</v>
          </cell>
          <cell r="EW269">
            <v>55</v>
          </cell>
          <cell r="EX269">
            <v>42315</v>
          </cell>
          <cell r="EZ269">
            <v>42311</v>
          </cell>
          <cell r="FA269">
            <v>42238</v>
          </cell>
          <cell r="FB269">
            <v>42313</v>
          </cell>
          <cell r="FC269">
            <v>42241</v>
          </cell>
          <cell r="FU269">
            <v>42315</v>
          </cell>
          <cell r="FW269">
            <v>42315</v>
          </cell>
          <cell r="FX269">
            <v>42241</v>
          </cell>
          <cell r="FY269" t="str">
            <v>TN</v>
          </cell>
          <cell r="FZ269">
            <v>42236</v>
          </cell>
          <cell r="GA269">
            <v>42239</v>
          </cell>
          <cell r="GB269">
            <v>42240</v>
          </cell>
          <cell r="GC269">
            <v>42241</v>
          </cell>
          <cell r="GD269">
            <v>42242</v>
          </cell>
          <cell r="GE269">
            <v>42241</v>
          </cell>
          <cell r="GF269">
            <v>42222</v>
          </cell>
          <cell r="GG269">
            <v>42243</v>
          </cell>
          <cell r="GH269">
            <v>42244</v>
          </cell>
          <cell r="GI269">
            <v>42183</v>
          </cell>
          <cell r="GJ269" t="str">
            <v>36-2015</v>
          </cell>
          <cell r="GK269">
            <v>42244</v>
          </cell>
          <cell r="GN269" t="str">
            <v>ERICSSON</v>
          </cell>
          <cell r="GS269" t="str">
            <v>4/4/4</v>
          </cell>
          <cell r="GU269" t="str">
            <v xml:space="preserve">		</v>
          </cell>
          <cell r="HD269">
            <v>1</v>
          </cell>
        </row>
        <row r="270">
          <cell r="A270" t="str">
            <v>MD0481</v>
          </cell>
          <cell r="B270" t="str">
            <v>ANMD_0215</v>
          </cell>
          <cell r="C270" t="str">
            <v>Apollo</v>
          </cell>
          <cell r="D270" t="str">
            <v>Adriaan Coetsee</v>
          </cell>
          <cell r="F270" t="str">
            <v>Aung Thu Win</v>
          </cell>
          <cell r="G270" t="str">
            <v>Win Pa Kyi Myint</v>
          </cell>
          <cell r="H270" t="str">
            <v>WHITE</v>
          </cell>
          <cell r="I270" t="str">
            <v>North</v>
          </cell>
          <cell r="J270" t="str">
            <v>96.216944</v>
          </cell>
          <cell r="K270" t="str">
            <v>21.884444</v>
          </cell>
          <cell r="L270" t="str">
            <v>Rural</v>
          </cell>
          <cell r="M270" t="str">
            <v>Mandalay 1</v>
          </cell>
          <cell r="N270" t="str">
            <v>Patheingyi</v>
          </cell>
          <cell r="O270" t="str">
            <v>Patheingyi</v>
          </cell>
          <cell r="P270" t="str">
            <v>Mandalay 1</v>
          </cell>
          <cell r="Q270" t="str">
            <v>8</v>
          </cell>
          <cell r="R270" t="str">
            <v>Patheingyi</v>
          </cell>
          <cell r="S270" t="str">
            <v>148</v>
          </cell>
          <cell r="T270" t="str">
            <v>GSM+UMTS</v>
          </cell>
          <cell r="W270" t="str">
            <v>Ph2-Priority</v>
          </cell>
          <cell r="X270" t="str">
            <v>45</v>
          </cell>
          <cell r="Y270" t="str">
            <v>45</v>
          </cell>
          <cell r="Z270" t="str">
            <v>GBT</v>
          </cell>
          <cell r="AA270" t="str">
            <v>250</v>
          </cell>
          <cell r="AB270" t="str">
            <v>Access</v>
          </cell>
          <cell r="AC270" t="str">
            <v>Class C</v>
          </cell>
          <cell r="BE270" t="str">
            <v>MDL DC</v>
          </cell>
          <cell r="BH270" t="str">
            <v>Camusat</v>
          </cell>
          <cell r="BJ270">
            <v>42143</v>
          </cell>
          <cell r="BK270">
            <v>42130</v>
          </cell>
          <cell r="BL270">
            <v>42148</v>
          </cell>
          <cell r="BM270">
            <v>42138</v>
          </cell>
          <cell r="BT270">
            <v>18</v>
          </cell>
          <cell r="BU270">
            <v>42171</v>
          </cell>
          <cell r="BV270">
            <v>42148</v>
          </cell>
          <cell r="BW270" t="str">
            <v>96.21825</v>
          </cell>
          <cell r="BX270" t="str">
            <v>21.884596</v>
          </cell>
          <cell r="BY270" t="str">
            <v>C1</v>
          </cell>
          <cell r="BZ270" t="str">
            <v>Htone Bo 8 quarter Own Chaw Village Group ,Pathein Gyi Township.</v>
          </cell>
          <cell r="CA270" t="str">
            <v>U Myo Myint Aung;Lot: 44/109, Htone Bo 8 Block, Htone Bo Village(Lot: 44/109, Htone Bo 8 Block, Ohn Chaw Village Group, Pathein Gyi Township, Mandalay);09-798563272/09-402725125</v>
          </cell>
          <cell r="CB270" t="str">
            <v>24May15: C1 SAR Sub.</v>
          </cell>
          <cell r="CC270" t="str">
            <v>Farmland</v>
          </cell>
          <cell r="CE270">
            <v>3</v>
          </cell>
          <cell r="CF270">
            <v>42172</v>
          </cell>
          <cell r="CG270">
            <v>42151</v>
          </cell>
          <cell r="CH270">
            <v>42174</v>
          </cell>
          <cell r="CJ270">
            <v>42161</v>
          </cell>
          <cell r="CK270" t="str">
            <v>45</v>
          </cell>
          <cell r="CL270" t="str">
            <v>47</v>
          </cell>
          <cell r="CM270" t="str">
            <v>45</v>
          </cell>
          <cell r="CN270">
            <v>12</v>
          </cell>
          <cell r="CO270">
            <v>42177</v>
          </cell>
          <cell r="CP270">
            <v>42163</v>
          </cell>
          <cell r="CQ270" t="str">
            <v>M1: grid power + battery</v>
          </cell>
          <cell r="CR270">
            <v>1</v>
          </cell>
          <cell r="CS270">
            <v>42178</v>
          </cell>
          <cell r="CT270">
            <v>42164</v>
          </cell>
          <cell r="CU270" t="str">
            <v>MD0481</v>
          </cell>
          <cell r="DH270">
            <v>10</v>
          </cell>
          <cell r="DI270">
            <v>42188</v>
          </cell>
          <cell r="DJ270">
            <v>42174</v>
          </cell>
          <cell r="DK270">
            <v>42185</v>
          </cell>
          <cell r="DL270">
            <v>42172</v>
          </cell>
          <cell r="DM270">
            <v>42189</v>
          </cell>
          <cell r="DN270">
            <v>42181</v>
          </cell>
          <cell r="DO270">
            <v>0</v>
          </cell>
          <cell r="DP270">
            <v>42188</v>
          </cell>
          <cell r="DQ270">
            <v>42174</v>
          </cell>
          <cell r="DT270">
            <v>59</v>
          </cell>
          <cell r="DU270">
            <v>42203</v>
          </cell>
          <cell r="DW270">
            <v>0</v>
          </cell>
          <cell r="DY270">
            <v>42189</v>
          </cell>
          <cell r="DZ270">
            <v>42181</v>
          </cell>
          <cell r="EA270" t="str">
            <v>Camusat</v>
          </cell>
          <cell r="EI270" t="str">
            <v>M5: grid power + DG + battery      </v>
          </cell>
          <cell r="EJ270">
            <v>22</v>
          </cell>
          <cell r="EK270">
            <v>42206</v>
          </cell>
          <cell r="EL270">
            <v>42203</v>
          </cell>
          <cell r="EM270">
            <v>42207</v>
          </cell>
          <cell r="EN270">
            <v>42208</v>
          </cell>
          <cell r="EQ270">
            <v>42216</v>
          </cell>
          <cell r="ER270">
            <v>42216</v>
          </cell>
          <cell r="ES270">
            <v>42209</v>
          </cell>
          <cell r="ET270">
            <v>42216</v>
          </cell>
          <cell r="EU270">
            <v>42216</v>
          </cell>
          <cell r="EW270">
            <v>52</v>
          </cell>
          <cell r="EX270">
            <v>42230</v>
          </cell>
          <cell r="EZ270">
            <v>42226</v>
          </cell>
          <cell r="FA270">
            <v>42214</v>
          </cell>
          <cell r="FB270">
            <v>42228</v>
          </cell>
          <cell r="FC270">
            <v>42215</v>
          </cell>
          <cell r="FU270">
            <v>42230</v>
          </cell>
          <cell r="FW270">
            <v>42230</v>
          </cell>
          <cell r="FX270">
            <v>42216</v>
          </cell>
          <cell r="FY270" t="str">
            <v>TN</v>
          </cell>
          <cell r="FZ270">
            <v>42217</v>
          </cell>
          <cell r="GA270">
            <v>42221</v>
          </cell>
          <cell r="GB270">
            <v>42224</v>
          </cell>
          <cell r="GC270">
            <v>42224</v>
          </cell>
          <cell r="GD270">
            <v>42225</v>
          </cell>
          <cell r="GE270">
            <v>42227</v>
          </cell>
          <cell r="GF270">
            <v>42228</v>
          </cell>
          <cell r="GG270">
            <v>42228</v>
          </cell>
          <cell r="GH270">
            <v>42228</v>
          </cell>
          <cell r="GI270">
            <v>42246</v>
          </cell>
          <cell r="GJ270" t="str">
            <v>36-2015</v>
          </cell>
          <cell r="GK270">
            <v>42228</v>
          </cell>
          <cell r="GN270" t="str">
            <v>ERICSSON</v>
          </cell>
          <cell r="GP270">
            <v>42206</v>
          </cell>
          <cell r="GS270" t="str">
            <v>4/4/4</v>
          </cell>
          <cell r="GU270" t="str">
            <v xml:space="preserve">		</v>
          </cell>
          <cell r="HD270">
            <v>1</v>
          </cell>
        </row>
        <row r="271">
          <cell r="A271" t="str">
            <v>MD0493</v>
          </cell>
          <cell r="B271" t="str">
            <v>ANMD_0216</v>
          </cell>
          <cell r="C271" t="str">
            <v>Apollo</v>
          </cell>
          <cell r="D271" t="str">
            <v>Adriaan Coetsee</v>
          </cell>
          <cell r="F271" t="str">
            <v>Aung Thu Win</v>
          </cell>
          <cell r="G271" t="str">
            <v>Win Pa Kyi Myint</v>
          </cell>
          <cell r="H271" t="str">
            <v>AMBER</v>
          </cell>
          <cell r="I271" t="str">
            <v>North</v>
          </cell>
          <cell r="J271" t="str">
            <v>95.315106</v>
          </cell>
          <cell r="K271" t="str">
            <v>21.398449</v>
          </cell>
          <cell r="L271" t="str">
            <v>Rural</v>
          </cell>
          <cell r="M271" t="str">
            <v>Mandalay 1</v>
          </cell>
          <cell r="N271" t="str">
            <v>Myingyan</v>
          </cell>
          <cell r="O271" t="str">
            <v>Myingyan</v>
          </cell>
          <cell r="P271" t="str">
            <v>Mandalay 1</v>
          </cell>
          <cell r="Q271" t="str">
            <v>8</v>
          </cell>
          <cell r="R271" t="str">
            <v>Myingyan</v>
          </cell>
          <cell r="S271" t="str">
            <v>158</v>
          </cell>
          <cell r="T271" t="str">
            <v>GSM+UMTS</v>
          </cell>
          <cell r="W271" t="str">
            <v>Ph2-Priority</v>
          </cell>
          <cell r="X271" t="str">
            <v>45</v>
          </cell>
          <cell r="Y271" t="str">
            <v>47</v>
          </cell>
          <cell r="Z271" t="str">
            <v>GBT</v>
          </cell>
          <cell r="AA271" t="str">
            <v>500</v>
          </cell>
          <cell r="AB271" t="str">
            <v>Access</v>
          </cell>
          <cell r="AC271" t="str">
            <v>Class C</v>
          </cell>
          <cell r="BE271" t="str">
            <v>Route 8 Mandalay - Magwe</v>
          </cell>
          <cell r="BH271" t="str">
            <v>Camusat</v>
          </cell>
          <cell r="BJ271">
            <v>42155</v>
          </cell>
          <cell r="BK271">
            <v>42130</v>
          </cell>
          <cell r="BL271">
            <v>42160</v>
          </cell>
          <cell r="BM271">
            <v>42137</v>
          </cell>
          <cell r="BT271">
            <v>17</v>
          </cell>
          <cell r="BU271">
            <v>42257</v>
          </cell>
          <cell r="BV271">
            <v>42147</v>
          </cell>
          <cell r="BW271" t="str">
            <v>95.31202</v>
          </cell>
          <cell r="BX271" t="str">
            <v>21.39724</v>
          </cell>
          <cell r="BY271" t="str">
            <v>C1</v>
          </cell>
          <cell r="BZ271" t="str">
            <v>Myin Chan Township,Hta Naung Tine Group,Nat Hlae Village.</v>
          </cell>
          <cell r="CA271" t="str">
            <v>Daw Khin Htay Kyi;Myin Chan Township,Hta Naung Tine Group,Nat Hlae Village;09 796166211,09 256174516</v>
          </cell>
          <cell r="CB271" t="str">
            <v>23May15: C1 SAR Sub</v>
          </cell>
          <cell r="CE271">
            <v>3</v>
          </cell>
          <cell r="CF271">
            <v>42258</v>
          </cell>
          <cell r="CG271">
            <v>42150</v>
          </cell>
          <cell r="CH271">
            <v>42260</v>
          </cell>
          <cell r="CJ271">
            <v>42157</v>
          </cell>
          <cell r="CK271" t="str">
            <v>45</v>
          </cell>
          <cell r="CL271" t="str">
            <v>47</v>
          </cell>
          <cell r="CM271" t="str">
            <v>50</v>
          </cell>
          <cell r="CN271">
            <v>9</v>
          </cell>
          <cell r="CO271">
            <v>42263</v>
          </cell>
          <cell r="CP271">
            <v>42159</v>
          </cell>
          <cell r="CQ271" t="str">
            <v>M1: grid power + battery</v>
          </cell>
          <cell r="CR271">
            <v>1</v>
          </cell>
          <cell r="CS271">
            <v>42264</v>
          </cell>
          <cell r="CT271">
            <v>42160</v>
          </cell>
          <cell r="CU271" t="str">
            <v>MD0493</v>
          </cell>
          <cell r="DH271">
            <v>14</v>
          </cell>
          <cell r="DI271">
            <v>42274</v>
          </cell>
          <cell r="DJ271">
            <v>42174</v>
          </cell>
          <cell r="DK271">
            <v>42271</v>
          </cell>
          <cell r="DL271">
            <v>42172</v>
          </cell>
          <cell r="DM271">
            <v>42275</v>
          </cell>
          <cell r="DN271">
            <v>42180</v>
          </cell>
          <cell r="DO271">
            <v>0</v>
          </cell>
          <cell r="DP271">
            <v>42274</v>
          </cell>
          <cell r="DQ271">
            <v>42174</v>
          </cell>
          <cell r="DT271">
            <v>59</v>
          </cell>
          <cell r="DU271">
            <v>42289</v>
          </cell>
          <cell r="DW271">
            <v>0</v>
          </cell>
          <cell r="DY271">
            <v>42275</v>
          </cell>
          <cell r="DZ271">
            <v>42180</v>
          </cell>
          <cell r="EA271" t="str">
            <v>Camusat</v>
          </cell>
          <cell r="EE271" t="str">
            <v xml:space="preserve">10 Aug 15:Rain affected_Progress affected; 3-Aug-15: Rain affected_ Site is progressing but rain is affecting the work every day. CW IP. Excavation IP								</v>
          </cell>
          <cell r="EJ271">
            <v>53</v>
          </cell>
          <cell r="EK271">
            <v>42292</v>
          </cell>
          <cell r="EL271">
            <v>42238</v>
          </cell>
          <cell r="EM271">
            <v>42293</v>
          </cell>
          <cell r="EN271">
            <v>42243</v>
          </cell>
          <cell r="EQ271">
            <v>42302</v>
          </cell>
          <cell r="ER271">
            <v>42246</v>
          </cell>
          <cell r="ES271">
            <v>42243</v>
          </cell>
          <cell r="ET271">
            <v>42246</v>
          </cell>
          <cell r="EU271">
            <v>42246</v>
          </cell>
          <cell r="EW271">
            <v>53</v>
          </cell>
          <cell r="EX271">
            <v>42316</v>
          </cell>
          <cell r="EZ271">
            <v>42312</v>
          </cell>
          <cell r="FA271">
            <v>42248</v>
          </cell>
          <cell r="FB271">
            <v>42314</v>
          </cell>
          <cell r="FU271">
            <v>42316</v>
          </cell>
          <cell r="FW271">
            <v>42316</v>
          </cell>
          <cell r="FY271" t="str">
            <v>RT</v>
          </cell>
          <cell r="FZ271">
            <v>42245</v>
          </cell>
          <cell r="GI271">
            <v>42277</v>
          </cell>
          <cell r="GJ271" t="str">
            <v>40-2015</v>
          </cell>
          <cell r="GN271" t="str">
            <v>ERICSSON</v>
          </cell>
          <cell r="HD271">
            <v>1</v>
          </cell>
        </row>
        <row r="272">
          <cell r="A272" t="str">
            <v>MD0494</v>
          </cell>
          <cell r="B272" t="str">
            <v>ANMD_0058</v>
          </cell>
          <cell r="C272" t="str">
            <v>Apollo</v>
          </cell>
          <cell r="D272" t="str">
            <v>Adriaan Coetsee</v>
          </cell>
          <cell r="F272" t="str">
            <v>Aung Thu Win</v>
          </cell>
          <cell r="G272" t="str">
            <v>Win Pa Kyi Myint</v>
          </cell>
          <cell r="H272" t="str">
            <v>RED</v>
          </cell>
          <cell r="I272" t="str">
            <v>North</v>
          </cell>
          <cell r="J272" t="str">
            <v>95.3396</v>
          </cell>
          <cell r="K272" t="str">
            <v>21.4505</v>
          </cell>
          <cell r="L272" t="str">
            <v>Rural</v>
          </cell>
          <cell r="M272" t="str">
            <v>Mandalay 1</v>
          </cell>
          <cell r="N272" t="str">
            <v>Myingyan</v>
          </cell>
          <cell r="O272" t="str">
            <v>Myingyan</v>
          </cell>
          <cell r="P272" t="str">
            <v>Mandalay 1</v>
          </cell>
          <cell r="Q272" t="str">
            <v>8</v>
          </cell>
          <cell r="R272" t="str">
            <v>Myingyan</v>
          </cell>
          <cell r="S272" t="str">
            <v>158</v>
          </cell>
          <cell r="T272" t="str">
            <v>GSM+UMTS</v>
          </cell>
          <cell r="W272" t="str">
            <v>Ph2-Priority</v>
          </cell>
          <cell r="X272" t="str">
            <v>45</v>
          </cell>
          <cell r="Y272" t="str">
            <v>47</v>
          </cell>
          <cell r="Z272" t="str">
            <v>GBT</v>
          </cell>
          <cell r="AA272" t="str">
            <v>500</v>
          </cell>
          <cell r="AB272" t="str">
            <v>Access</v>
          </cell>
          <cell r="AC272" t="str">
            <v>Class C</v>
          </cell>
          <cell r="BE272" t="str">
            <v>Route 8 Mandalay - Magwe</v>
          </cell>
          <cell r="BH272" t="str">
            <v>Camusat</v>
          </cell>
          <cell r="BJ272">
            <v>42155</v>
          </cell>
          <cell r="BK272">
            <v>42143</v>
          </cell>
          <cell r="BL272">
            <v>42160</v>
          </cell>
          <cell r="BM272">
            <v>42150</v>
          </cell>
          <cell r="BT272">
            <v>17</v>
          </cell>
          <cell r="BU272">
            <v>42257</v>
          </cell>
          <cell r="BV272">
            <v>42160</v>
          </cell>
          <cell r="BW272" t="str">
            <v>95.33956</v>
          </cell>
          <cell r="BX272" t="str">
            <v>21.45035</v>
          </cell>
          <cell r="BY272" t="str">
            <v>C1</v>
          </cell>
          <cell r="BZ272" t="str">
            <v>Aung Kyi Soe Village,Lay Eain Tan Group Of Village, Myin Gyan Township.</v>
          </cell>
          <cell r="CA272" t="str">
            <v>U Tin Khaing;Aung Kyi Soe Village,Lay Eain Tan Group Of Village, Myin Gyan Township;9256271755</v>
          </cell>
          <cell r="CB272" t="str">
            <v>5June15: C1 SAR Sub</v>
          </cell>
          <cell r="CC272" t="str">
            <v>Village</v>
          </cell>
          <cell r="CE272">
            <v>4</v>
          </cell>
          <cell r="CF272">
            <v>42258</v>
          </cell>
          <cell r="CG272">
            <v>42164</v>
          </cell>
          <cell r="CH272">
            <v>42260</v>
          </cell>
          <cell r="CJ272">
            <v>42183</v>
          </cell>
          <cell r="CK272" t="str">
            <v>45</v>
          </cell>
          <cell r="CL272" t="str">
            <v>47</v>
          </cell>
          <cell r="CM272" t="str">
            <v>50</v>
          </cell>
          <cell r="CN272">
            <v>21</v>
          </cell>
          <cell r="CO272">
            <v>42263</v>
          </cell>
          <cell r="CP272">
            <v>42185</v>
          </cell>
          <cell r="CQ272" t="str">
            <v>M4: solar + DG + battery</v>
          </cell>
          <cell r="CR272">
            <v>1</v>
          </cell>
          <cell r="CS272">
            <v>42264</v>
          </cell>
          <cell r="CT272">
            <v>42186</v>
          </cell>
          <cell r="CU272" t="str">
            <v>MD0494</v>
          </cell>
          <cell r="DH272">
            <v>31</v>
          </cell>
          <cell r="DI272">
            <v>42274</v>
          </cell>
          <cell r="DJ272">
            <v>42217</v>
          </cell>
          <cell r="DK272">
            <v>42271</v>
          </cell>
          <cell r="DL272">
            <v>42187</v>
          </cell>
          <cell r="DM272">
            <v>42275</v>
          </cell>
          <cell r="DN272">
            <v>42198</v>
          </cell>
          <cell r="DO272">
            <v>0</v>
          </cell>
          <cell r="DP272">
            <v>42274</v>
          </cell>
          <cell r="DQ272">
            <v>42217</v>
          </cell>
          <cell r="DT272">
            <v>16</v>
          </cell>
          <cell r="DU272">
            <v>42289</v>
          </cell>
          <cell r="DV272">
            <v>42245</v>
          </cell>
          <cell r="DW272">
            <v>0</v>
          </cell>
          <cell r="DY272">
            <v>42275</v>
          </cell>
          <cell r="EA272" t="str">
            <v>Camusat</v>
          </cell>
          <cell r="EB272">
            <v>42221</v>
          </cell>
          <cell r="EE272" t="str">
            <v xml:space="preserve">10 Aug 15:Flood affected_Hold-No access; 5-Aug-15: Site KO cancelled due to flooded area								</v>
          </cell>
          <cell r="EJ272">
            <v>0</v>
          </cell>
          <cell r="EK272">
            <v>42292</v>
          </cell>
          <cell r="EM272">
            <v>42293</v>
          </cell>
          <cell r="EQ272">
            <v>42302</v>
          </cell>
          <cell r="EW272">
            <v>0</v>
          </cell>
          <cell r="EX272">
            <v>42316</v>
          </cell>
          <cell r="EZ272">
            <v>42312</v>
          </cell>
          <cell r="FB272">
            <v>42314</v>
          </cell>
          <cell r="FU272">
            <v>42316</v>
          </cell>
          <cell r="FW272">
            <v>42316</v>
          </cell>
          <cell r="GI272">
            <v>42215</v>
          </cell>
          <cell r="GJ272">
            <v>0</v>
          </cell>
          <cell r="GN272" t="str">
            <v>ERICSSON</v>
          </cell>
          <cell r="HD272">
            <v>1</v>
          </cell>
        </row>
        <row r="273">
          <cell r="A273" t="str">
            <v>MD0497</v>
          </cell>
          <cell r="B273" t="str">
            <v>ANMD_0060</v>
          </cell>
          <cell r="C273" t="str">
            <v>Apollo</v>
          </cell>
          <cell r="D273" t="str">
            <v>Adriaan Coetsee</v>
          </cell>
          <cell r="F273" t="str">
            <v>Aung Thu Win</v>
          </cell>
          <cell r="G273" t="str">
            <v>Win Pa Kyi Myint</v>
          </cell>
          <cell r="H273" t="str">
            <v>AMBER</v>
          </cell>
          <cell r="I273" t="str">
            <v>North</v>
          </cell>
          <cell r="J273" t="str">
            <v>95.4146</v>
          </cell>
          <cell r="K273" t="str">
            <v>21.4818</v>
          </cell>
          <cell r="L273" t="str">
            <v>Rural</v>
          </cell>
          <cell r="M273" t="str">
            <v>Mandalay 1</v>
          </cell>
          <cell r="N273" t="str">
            <v>Myingyan</v>
          </cell>
          <cell r="O273" t="str">
            <v>Myingyan</v>
          </cell>
          <cell r="P273" t="str">
            <v>Mandalay 1</v>
          </cell>
          <cell r="Q273" t="str">
            <v>8</v>
          </cell>
          <cell r="R273" t="str">
            <v>Myingyan</v>
          </cell>
          <cell r="S273" t="str">
            <v>158</v>
          </cell>
          <cell r="T273" t="str">
            <v>GSM+UMTS</v>
          </cell>
          <cell r="W273" t="str">
            <v>Ph2-Priority</v>
          </cell>
          <cell r="X273" t="str">
            <v>45</v>
          </cell>
          <cell r="Y273" t="str">
            <v>47</v>
          </cell>
          <cell r="Z273" t="str">
            <v>GBT</v>
          </cell>
          <cell r="AA273" t="str">
            <v>500</v>
          </cell>
          <cell r="AB273" t="str">
            <v>Access</v>
          </cell>
          <cell r="AC273" t="str">
            <v>Class C</v>
          </cell>
          <cell r="BE273" t="str">
            <v>Route 8 Mandalay - Magwe</v>
          </cell>
          <cell r="BH273" t="str">
            <v>Camusat</v>
          </cell>
          <cell r="BJ273">
            <v>42155</v>
          </cell>
          <cell r="BK273">
            <v>42146</v>
          </cell>
          <cell r="BL273">
            <v>42160</v>
          </cell>
          <cell r="BM273">
            <v>42153</v>
          </cell>
          <cell r="BT273">
            <v>17</v>
          </cell>
          <cell r="BU273">
            <v>42269</v>
          </cell>
          <cell r="BV273">
            <v>42163</v>
          </cell>
          <cell r="BW273" t="str">
            <v>95.42422</v>
          </cell>
          <cell r="BX273" t="str">
            <v>21.47971</v>
          </cell>
          <cell r="BY273" t="str">
            <v>C1</v>
          </cell>
          <cell r="BZ273" t="str">
            <v>Myin Chan Township,Lal Thit Village group, Thit Pin Shay Vilage .</v>
          </cell>
          <cell r="CA273" t="str">
            <v>U Nyut Win;Myin Chan Township,Lal Thit Village group, Thit Pin Shay Vilage ;09 402541798</v>
          </cell>
          <cell r="CB273" t="str">
            <v>8Jun15: C1 SAR Sub</v>
          </cell>
          <cell r="CE273">
            <v>1</v>
          </cell>
          <cell r="CF273">
            <v>42270</v>
          </cell>
          <cell r="CG273">
            <v>42164</v>
          </cell>
          <cell r="CH273">
            <v>42272</v>
          </cell>
          <cell r="CJ273">
            <v>42183</v>
          </cell>
          <cell r="CK273" t="str">
            <v>45</v>
          </cell>
          <cell r="CL273" t="str">
            <v>47</v>
          </cell>
          <cell r="CM273" t="str">
            <v>50</v>
          </cell>
          <cell r="CN273">
            <v>21</v>
          </cell>
          <cell r="CO273">
            <v>42275</v>
          </cell>
          <cell r="CP273">
            <v>42185</v>
          </cell>
          <cell r="CQ273" t="str">
            <v>M1: grid power + battery</v>
          </cell>
          <cell r="CR273">
            <v>1</v>
          </cell>
          <cell r="CS273">
            <v>42276</v>
          </cell>
          <cell r="CT273">
            <v>42186</v>
          </cell>
          <cell r="CU273" t="str">
            <v>MD0497</v>
          </cell>
          <cell r="DH273">
            <v>31</v>
          </cell>
          <cell r="DI273">
            <v>42286</v>
          </cell>
          <cell r="DJ273">
            <v>42217</v>
          </cell>
          <cell r="DK273">
            <v>42283</v>
          </cell>
          <cell r="DL273">
            <v>42187</v>
          </cell>
          <cell r="DM273">
            <v>42287</v>
          </cell>
          <cell r="DO273">
            <v>0</v>
          </cell>
          <cell r="DP273">
            <v>42286</v>
          </cell>
          <cell r="DQ273">
            <v>42217</v>
          </cell>
          <cell r="DT273">
            <v>16</v>
          </cell>
          <cell r="DU273">
            <v>42301</v>
          </cell>
          <cell r="DV273">
            <v>42245</v>
          </cell>
          <cell r="DW273">
            <v>0</v>
          </cell>
          <cell r="DY273">
            <v>42287</v>
          </cell>
          <cell r="DZ273">
            <v>42221</v>
          </cell>
          <cell r="EA273" t="str">
            <v>Camusat</v>
          </cell>
          <cell r="ED273" t="str">
            <v xml:space="preserve">31Aug15 :MaySandar.Kyaw: column formwork ongoing, no tower material on site
</v>
          </cell>
          <cell r="EJ273">
            <v>12</v>
          </cell>
          <cell r="EK273">
            <v>42304</v>
          </cell>
          <cell r="EL273">
            <v>42248</v>
          </cell>
          <cell r="EM273">
            <v>42305</v>
          </cell>
          <cell r="EQ273">
            <v>42314</v>
          </cell>
          <cell r="EW273">
            <v>12</v>
          </cell>
          <cell r="EX273">
            <v>42316</v>
          </cell>
          <cell r="EZ273">
            <v>42324</v>
          </cell>
          <cell r="FB273">
            <v>42326</v>
          </cell>
          <cell r="FU273">
            <v>42328</v>
          </cell>
          <cell r="FW273">
            <v>42328</v>
          </cell>
          <cell r="FY273" t="str">
            <v>CFVL</v>
          </cell>
          <cell r="GF273">
            <v>42220</v>
          </cell>
          <cell r="GJ273">
            <v>0</v>
          </cell>
          <cell r="GN273" t="str">
            <v>ERICSSON</v>
          </cell>
          <cell r="HD273">
            <v>1</v>
          </cell>
        </row>
        <row r="274">
          <cell r="A274" t="str">
            <v>MD0501</v>
          </cell>
          <cell r="B274" t="str">
            <v>ANMD_0217</v>
          </cell>
          <cell r="C274" t="str">
            <v>Apollo</v>
          </cell>
          <cell r="D274" t="str">
            <v>Adriaan Coetsee</v>
          </cell>
          <cell r="F274" t="str">
            <v>Aung Thu Win</v>
          </cell>
          <cell r="G274" t="str">
            <v>May Sandar Kyaw</v>
          </cell>
          <cell r="H274" t="str">
            <v>WHITE</v>
          </cell>
          <cell r="I274" t="str">
            <v>North</v>
          </cell>
          <cell r="J274" t="str">
            <v>95.9550870583115</v>
          </cell>
          <cell r="K274" t="str">
            <v>20.9198170623937</v>
          </cell>
          <cell r="L274" t="str">
            <v>Rural</v>
          </cell>
          <cell r="M274" t="str">
            <v>Mandalay 2</v>
          </cell>
          <cell r="N274" t="str">
            <v>Thazi</v>
          </cell>
          <cell r="O274" t="str">
            <v>Thazi</v>
          </cell>
          <cell r="P274" t="str">
            <v>Mandalay 2</v>
          </cell>
          <cell r="Q274" t="str">
            <v>9</v>
          </cell>
          <cell r="R274" t="str">
            <v>Thazi</v>
          </cell>
          <cell r="S274" t="str">
            <v>168</v>
          </cell>
          <cell r="T274" t="str">
            <v>GSM+UMTS</v>
          </cell>
          <cell r="W274" t="str">
            <v>Ph2-Priority</v>
          </cell>
          <cell r="X274" t="str">
            <v>45</v>
          </cell>
          <cell r="Y274" t="str">
            <v>45</v>
          </cell>
          <cell r="Z274" t="str">
            <v>GBT</v>
          </cell>
          <cell r="AA274" t="str">
            <v>500</v>
          </cell>
          <cell r="AB274" t="str">
            <v>Access</v>
          </cell>
          <cell r="AC274" t="str">
            <v>Class C</v>
          </cell>
          <cell r="BE274" t="str">
            <v>Route 8 Mandalay - Magwe</v>
          </cell>
          <cell r="BH274" t="str">
            <v>Camusat</v>
          </cell>
          <cell r="BJ274">
            <v>42149</v>
          </cell>
          <cell r="BK274">
            <v>42130</v>
          </cell>
          <cell r="BL274">
            <v>42154</v>
          </cell>
          <cell r="BM274">
            <v>42140</v>
          </cell>
          <cell r="BT274">
            <v>20</v>
          </cell>
          <cell r="BU274">
            <v>42171</v>
          </cell>
          <cell r="BV274">
            <v>42150</v>
          </cell>
          <cell r="BW274" t="str">
            <v>95.951714</v>
          </cell>
          <cell r="BX274" t="str">
            <v>20.922757</v>
          </cell>
          <cell r="BY274" t="str">
            <v>C1</v>
          </cell>
          <cell r="BZ274" t="str">
            <v>TamarGone village, Thazi Township, Meiktila .</v>
          </cell>
          <cell r="CA274" t="str">
            <v>U Thein Soe Hlaing Win;Tamar Gone village, Thazi Township, Meiktila district;093357425, 0933314959,093357428.</v>
          </cell>
          <cell r="CB274" t="str">
            <v>26May15: C1 SAR Sub.</v>
          </cell>
          <cell r="CE274">
            <v>0</v>
          </cell>
          <cell r="CF274">
            <v>42172</v>
          </cell>
          <cell r="CG274">
            <v>42150</v>
          </cell>
          <cell r="CH274">
            <v>42174</v>
          </cell>
          <cell r="CJ274">
            <v>42160</v>
          </cell>
          <cell r="CK274" t="str">
            <v>45</v>
          </cell>
          <cell r="CL274" t="str">
            <v>47</v>
          </cell>
          <cell r="CM274" t="str">
            <v>45</v>
          </cell>
          <cell r="CN274">
            <v>11</v>
          </cell>
          <cell r="CO274">
            <v>42177</v>
          </cell>
          <cell r="CP274">
            <v>42161</v>
          </cell>
          <cell r="CQ274" t="str">
            <v>M4: solar + DG + battery</v>
          </cell>
          <cell r="CR274">
            <v>3</v>
          </cell>
          <cell r="CS274">
            <v>42178</v>
          </cell>
          <cell r="CT274">
            <v>42164</v>
          </cell>
          <cell r="CU274" t="str">
            <v>MD0501</v>
          </cell>
          <cell r="DH274">
            <v>6</v>
          </cell>
          <cell r="DI274">
            <v>42188</v>
          </cell>
          <cell r="DJ274">
            <v>42170</v>
          </cell>
          <cell r="DK274">
            <v>42185</v>
          </cell>
          <cell r="DL274">
            <v>42168</v>
          </cell>
          <cell r="DM274">
            <v>42189</v>
          </cell>
          <cell r="DN274">
            <v>42174</v>
          </cell>
          <cell r="DO274">
            <v>0</v>
          </cell>
          <cell r="DP274">
            <v>42188</v>
          </cell>
          <cell r="DQ274">
            <v>42170</v>
          </cell>
          <cell r="DT274">
            <v>7</v>
          </cell>
          <cell r="DU274">
            <v>42203</v>
          </cell>
          <cell r="DV274">
            <v>42177</v>
          </cell>
          <cell r="DW274">
            <v>-3</v>
          </cell>
          <cell r="DY274">
            <v>42189</v>
          </cell>
          <cell r="DZ274">
            <v>42174</v>
          </cell>
          <cell r="EA274" t="str">
            <v>Camusat</v>
          </cell>
          <cell r="ED274" t="str">
            <v xml:space="preserve">06Jul15 :SiThu.Moe: 40% of the total height have been erected.Equipment slab is not stare yet.
</v>
          </cell>
          <cell r="EI274" t="str">
            <v>M5: grid power + DG + battery      </v>
          </cell>
          <cell r="EJ274">
            <v>25</v>
          </cell>
          <cell r="EK274">
            <v>42206</v>
          </cell>
          <cell r="EL274">
            <v>42199</v>
          </cell>
          <cell r="EM274">
            <v>42207</v>
          </cell>
          <cell r="EN274">
            <v>42205</v>
          </cell>
          <cell r="EQ274">
            <v>42216</v>
          </cell>
          <cell r="ER274">
            <v>42210</v>
          </cell>
          <cell r="ES274">
            <v>42209</v>
          </cell>
          <cell r="ET274">
            <v>42213</v>
          </cell>
          <cell r="EU274">
            <v>42213</v>
          </cell>
          <cell r="EW274">
            <v>59</v>
          </cell>
          <cell r="EX274">
            <v>42230</v>
          </cell>
          <cell r="EZ274">
            <v>42226</v>
          </cell>
          <cell r="FA274">
            <v>42216</v>
          </cell>
          <cell r="FB274">
            <v>42228</v>
          </cell>
          <cell r="FC274">
            <v>42216</v>
          </cell>
          <cell r="FU274">
            <v>42230</v>
          </cell>
          <cell r="FV274">
            <v>42210</v>
          </cell>
          <cell r="FW274">
            <v>42230</v>
          </cell>
          <cell r="FX274">
            <v>42216</v>
          </cell>
          <cell r="FY274" t="str">
            <v>GTL</v>
          </cell>
          <cell r="FZ274">
            <v>42213</v>
          </cell>
          <cell r="GA274">
            <v>42216</v>
          </cell>
          <cell r="GB274">
            <v>42219</v>
          </cell>
          <cell r="GC274">
            <v>42219</v>
          </cell>
          <cell r="GD274">
            <v>42219</v>
          </cell>
          <cell r="GE274">
            <v>42219</v>
          </cell>
          <cell r="GF274">
            <v>42220</v>
          </cell>
          <cell r="GG274">
            <v>42220</v>
          </cell>
          <cell r="GH274">
            <v>42220</v>
          </cell>
          <cell r="GI274">
            <v>42246</v>
          </cell>
          <cell r="GJ274" t="str">
            <v>36-2015</v>
          </cell>
          <cell r="GK274">
            <v>42220</v>
          </cell>
          <cell r="GL274" t="str">
            <v>TRX Ready</v>
          </cell>
          <cell r="GN274" t="str">
            <v>ERICSSON</v>
          </cell>
          <cell r="GQ274">
            <v>0</v>
          </cell>
          <cell r="HD274">
            <v>1</v>
          </cell>
        </row>
        <row r="275">
          <cell r="A275" t="str">
            <v>MD0502</v>
          </cell>
          <cell r="B275" t="str">
            <v>ANMD_0218</v>
          </cell>
          <cell r="C275" t="str">
            <v>Apollo</v>
          </cell>
          <cell r="D275" t="str">
            <v>Adriaan Coetsee</v>
          </cell>
          <cell r="F275" t="str">
            <v>Aung Thu Win</v>
          </cell>
          <cell r="G275" t="str">
            <v>May Sandar Kyaw</v>
          </cell>
          <cell r="H275" t="str">
            <v>WHITE</v>
          </cell>
          <cell r="I275" t="str">
            <v>North</v>
          </cell>
          <cell r="J275" t="str">
            <v>95.939199138</v>
          </cell>
          <cell r="K275" t="str">
            <v>20.828660767</v>
          </cell>
          <cell r="L275" t="str">
            <v>Rural</v>
          </cell>
          <cell r="M275" t="str">
            <v>Mandalay 2</v>
          </cell>
          <cell r="N275" t="str">
            <v>Meiktila</v>
          </cell>
          <cell r="O275" t="str">
            <v>Meiktila</v>
          </cell>
          <cell r="P275" t="str">
            <v>Mandalay 2</v>
          </cell>
          <cell r="Q275" t="str">
            <v>9</v>
          </cell>
          <cell r="R275" t="str">
            <v>Meiktila</v>
          </cell>
          <cell r="S275" t="str">
            <v>166</v>
          </cell>
          <cell r="T275" t="str">
            <v>GSM+UMTS</v>
          </cell>
          <cell r="W275" t="str">
            <v>Ph2-Priority</v>
          </cell>
          <cell r="X275" t="str">
            <v>45</v>
          </cell>
          <cell r="Y275" t="str">
            <v>45</v>
          </cell>
          <cell r="Z275" t="str">
            <v>GBT</v>
          </cell>
          <cell r="AA275" t="str">
            <v>500</v>
          </cell>
          <cell r="AB275" t="str">
            <v>Access</v>
          </cell>
          <cell r="AC275" t="str">
            <v>Class C</v>
          </cell>
          <cell r="BH275" t="str">
            <v>Camusat</v>
          </cell>
          <cell r="BJ275">
            <v>42168</v>
          </cell>
          <cell r="BK275">
            <v>42130</v>
          </cell>
          <cell r="BL275">
            <v>42173</v>
          </cell>
          <cell r="BM275">
            <v>42166</v>
          </cell>
          <cell r="BT275">
            <v>46</v>
          </cell>
          <cell r="BU275">
            <v>42171</v>
          </cell>
          <cell r="BV275">
            <v>42176</v>
          </cell>
          <cell r="BW275" t="str">
            <v>95.93146</v>
          </cell>
          <cell r="BX275" t="str">
            <v>20.8247</v>
          </cell>
          <cell r="BY275" t="str">
            <v>C1</v>
          </cell>
          <cell r="BZ275" t="str">
            <v>Nyaung Myint Village , Meikhtilar Township , Mandalay Division.</v>
          </cell>
          <cell r="CA275" t="str">
            <v>U Aung San Naing ;09-402505247</v>
          </cell>
          <cell r="CB275" t="str">
            <v>21JUn15: C1 SAR Sub</v>
          </cell>
          <cell r="CC275" t="str">
            <v>Village</v>
          </cell>
          <cell r="CE275">
            <v>1</v>
          </cell>
          <cell r="CF275">
            <v>42172</v>
          </cell>
          <cell r="CG275">
            <v>42177</v>
          </cell>
          <cell r="CH275">
            <v>42174</v>
          </cell>
          <cell r="CJ275">
            <v>42180</v>
          </cell>
          <cell r="CK275" t="str">
            <v>45</v>
          </cell>
          <cell r="CL275" t="str">
            <v>47</v>
          </cell>
          <cell r="CM275" t="str">
            <v>45</v>
          </cell>
          <cell r="CN275">
            <v>5</v>
          </cell>
          <cell r="CO275">
            <v>42177</v>
          </cell>
          <cell r="CP275">
            <v>42182</v>
          </cell>
          <cell r="CQ275" t="str">
            <v>M1: grid power + battery</v>
          </cell>
          <cell r="CR275">
            <v>3</v>
          </cell>
          <cell r="CS275">
            <v>42178</v>
          </cell>
          <cell r="CT275">
            <v>42185</v>
          </cell>
          <cell r="CU275" t="str">
            <v>MD0502</v>
          </cell>
          <cell r="DH275">
            <v>6</v>
          </cell>
          <cell r="DI275">
            <v>42188</v>
          </cell>
          <cell r="DJ275">
            <v>42191</v>
          </cell>
          <cell r="DK275">
            <v>42185</v>
          </cell>
          <cell r="DL275">
            <v>42187</v>
          </cell>
          <cell r="DM275">
            <v>42189</v>
          </cell>
          <cell r="DN275">
            <v>42194</v>
          </cell>
          <cell r="DO275">
            <v>0</v>
          </cell>
          <cell r="DP275">
            <v>42188</v>
          </cell>
          <cell r="DQ275">
            <v>42191</v>
          </cell>
          <cell r="DT275">
            <v>42</v>
          </cell>
          <cell r="DU275">
            <v>42203</v>
          </cell>
          <cell r="DW275">
            <v>0</v>
          </cell>
          <cell r="DY275">
            <v>42189</v>
          </cell>
          <cell r="DZ275">
            <v>42194</v>
          </cell>
          <cell r="EA275" t="str">
            <v>Camusat</v>
          </cell>
          <cell r="EI275" t="str">
            <v>M5: grid power + DG + battery      </v>
          </cell>
          <cell r="EJ275">
            <v>15</v>
          </cell>
          <cell r="EK275">
            <v>42206</v>
          </cell>
          <cell r="EL275">
            <v>42209</v>
          </cell>
          <cell r="EM275">
            <v>42207</v>
          </cell>
          <cell r="EN275">
            <v>42210</v>
          </cell>
          <cell r="EQ275">
            <v>42216</v>
          </cell>
          <cell r="ER275">
            <v>42219</v>
          </cell>
          <cell r="ES275">
            <v>42213</v>
          </cell>
          <cell r="ET275">
            <v>42219</v>
          </cell>
          <cell r="EU275">
            <v>42219</v>
          </cell>
          <cell r="EW275">
            <v>39</v>
          </cell>
          <cell r="EX275">
            <v>42230</v>
          </cell>
          <cell r="EZ275">
            <v>42226</v>
          </cell>
          <cell r="FA275">
            <v>42216</v>
          </cell>
          <cell r="FB275">
            <v>42228</v>
          </cell>
          <cell r="FC275">
            <v>42216</v>
          </cell>
          <cell r="FU275">
            <v>42230</v>
          </cell>
          <cell r="FW275">
            <v>42230</v>
          </cell>
          <cell r="FX275">
            <v>42222</v>
          </cell>
          <cell r="FY275" t="str">
            <v>TN</v>
          </cell>
          <cell r="FZ275">
            <v>42217</v>
          </cell>
          <cell r="GA275">
            <v>42221</v>
          </cell>
          <cell r="GB275">
            <v>42224</v>
          </cell>
          <cell r="GC275">
            <v>42224</v>
          </cell>
          <cell r="GD275">
            <v>42225</v>
          </cell>
          <cell r="GE275">
            <v>42228</v>
          </cell>
          <cell r="GF275">
            <v>42229</v>
          </cell>
          <cell r="GG275">
            <v>42230</v>
          </cell>
          <cell r="GH275">
            <v>42230</v>
          </cell>
          <cell r="GI275">
            <v>42246</v>
          </cell>
          <cell r="GJ275" t="str">
            <v>36-2015</v>
          </cell>
          <cell r="GK275">
            <v>42230</v>
          </cell>
          <cell r="GL275" t="str">
            <v>TCU Missing</v>
          </cell>
          <cell r="GN275" t="str">
            <v>ERICSSON</v>
          </cell>
          <cell r="GQ275">
            <v>0</v>
          </cell>
          <cell r="HD275">
            <v>1</v>
          </cell>
        </row>
        <row r="276">
          <cell r="A276" t="str">
            <v>MD0504</v>
          </cell>
          <cell r="B276" t="str">
            <v>ANMD_0219</v>
          </cell>
          <cell r="C276" t="str">
            <v>Apollo</v>
          </cell>
          <cell r="D276" t="str">
            <v>Adriaan Coetsee</v>
          </cell>
          <cell r="F276" t="str">
            <v>Aung Thu Win</v>
          </cell>
          <cell r="G276" t="str">
            <v>May Sandar Kyaw</v>
          </cell>
          <cell r="H276" t="str">
            <v>AMBER</v>
          </cell>
          <cell r="I276" t="str">
            <v>North</v>
          </cell>
          <cell r="J276" t="str">
            <v>96.0750748659999</v>
          </cell>
          <cell r="K276" t="str">
            <v>20.469960181</v>
          </cell>
          <cell r="L276" t="str">
            <v>Rural</v>
          </cell>
          <cell r="M276" t="str">
            <v>Mandalay 2</v>
          </cell>
          <cell r="N276" t="str">
            <v>Yamethin</v>
          </cell>
          <cell r="O276" t="str">
            <v>Yamethin</v>
          </cell>
          <cell r="P276" t="str">
            <v>Mandalay 2</v>
          </cell>
          <cell r="Q276" t="str">
            <v>9</v>
          </cell>
          <cell r="R276" t="str">
            <v>Yamethin</v>
          </cell>
          <cell r="S276" t="str">
            <v>164</v>
          </cell>
          <cell r="T276" t="str">
            <v>GSM+UMTS</v>
          </cell>
          <cell r="W276" t="str">
            <v>Ph2-Priority</v>
          </cell>
          <cell r="X276" t="str">
            <v>45</v>
          </cell>
          <cell r="Y276" t="str">
            <v>47</v>
          </cell>
          <cell r="Z276" t="str">
            <v>GBT</v>
          </cell>
          <cell r="AA276" t="str">
            <v>500</v>
          </cell>
          <cell r="AB276" t="str">
            <v>Access</v>
          </cell>
          <cell r="AC276" t="str">
            <v>Class C</v>
          </cell>
          <cell r="BH276" t="str">
            <v>Camusat</v>
          </cell>
          <cell r="BJ276">
            <v>42168</v>
          </cell>
          <cell r="BK276">
            <v>42150</v>
          </cell>
          <cell r="BL276">
            <v>42173</v>
          </cell>
          <cell r="BM276">
            <v>42157</v>
          </cell>
          <cell r="BT276">
            <v>17</v>
          </cell>
          <cell r="BU276">
            <v>42185</v>
          </cell>
          <cell r="BV276">
            <v>42167</v>
          </cell>
          <cell r="BW276" t="str">
            <v>96.072</v>
          </cell>
          <cell r="BX276" t="str">
            <v>20.46676</v>
          </cell>
          <cell r="BY276" t="str">
            <v>C1</v>
          </cell>
          <cell r="BZ276" t="str">
            <v>Katan Village, Yamethin Township</v>
          </cell>
          <cell r="CA276" t="str">
            <v>U Hla Phone;09-402718895</v>
          </cell>
          <cell r="CB276" t="str">
            <v>12Jun15: C1 SAR Sub</v>
          </cell>
          <cell r="CC276" t="str">
            <v>Residential</v>
          </cell>
          <cell r="CE276">
            <v>3</v>
          </cell>
          <cell r="CF276">
            <v>42186</v>
          </cell>
          <cell r="CG276">
            <v>42170</v>
          </cell>
          <cell r="CH276">
            <v>42188</v>
          </cell>
          <cell r="CJ276">
            <v>42180</v>
          </cell>
          <cell r="CK276" t="str">
            <v>45</v>
          </cell>
          <cell r="CL276" t="str">
            <v>47</v>
          </cell>
          <cell r="CM276" t="str">
            <v>50</v>
          </cell>
          <cell r="CN276">
            <v>12</v>
          </cell>
          <cell r="CO276">
            <v>42191</v>
          </cell>
          <cell r="CP276">
            <v>42182</v>
          </cell>
          <cell r="CQ276" t="str">
            <v>M1: grid power + battery</v>
          </cell>
          <cell r="CR276">
            <v>3</v>
          </cell>
          <cell r="CS276">
            <v>42192</v>
          </cell>
          <cell r="CT276">
            <v>42185</v>
          </cell>
          <cell r="CU276" t="str">
            <v>MD0504</v>
          </cell>
          <cell r="DH276">
            <v>48</v>
          </cell>
          <cell r="DI276">
            <v>42202</v>
          </cell>
          <cell r="DK276">
            <v>42199</v>
          </cell>
          <cell r="DL276">
            <v>42242</v>
          </cell>
          <cell r="DM276">
            <v>42203</v>
          </cell>
          <cell r="DO276">
            <v>0</v>
          </cell>
          <cell r="DP276">
            <v>42202</v>
          </cell>
          <cell r="DT276">
            <v>0</v>
          </cell>
          <cell r="DU276">
            <v>42217</v>
          </cell>
          <cell r="DW276">
            <v>0</v>
          </cell>
          <cell r="DY276">
            <v>42203</v>
          </cell>
          <cell r="DZ276">
            <v>42229</v>
          </cell>
          <cell r="EA276" t="str">
            <v>Camusat</v>
          </cell>
          <cell r="EJ276">
            <v>4</v>
          </cell>
          <cell r="EK276">
            <v>42220</v>
          </cell>
          <cell r="EM276">
            <v>42221</v>
          </cell>
          <cell r="EQ276">
            <v>42230</v>
          </cell>
          <cell r="EW276">
            <v>4</v>
          </cell>
          <cell r="EX276">
            <v>42244</v>
          </cell>
          <cell r="EZ276">
            <v>42240</v>
          </cell>
          <cell r="FB276">
            <v>42242</v>
          </cell>
          <cell r="FU276">
            <v>42244</v>
          </cell>
          <cell r="FW276">
            <v>42244</v>
          </cell>
          <cell r="FY276" t="str">
            <v>TN</v>
          </cell>
          <cell r="GI276">
            <v>42215</v>
          </cell>
          <cell r="GJ276">
            <v>0</v>
          </cell>
          <cell r="GN276" t="str">
            <v>ERICSSON</v>
          </cell>
          <cell r="HD276">
            <v>1</v>
          </cell>
        </row>
        <row r="277">
          <cell r="A277" t="str">
            <v>MD0505</v>
          </cell>
          <cell r="B277" t="str">
            <v>ANMD_0220</v>
          </cell>
          <cell r="C277" t="str">
            <v>Apollo</v>
          </cell>
          <cell r="D277" t="str">
            <v>Adriaan Coetsee</v>
          </cell>
          <cell r="E277" t="str">
            <v>Rommel Salamanca :09254439968</v>
          </cell>
          <cell r="F277" t="str">
            <v>Aung Thu Win</v>
          </cell>
          <cell r="G277" t="str">
            <v>Win Pa Kyi Myint</v>
          </cell>
          <cell r="H277" t="str">
            <v>RED</v>
          </cell>
          <cell r="I277" t="str">
            <v>North</v>
          </cell>
          <cell r="J277" t="str">
            <v>96.062674745</v>
          </cell>
          <cell r="K277" t="str">
            <v>22.775610776</v>
          </cell>
          <cell r="L277" t="str">
            <v>Rural</v>
          </cell>
          <cell r="M277" t="str">
            <v>Mandalay 1</v>
          </cell>
          <cell r="N277" t="str">
            <v>Thabeikkyin</v>
          </cell>
          <cell r="O277" t="str">
            <v>Thabeikkyin</v>
          </cell>
          <cell r="P277" t="str">
            <v>Mandalay 1</v>
          </cell>
          <cell r="Q277" t="str">
            <v>8</v>
          </cell>
          <cell r="R277" t="str">
            <v>Thabeikkyin</v>
          </cell>
          <cell r="S277" t="str">
            <v>153</v>
          </cell>
          <cell r="T277" t="str">
            <v>GSM+UMTS</v>
          </cell>
          <cell r="U277" t="str">
            <v>MON-N004</v>
          </cell>
          <cell r="V277" t="str">
            <v>5.2</v>
          </cell>
          <cell r="W277" t="str">
            <v>Ph2-Priority</v>
          </cell>
          <cell r="X277" t="str">
            <v>45</v>
          </cell>
          <cell r="Y277" t="str">
            <v>47</v>
          </cell>
          <cell r="Z277" t="str">
            <v>GBT</v>
          </cell>
          <cell r="AA277" t="str">
            <v>500</v>
          </cell>
          <cell r="AB277" t="str">
            <v>Access</v>
          </cell>
          <cell r="AC277" t="str">
            <v>Class C</v>
          </cell>
          <cell r="AD277" t="str">
            <v>925</v>
          </cell>
          <cell r="AE277" t="str">
            <v>935</v>
          </cell>
          <cell r="AF277" t="str">
            <v>5</v>
          </cell>
          <cell r="BC277" t="str">
            <v>MO0100</v>
          </cell>
          <cell r="BD277" t="str">
            <v>2</v>
          </cell>
          <cell r="BE277" t="str">
            <v>Route 2 Bago -Mawlamyine</v>
          </cell>
          <cell r="BF277">
            <v>42034</v>
          </cell>
          <cell r="BG277">
            <v>42108</v>
          </cell>
          <cell r="BH277" t="str">
            <v>Camusat</v>
          </cell>
          <cell r="BJ277">
            <v>42168</v>
          </cell>
          <cell r="BK277">
            <v>41712</v>
          </cell>
          <cell r="BL277">
            <v>42173</v>
          </cell>
          <cell r="BM277">
            <v>41719</v>
          </cell>
          <cell r="BQ277" t="str">
            <v>Railway</v>
          </cell>
          <cell r="BT277">
            <v>320</v>
          </cell>
          <cell r="BU277">
            <v>42226</v>
          </cell>
          <cell r="BV277">
            <v>42032</v>
          </cell>
          <cell r="BW277" t="str">
            <v>97.38287977</v>
          </cell>
          <cell r="BX277" t="str">
            <v>16.78890822</v>
          </cell>
          <cell r="BY277" t="str">
            <v>C8</v>
          </cell>
          <cell r="BZ277" t="str">
            <v>No.[141] Myat Lay Chaung St. (14)Ward,Yinnyein,Village, Pound Township,Mon State.</v>
          </cell>
          <cell r="CA277" t="str">
            <v>U Tin Phay;No.(141),Myat Lay Chaung Str,(14)Ward,Pound Township;09-255824659</v>
          </cell>
          <cell r="CB277" t="str">
            <v>17 July 15:C8 TSSR updated checklist given from E// because of adding new links at TND 's ends; 29 June 15 : C8 SAR , TSSR sub and approval date taken from 10 May 15 Tracker because Gourav  said (the CW for the C8 candidate which was approved earlier as a phase 1 site, this site was later transferred to phase -2 and Owner backout is old comment, Owner (U Tin Phay) is already paid on June 19th and CW has started on site. We are building 60m tower on this site.);11may15: C8 owner Backout. 28Jan15: C8 Rev SAR Sub due to coordinate change. 12 Jan 15 : C8 SAR approved as an option 5(RND approved with 55m / 60m GBT as priority 5;MW antenna height for MO0100_C08 must be 65M in minimum for excess LOS clearance. If not we'll reject this site) and already informed  to  Apollo and  need to make a special order for that tower type; 9 Jan 15: C8 SAR Submitted; 30 Dec 14 : C7 SAR rejected(TND rejected for LOS clearance is very low in hilly regions. Propose new location (16.79471,97.38919722) for MO0100.);  29Dec14:C7 SAR Sub. 2Dec14: C5, C6 SAR Rejected. 1Dec14: C5 &amp; C6 New SAR; 03Oct14: Cleaned up due to Re-Hunt, prev C3;</v>
          </cell>
          <cell r="CE277">
            <v>0</v>
          </cell>
          <cell r="CF277">
            <v>42227</v>
          </cell>
          <cell r="CG277">
            <v>42033</v>
          </cell>
          <cell r="CH277">
            <v>42229</v>
          </cell>
          <cell r="CJ277">
            <v>42035</v>
          </cell>
          <cell r="CK277" t="str">
            <v>58</v>
          </cell>
          <cell r="CL277" t="str">
            <v>62</v>
          </cell>
          <cell r="CM277" t="str">
            <v>60</v>
          </cell>
          <cell r="CN277">
            <v>0</v>
          </cell>
          <cell r="CO277">
            <v>42232</v>
          </cell>
          <cell r="CP277">
            <v>42037</v>
          </cell>
          <cell r="CQ277" t="str">
            <v>M1: grid power + battery</v>
          </cell>
          <cell r="CR277">
            <v>0</v>
          </cell>
          <cell r="CS277">
            <v>42233</v>
          </cell>
          <cell r="CT277">
            <v>42038</v>
          </cell>
          <cell r="CU277" t="str">
            <v>MD0505</v>
          </cell>
          <cell r="DH277">
            <v>0</v>
          </cell>
          <cell r="DI277">
            <v>42243</v>
          </cell>
          <cell r="DJ277">
            <v>42157</v>
          </cell>
          <cell r="DK277">
            <v>42240</v>
          </cell>
          <cell r="DL277">
            <v>42174</v>
          </cell>
          <cell r="DM277">
            <v>42244</v>
          </cell>
          <cell r="DN277">
            <v>42174</v>
          </cell>
          <cell r="DO277">
            <v>0</v>
          </cell>
          <cell r="DP277">
            <v>42243</v>
          </cell>
          <cell r="DQ277">
            <v>42157</v>
          </cell>
          <cell r="DT277">
            <v>0</v>
          </cell>
          <cell r="DU277">
            <v>42258</v>
          </cell>
          <cell r="DW277">
            <v>0</v>
          </cell>
          <cell r="DY277">
            <v>42244</v>
          </cell>
          <cell r="DZ277">
            <v>42175</v>
          </cell>
          <cell r="EA277" t="str">
            <v>Camusat</v>
          </cell>
          <cell r="ED277" t="str">
            <v xml:space="preserve">17Aug15 :ThantZin.Oo: 12/8/15 : Fencing work in progress . Site is on-air .
</v>
          </cell>
          <cell r="EE277" t="str">
            <v xml:space="preserve">10 Aug 15:Rain affected_Progress affected; 31-Jul-15:Pending tower erection &amp; all area surrounding site is flooded,muddy access road and heavy rain -slow progress								</v>
          </cell>
          <cell r="EJ277">
            <v>0</v>
          </cell>
          <cell r="EK277">
            <v>42261</v>
          </cell>
          <cell r="EL277">
            <v>42200</v>
          </cell>
          <cell r="EM277">
            <v>42262</v>
          </cell>
          <cell r="EN277">
            <v>42205</v>
          </cell>
          <cell r="EQ277">
            <v>42271</v>
          </cell>
          <cell r="ER277">
            <v>42219</v>
          </cell>
          <cell r="ES277">
            <v>42219</v>
          </cell>
          <cell r="ET277">
            <v>42221</v>
          </cell>
          <cell r="EU277">
            <v>42221</v>
          </cell>
          <cell r="EW277">
            <v>0</v>
          </cell>
          <cell r="EX277">
            <v>42285</v>
          </cell>
          <cell r="EZ277">
            <v>42281</v>
          </cell>
          <cell r="FA277">
            <v>42224</v>
          </cell>
          <cell r="FB277">
            <v>42283</v>
          </cell>
          <cell r="FC277">
            <v>42226</v>
          </cell>
          <cell r="FD277">
            <v>41931</v>
          </cell>
          <cell r="FE277">
            <v>42193</v>
          </cell>
          <cell r="FF277">
            <v>41938</v>
          </cell>
          <cell r="FH277">
            <v>41940</v>
          </cell>
          <cell r="FJ277">
            <v>41943</v>
          </cell>
          <cell r="FN277">
            <v>41947</v>
          </cell>
          <cell r="FP277">
            <v>41949</v>
          </cell>
          <cell r="FR277">
            <v>41963</v>
          </cell>
          <cell r="FU277">
            <v>42285</v>
          </cell>
          <cell r="FW277">
            <v>42285</v>
          </cell>
          <cell r="FX277">
            <v>42226</v>
          </cell>
          <cell r="FY277" t="str">
            <v>CFVL</v>
          </cell>
          <cell r="FZ277">
            <v>42202</v>
          </cell>
          <cell r="GA277">
            <v>42206</v>
          </cell>
          <cell r="GB277">
            <v>42223</v>
          </cell>
          <cell r="GC277">
            <v>42223</v>
          </cell>
          <cell r="GD277">
            <v>42225</v>
          </cell>
          <cell r="GE277">
            <v>42225</v>
          </cell>
          <cell r="GF277">
            <v>42227</v>
          </cell>
          <cell r="GG277">
            <v>42227</v>
          </cell>
          <cell r="GH277">
            <v>42227</v>
          </cell>
          <cell r="GI277">
            <v>42215</v>
          </cell>
          <cell r="GJ277">
            <v>0</v>
          </cell>
          <cell r="GK277">
            <v>42227</v>
          </cell>
          <cell r="GN277" t="str">
            <v>ERICSSON</v>
          </cell>
          <cell r="GO277">
            <v>41758</v>
          </cell>
          <cell r="GP277">
            <v>42206</v>
          </cell>
          <cell r="GU277" t="str">
            <v xml:space="preserve">		</v>
          </cell>
          <cell r="HD277">
            <v>1</v>
          </cell>
        </row>
        <row r="278">
          <cell r="A278" t="str">
            <v>MD0507</v>
          </cell>
          <cell r="B278" t="str">
            <v>ANMD_0221</v>
          </cell>
          <cell r="C278" t="str">
            <v>Apollo</v>
          </cell>
          <cell r="D278" t="str">
            <v>Adriaan Coetsee</v>
          </cell>
          <cell r="F278" t="str">
            <v>Aung Thu Win</v>
          </cell>
          <cell r="G278" t="str">
            <v>Win Pa Kyi Myint</v>
          </cell>
          <cell r="H278" t="str">
            <v>RED</v>
          </cell>
          <cell r="I278" t="str">
            <v>North</v>
          </cell>
          <cell r="J278" t="str">
            <v>96.0799819999999</v>
          </cell>
          <cell r="K278" t="str">
            <v>22.449022</v>
          </cell>
          <cell r="L278" t="str">
            <v>Rural</v>
          </cell>
          <cell r="M278" t="str">
            <v>Mandalay 1</v>
          </cell>
          <cell r="N278" t="str">
            <v>Singu</v>
          </cell>
          <cell r="O278" t="str">
            <v>Singu</v>
          </cell>
          <cell r="P278" t="str">
            <v>Mandalay 1</v>
          </cell>
          <cell r="Q278" t="str">
            <v>8</v>
          </cell>
          <cell r="R278" t="str">
            <v>Singu</v>
          </cell>
          <cell r="S278" t="str">
            <v>151</v>
          </cell>
          <cell r="T278" t="str">
            <v>GSM+UMTS</v>
          </cell>
          <cell r="W278" t="str">
            <v>Ph2-Priority</v>
          </cell>
          <cell r="X278" t="str">
            <v>45</v>
          </cell>
          <cell r="Y278" t="str">
            <v>47</v>
          </cell>
          <cell r="Z278" t="str">
            <v>GBT</v>
          </cell>
          <cell r="AA278" t="str">
            <v>500</v>
          </cell>
          <cell r="AB278" t="str">
            <v>Access</v>
          </cell>
          <cell r="AC278" t="str">
            <v>Class C</v>
          </cell>
          <cell r="BH278" t="str">
            <v>Camusat</v>
          </cell>
          <cell r="BJ278">
            <v>42168</v>
          </cell>
          <cell r="BK278">
            <v>42167</v>
          </cell>
          <cell r="BL278">
            <v>42173</v>
          </cell>
          <cell r="BM278">
            <v>42174</v>
          </cell>
          <cell r="BT278">
            <v>34</v>
          </cell>
          <cell r="BU278">
            <v>42226</v>
          </cell>
          <cell r="BV278">
            <v>42200</v>
          </cell>
          <cell r="BW278" t="str">
            <v>96.07887</v>
          </cell>
          <cell r="BX278" t="str">
            <v>22.4466</v>
          </cell>
          <cell r="BY278" t="str">
            <v>C1</v>
          </cell>
          <cell r="BZ278" t="str">
            <v>Shwe Pyi Village, Sintguu Township, Pyin Oo Lwin District, Mandalay Division</v>
          </cell>
          <cell r="CA278" t="str">
            <v>Daw Win Myint Aye</v>
          </cell>
          <cell r="CB278" t="str">
            <v>16 July 15 :C1-SAR submission</v>
          </cell>
          <cell r="CC278" t="str">
            <v>Village</v>
          </cell>
          <cell r="CE278">
            <v>2</v>
          </cell>
          <cell r="CF278">
            <v>42227</v>
          </cell>
          <cell r="CG278">
            <v>42202</v>
          </cell>
          <cell r="CH278">
            <v>42229</v>
          </cell>
          <cell r="CJ278">
            <v>42217</v>
          </cell>
          <cell r="CK278" t="str">
            <v>45</v>
          </cell>
          <cell r="CL278" t="str">
            <v>47</v>
          </cell>
          <cell r="CM278" t="str">
            <v>50</v>
          </cell>
          <cell r="CN278">
            <v>17</v>
          </cell>
          <cell r="CO278">
            <v>42232</v>
          </cell>
          <cell r="CP278">
            <v>42219</v>
          </cell>
          <cell r="CQ278" t="str">
            <v>M1: grid power + battery</v>
          </cell>
          <cell r="CR278">
            <v>2</v>
          </cell>
          <cell r="CS278">
            <v>42233</v>
          </cell>
          <cell r="CT278">
            <v>42221</v>
          </cell>
          <cell r="CU278" t="str">
            <v>MD0507</v>
          </cell>
          <cell r="DH278">
            <v>12</v>
          </cell>
          <cell r="DI278">
            <v>42243</v>
          </cell>
          <cell r="DJ278">
            <v>42245</v>
          </cell>
          <cell r="DK278">
            <v>42240</v>
          </cell>
          <cell r="DM278">
            <v>42244</v>
          </cell>
          <cell r="DO278">
            <v>0</v>
          </cell>
          <cell r="DP278">
            <v>42243</v>
          </cell>
          <cell r="DQ278">
            <v>42245</v>
          </cell>
          <cell r="DT278">
            <v>0</v>
          </cell>
          <cell r="DU278">
            <v>42258</v>
          </cell>
          <cell r="DV278">
            <v>42248</v>
          </cell>
          <cell r="DW278">
            <v>0</v>
          </cell>
          <cell r="DY278">
            <v>42244</v>
          </cell>
          <cell r="DZ278">
            <v>42242</v>
          </cell>
          <cell r="EA278" t="str">
            <v>Camusat</v>
          </cell>
          <cell r="EJ278">
            <v>0</v>
          </cell>
          <cell r="EK278">
            <v>42261</v>
          </cell>
          <cell r="EM278">
            <v>42262</v>
          </cell>
          <cell r="EQ278">
            <v>42271</v>
          </cell>
          <cell r="EW278">
            <v>0</v>
          </cell>
          <cell r="EX278">
            <v>42285</v>
          </cell>
          <cell r="EZ278">
            <v>42281</v>
          </cell>
          <cell r="FB278">
            <v>42283</v>
          </cell>
          <cell r="FU278">
            <v>42285</v>
          </cell>
          <cell r="FW278">
            <v>42285</v>
          </cell>
          <cell r="GF278">
            <v>42204</v>
          </cell>
          <cell r="GI278">
            <v>42215</v>
          </cell>
          <cell r="GJ278">
            <v>0</v>
          </cell>
          <cell r="GN278" t="str">
            <v>ERICSSON</v>
          </cell>
          <cell r="HD278">
            <v>1</v>
          </cell>
        </row>
        <row r="279">
          <cell r="A279" t="str">
            <v>MD0508</v>
          </cell>
          <cell r="B279" t="str">
            <v>ANMD_0222</v>
          </cell>
          <cell r="C279" t="str">
            <v>Apollo</v>
          </cell>
          <cell r="D279" t="str">
            <v>Adriaan Coetsee</v>
          </cell>
          <cell r="F279" t="str">
            <v>Aung Thu Win</v>
          </cell>
          <cell r="G279" t="str">
            <v>Win Pa Kyi Myint</v>
          </cell>
          <cell r="H279" t="str">
            <v>AMBER</v>
          </cell>
          <cell r="I279" t="str">
            <v>North</v>
          </cell>
          <cell r="J279" t="str">
            <v>96.020983</v>
          </cell>
          <cell r="K279" t="str">
            <v>22.493359</v>
          </cell>
          <cell r="L279" t="str">
            <v>Rural</v>
          </cell>
          <cell r="M279" t="str">
            <v>Mandalay 1</v>
          </cell>
          <cell r="N279" t="str">
            <v>Singu</v>
          </cell>
          <cell r="O279" t="str">
            <v>Singu</v>
          </cell>
          <cell r="P279" t="str">
            <v>Mandalay 1</v>
          </cell>
          <cell r="Q279" t="str">
            <v>8</v>
          </cell>
          <cell r="R279" t="str">
            <v>Singu</v>
          </cell>
          <cell r="S279" t="str">
            <v>151</v>
          </cell>
          <cell r="T279" t="str">
            <v>GSM+UMTS</v>
          </cell>
          <cell r="W279" t="str">
            <v>Ph2-Priority</v>
          </cell>
          <cell r="X279" t="str">
            <v>45</v>
          </cell>
          <cell r="Y279" t="str">
            <v>45</v>
          </cell>
          <cell r="Z279" t="str">
            <v>GBT</v>
          </cell>
          <cell r="AA279" t="str">
            <v>500</v>
          </cell>
          <cell r="AB279" t="str">
            <v>Access</v>
          </cell>
          <cell r="AC279" t="str">
            <v>Class C</v>
          </cell>
          <cell r="BH279" t="str">
            <v>Camusat</v>
          </cell>
          <cell r="BJ279">
            <v>42168</v>
          </cell>
          <cell r="BK279">
            <v>42130</v>
          </cell>
          <cell r="BL279">
            <v>42173</v>
          </cell>
          <cell r="BM279">
            <v>42151</v>
          </cell>
          <cell r="BT279">
            <v>31</v>
          </cell>
          <cell r="BU279">
            <v>42195</v>
          </cell>
          <cell r="BV279">
            <v>42161</v>
          </cell>
          <cell r="BW279" t="str">
            <v>96.02093</v>
          </cell>
          <cell r="BX279" t="str">
            <v>22.49352</v>
          </cell>
          <cell r="BY279" t="str">
            <v>C1</v>
          </cell>
          <cell r="BZ279" t="str">
            <v>Doe Pin Kone Village,Sintgu Township, Mandalay.</v>
          </cell>
          <cell r="CA279" t="str">
            <v>U Win Myint Maw;Sintgu Township, Sae Gyi Group, Doe Pin Kone Village;9256005619</v>
          </cell>
          <cell r="CB279" t="str">
            <v>6Jun15: C1 SAR Sub</v>
          </cell>
          <cell r="CC279" t="str">
            <v>Residential</v>
          </cell>
          <cell r="CE279">
            <v>2</v>
          </cell>
          <cell r="CF279">
            <v>42196</v>
          </cell>
          <cell r="CG279">
            <v>42163</v>
          </cell>
          <cell r="CH279">
            <v>42198</v>
          </cell>
          <cell r="CJ279">
            <v>42167</v>
          </cell>
          <cell r="CK279" t="str">
            <v>45</v>
          </cell>
          <cell r="CL279" t="str">
            <v>47</v>
          </cell>
          <cell r="CM279" t="str">
            <v>47</v>
          </cell>
          <cell r="CN279">
            <v>6</v>
          </cell>
          <cell r="CO279">
            <v>42201</v>
          </cell>
          <cell r="CP279">
            <v>42169</v>
          </cell>
          <cell r="CQ279" t="str">
            <v>M4: solar + DG + battery</v>
          </cell>
          <cell r="CR279">
            <v>1</v>
          </cell>
          <cell r="CS279">
            <v>42202</v>
          </cell>
          <cell r="CT279">
            <v>42170</v>
          </cell>
          <cell r="CU279" t="str">
            <v>MD0508</v>
          </cell>
          <cell r="DH279">
            <v>16</v>
          </cell>
          <cell r="DI279">
            <v>42212</v>
          </cell>
          <cell r="DJ279">
            <v>42186</v>
          </cell>
          <cell r="DK279">
            <v>42209</v>
          </cell>
          <cell r="DL279">
            <v>42179</v>
          </cell>
          <cell r="DM279">
            <v>42213</v>
          </cell>
          <cell r="DN279">
            <v>42189</v>
          </cell>
          <cell r="DO279">
            <v>1</v>
          </cell>
          <cell r="DP279">
            <v>42212</v>
          </cell>
          <cell r="DQ279">
            <v>42187</v>
          </cell>
          <cell r="DT279">
            <v>46</v>
          </cell>
          <cell r="DU279">
            <v>42227</v>
          </cell>
          <cell r="DV279">
            <v>42248</v>
          </cell>
          <cell r="DW279">
            <v>0</v>
          </cell>
          <cell r="DY279">
            <v>42213</v>
          </cell>
          <cell r="DZ279">
            <v>42189</v>
          </cell>
          <cell r="EA279" t="str">
            <v>Camusat</v>
          </cell>
          <cell r="EB279">
            <v>42211</v>
          </cell>
          <cell r="EE279" t="str">
            <v xml:space="preserve">10 Aug 15:Flood affected_Hold-No access; 26-Jul-15: Flooded access or site is flooded_ we canÆt proceed to this site. For now								</v>
          </cell>
          <cell r="EJ279">
            <v>44</v>
          </cell>
          <cell r="EK279">
            <v>42230</v>
          </cell>
          <cell r="EM279">
            <v>42231</v>
          </cell>
          <cell r="EQ279">
            <v>42240</v>
          </cell>
          <cell r="EW279">
            <v>44</v>
          </cell>
          <cell r="EX279">
            <v>42215</v>
          </cell>
          <cell r="EZ279">
            <v>42250</v>
          </cell>
          <cell r="FB279">
            <v>42252</v>
          </cell>
          <cell r="FU279">
            <v>42254</v>
          </cell>
          <cell r="FW279">
            <v>42254</v>
          </cell>
          <cell r="GI279">
            <v>42215</v>
          </cell>
          <cell r="GJ279" t="str">
            <v>40-2015</v>
          </cell>
          <cell r="GN279" t="str">
            <v>ERICSSON</v>
          </cell>
          <cell r="GU279" t="str">
            <v xml:space="preserve">		</v>
          </cell>
          <cell r="HD279">
            <v>1</v>
          </cell>
        </row>
        <row r="280">
          <cell r="A280" t="str">
            <v>MD0520</v>
          </cell>
          <cell r="B280" t="str">
            <v>ANMD_0223</v>
          </cell>
          <cell r="C280" t="str">
            <v>Apollo</v>
          </cell>
          <cell r="D280" t="str">
            <v>Adriaan Coetsee</v>
          </cell>
          <cell r="F280" t="str">
            <v>Aung Thu Win</v>
          </cell>
          <cell r="G280" t="str">
            <v>May Sandar Kyaw</v>
          </cell>
          <cell r="H280" t="str">
            <v>AMBER</v>
          </cell>
          <cell r="I280" t="str">
            <v>North</v>
          </cell>
          <cell r="J280" t="str">
            <v>95.10123</v>
          </cell>
          <cell r="K280" t="str">
            <v>20.866218</v>
          </cell>
          <cell r="L280" t="str">
            <v>Rural</v>
          </cell>
          <cell r="M280" t="str">
            <v>Mandalay 2</v>
          </cell>
          <cell r="N280" t="str">
            <v>Kyaukpadaung</v>
          </cell>
          <cell r="O280" t="str">
            <v>Kyaukpadaung</v>
          </cell>
          <cell r="P280" t="str">
            <v>Mandalay 2</v>
          </cell>
          <cell r="Q280" t="str">
            <v>9</v>
          </cell>
          <cell r="R280" t="str">
            <v>Kyaukpadaung</v>
          </cell>
          <cell r="S280" t="str">
            <v>161</v>
          </cell>
          <cell r="T280" t="str">
            <v>GSM+UMTS</v>
          </cell>
          <cell r="W280" t="str">
            <v>Ph2-Priority</v>
          </cell>
          <cell r="X280" t="str">
            <v>45</v>
          </cell>
          <cell r="Y280" t="str">
            <v>45</v>
          </cell>
          <cell r="Z280" t="str">
            <v>GBT</v>
          </cell>
          <cell r="AA280" t="str">
            <v>500</v>
          </cell>
          <cell r="AB280" t="str">
            <v>Access</v>
          </cell>
          <cell r="AC280" t="str">
            <v>Class C</v>
          </cell>
          <cell r="BE280" t="str">
            <v>Route 3 Thaton-Myawaddy</v>
          </cell>
          <cell r="BH280" t="str">
            <v>Camusat</v>
          </cell>
          <cell r="BJ280">
            <v>42168</v>
          </cell>
          <cell r="BK280">
            <v>42130</v>
          </cell>
          <cell r="BL280">
            <v>42173</v>
          </cell>
          <cell r="BM280">
            <v>42157</v>
          </cell>
          <cell r="BT280">
            <v>37</v>
          </cell>
          <cell r="BU280">
            <v>42171</v>
          </cell>
          <cell r="BV280">
            <v>42167</v>
          </cell>
          <cell r="BW280" t="str">
            <v>95.09595</v>
          </cell>
          <cell r="BX280" t="str">
            <v>20.86475</v>
          </cell>
          <cell r="BY280" t="str">
            <v>C1</v>
          </cell>
          <cell r="BZ280" t="str">
            <v>Ywa Owe Village, Tagna Ywa Village Track, Kyaukpadaung Township.</v>
          </cell>
          <cell r="CA280" t="str">
            <v>U Hla Myaing,09-794555900</v>
          </cell>
          <cell r="CB280" t="str">
            <v>12Jun15: C1 SAR Sub</v>
          </cell>
          <cell r="CC280" t="str">
            <v>GARDEN LAND</v>
          </cell>
          <cell r="CE280">
            <v>3</v>
          </cell>
          <cell r="CF280">
            <v>42172</v>
          </cell>
          <cell r="CG280">
            <v>42170</v>
          </cell>
          <cell r="CH280">
            <v>42174</v>
          </cell>
          <cell r="CJ280">
            <v>42179</v>
          </cell>
          <cell r="CK280" t="str">
            <v>45</v>
          </cell>
          <cell r="CL280" t="str">
            <v>47</v>
          </cell>
          <cell r="CM280" t="str">
            <v>45</v>
          </cell>
          <cell r="CN280">
            <v>11</v>
          </cell>
          <cell r="CO280">
            <v>42177</v>
          </cell>
          <cell r="CP280">
            <v>42181</v>
          </cell>
          <cell r="CQ280" t="str">
            <v>M1: grid power + battery</v>
          </cell>
          <cell r="CR280">
            <v>3</v>
          </cell>
          <cell r="CS280">
            <v>42178</v>
          </cell>
          <cell r="CT280">
            <v>42184</v>
          </cell>
          <cell r="CU280" t="str">
            <v>MD0520</v>
          </cell>
          <cell r="DH280">
            <v>7</v>
          </cell>
          <cell r="DI280">
            <v>42188</v>
          </cell>
          <cell r="DJ280">
            <v>42191</v>
          </cell>
          <cell r="DK280">
            <v>42185</v>
          </cell>
          <cell r="DL280">
            <v>42179</v>
          </cell>
          <cell r="DM280">
            <v>42189</v>
          </cell>
          <cell r="DN280">
            <v>42200</v>
          </cell>
          <cell r="DO280">
            <v>0</v>
          </cell>
          <cell r="DP280">
            <v>42188</v>
          </cell>
          <cell r="DQ280">
            <v>42191</v>
          </cell>
          <cell r="DT280">
            <v>42</v>
          </cell>
          <cell r="DU280">
            <v>42203</v>
          </cell>
          <cell r="DW280">
            <v>0</v>
          </cell>
          <cell r="DY280">
            <v>42189</v>
          </cell>
          <cell r="DZ280">
            <v>42194</v>
          </cell>
          <cell r="EA280" t="str">
            <v>Camusat</v>
          </cell>
          <cell r="EE280" t="str">
            <v xml:space="preserve">10 Aug 15:Rain affected_Progress affected; 3-Aug-15: Rain affected_ Site is progressing but rain is affecting the work every day.  Lean concrete done and rebars to proceed								</v>
          </cell>
          <cell r="EJ280">
            <v>39</v>
          </cell>
          <cell r="EK280">
            <v>42206</v>
          </cell>
          <cell r="EL280">
            <v>42243</v>
          </cell>
          <cell r="EM280">
            <v>42207</v>
          </cell>
          <cell r="EQ280">
            <v>42216</v>
          </cell>
          <cell r="EW280">
            <v>39</v>
          </cell>
          <cell r="EX280">
            <v>42230</v>
          </cell>
          <cell r="EZ280">
            <v>42226</v>
          </cell>
          <cell r="FB280">
            <v>42228</v>
          </cell>
          <cell r="FU280">
            <v>42230</v>
          </cell>
          <cell r="FW280">
            <v>42230</v>
          </cell>
          <cell r="FY280" t="str">
            <v>GTL</v>
          </cell>
          <cell r="GI280">
            <v>42307</v>
          </cell>
          <cell r="GJ280" t="str">
            <v>44-2015</v>
          </cell>
          <cell r="GN280" t="str">
            <v>ERICSSON</v>
          </cell>
          <cell r="GO280">
            <v>42185</v>
          </cell>
          <cell r="GS280" t="str">
            <v>4/4/4</v>
          </cell>
          <cell r="GU280" t="str">
            <v xml:space="preserve">		</v>
          </cell>
          <cell r="HD280">
            <v>1</v>
          </cell>
        </row>
        <row r="281">
          <cell r="A281" t="str">
            <v>MD0523</v>
          </cell>
          <cell r="B281" t="str">
            <v>ANMD_0224</v>
          </cell>
          <cell r="C281" t="str">
            <v>Apollo</v>
          </cell>
          <cell r="D281" t="str">
            <v>Adriaan Coetsee</v>
          </cell>
          <cell r="F281" t="str">
            <v>Aung Thu Win</v>
          </cell>
          <cell r="G281" t="str">
            <v>Win Pa Kyi Myint</v>
          </cell>
          <cell r="H281" t="str">
            <v>YELLOW</v>
          </cell>
          <cell r="I281" t="str">
            <v>North</v>
          </cell>
          <cell r="J281" t="str">
            <v>96.451243</v>
          </cell>
          <cell r="K281" t="str">
            <v>22.982889</v>
          </cell>
          <cell r="L281" t="str">
            <v>Rural</v>
          </cell>
          <cell r="M281" t="str">
            <v>Mandalay 1</v>
          </cell>
          <cell r="N281" t="str">
            <v>Mogoke</v>
          </cell>
          <cell r="O281" t="str">
            <v>Mogoke</v>
          </cell>
          <cell r="P281" t="str">
            <v>Mandalay 1</v>
          </cell>
          <cell r="Q281" t="str">
            <v>8</v>
          </cell>
          <cell r="R281" t="str">
            <v>Mogoke</v>
          </cell>
          <cell r="S281" t="str">
            <v>152</v>
          </cell>
          <cell r="T281" t="str">
            <v>GSM+UMTS</v>
          </cell>
          <cell r="W281" t="str">
            <v>Ph2-Priority</v>
          </cell>
          <cell r="X281" t="str">
            <v>45</v>
          </cell>
          <cell r="Y281" t="str">
            <v>47</v>
          </cell>
          <cell r="Z281" t="str">
            <v>GBT</v>
          </cell>
          <cell r="AA281" t="str">
            <v>500</v>
          </cell>
          <cell r="AB281" t="str">
            <v>Access</v>
          </cell>
          <cell r="AC281" t="str">
            <v>Class C</v>
          </cell>
          <cell r="BE281" t="str">
            <v>Route 10 Mandalay - Myitkyina</v>
          </cell>
          <cell r="BH281" t="str">
            <v>Camusat</v>
          </cell>
          <cell r="BJ281">
            <v>42168</v>
          </cell>
          <cell r="BK281">
            <v>42139</v>
          </cell>
          <cell r="BL281">
            <v>42173</v>
          </cell>
          <cell r="BM281">
            <v>42146</v>
          </cell>
          <cell r="BT281">
            <v>17</v>
          </cell>
          <cell r="BU281">
            <v>42256</v>
          </cell>
          <cell r="BV281">
            <v>42156</v>
          </cell>
          <cell r="BW281" t="str">
            <v>96.450001</v>
          </cell>
          <cell r="BX281" t="str">
            <v>22.98351</v>
          </cell>
          <cell r="BY281" t="str">
            <v>C1</v>
          </cell>
          <cell r="BZ281" t="str">
            <v>LeshawLae Oo Village , Moegoke Township Mandalay Diision.</v>
          </cell>
          <cell r="CA281" t="str">
            <v>U Khin Mg;AutPanLin Village, LeshawLae_U Village Group, Moegoke Township;09-47117248, 09-91055049</v>
          </cell>
          <cell r="CB281" t="str">
            <v>1 June 15 : C1 SAR approved as an option 1 and C2 SAR approved as an option 2.</v>
          </cell>
          <cell r="CE281">
            <v>0</v>
          </cell>
          <cell r="CF281">
            <v>42257</v>
          </cell>
          <cell r="CG281">
            <v>42156</v>
          </cell>
          <cell r="CH281">
            <v>42259</v>
          </cell>
          <cell r="CJ281">
            <v>42161</v>
          </cell>
          <cell r="CK281" t="str">
            <v>45</v>
          </cell>
          <cell r="CL281" t="str">
            <v>47</v>
          </cell>
          <cell r="CM281" t="str">
            <v>50</v>
          </cell>
          <cell r="CN281">
            <v>7</v>
          </cell>
          <cell r="CO281">
            <v>42262</v>
          </cell>
          <cell r="CP281">
            <v>42163</v>
          </cell>
          <cell r="CQ281" t="str">
            <v>M4: solar + DG + battery</v>
          </cell>
          <cell r="CR281">
            <v>2</v>
          </cell>
          <cell r="CS281">
            <v>42263</v>
          </cell>
          <cell r="CT281">
            <v>42165</v>
          </cell>
          <cell r="CU281" t="str">
            <v>MD0523</v>
          </cell>
          <cell r="DH281">
            <v>13</v>
          </cell>
          <cell r="DI281">
            <v>42273</v>
          </cell>
          <cell r="DJ281">
            <v>42178</v>
          </cell>
          <cell r="DK281">
            <v>42270</v>
          </cell>
          <cell r="DL281">
            <v>42168</v>
          </cell>
          <cell r="DM281">
            <v>42274</v>
          </cell>
          <cell r="DN281">
            <v>42182</v>
          </cell>
          <cell r="DO281">
            <v>0</v>
          </cell>
          <cell r="DP281">
            <v>42273</v>
          </cell>
          <cell r="DQ281">
            <v>42178</v>
          </cell>
          <cell r="DT281">
            <v>21</v>
          </cell>
          <cell r="DU281">
            <v>42288</v>
          </cell>
          <cell r="DV281">
            <v>42199</v>
          </cell>
          <cell r="DW281">
            <v>-17</v>
          </cell>
          <cell r="DY281">
            <v>42274</v>
          </cell>
          <cell r="DZ281">
            <v>42182</v>
          </cell>
          <cell r="EA281" t="str">
            <v>Camusat</v>
          </cell>
          <cell r="EB281">
            <v>42217</v>
          </cell>
          <cell r="EE281" t="str">
            <v xml:space="preserve">10 Aug 15:Flood affected_Hold-No access; 1-Aug-15: Flooded access or site is flooded_ we canÆt proceed to this site for now								</v>
          </cell>
          <cell r="EJ281">
            <v>44</v>
          </cell>
          <cell r="EK281">
            <v>42291</v>
          </cell>
          <cell r="EL281">
            <v>42226</v>
          </cell>
          <cell r="EM281">
            <v>42292</v>
          </cell>
          <cell r="EN281">
            <v>42238</v>
          </cell>
          <cell r="EQ281">
            <v>42301</v>
          </cell>
          <cell r="ER281">
            <v>42247</v>
          </cell>
          <cell r="ES281">
            <v>42241</v>
          </cell>
          <cell r="ET281">
            <v>42247</v>
          </cell>
          <cell r="EU281">
            <v>42247</v>
          </cell>
          <cell r="EW281">
            <v>51</v>
          </cell>
          <cell r="EX281">
            <v>42315</v>
          </cell>
          <cell r="EZ281">
            <v>42311</v>
          </cell>
          <cell r="FA281">
            <v>42246</v>
          </cell>
          <cell r="FB281">
            <v>42313</v>
          </cell>
          <cell r="FC281">
            <v>42247</v>
          </cell>
          <cell r="FU281">
            <v>42315</v>
          </cell>
          <cell r="FW281">
            <v>42315</v>
          </cell>
          <cell r="FX281">
            <v>42247</v>
          </cell>
          <cell r="FY281" t="str">
            <v>ZM</v>
          </cell>
          <cell r="GI281">
            <v>42277</v>
          </cell>
          <cell r="GJ281" t="str">
            <v>40-2015</v>
          </cell>
          <cell r="GL281" t="str">
            <v>V-Sat Solution</v>
          </cell>
          <cell r="GN281" t="str">
            <v>ERICSSON</v>
          </cell>
          <cell r="GQ281" t="str">
            <v xml:space="preserve">V-Sat Solution; </v>
          </cell>
          <cell r="HD281">
            <v>1</v>
          </cell>
        </row>
        <row r="282">
          <cell r="A282" t="str">
            <v>MD0533</v>
          </cell>
          <cell r="B282" t="str">
            <v>ANMD_0225</v>
          </cell>
          <cell r="C282" t="str">
            <v>Apollo</v>
          </cell>
          <cell r="D282" t="str">
            <v>Adriaan Coetsee</v>
          </cell>
          <cell r="F282" t="str">
            <v>Aung Thu Win</v>
          </cell>
          <cell r="G282" t="str">
            <v>Win Pa Kyi Myint</v>
          </cell>
          <cell r="H282" t="str">
            <v>RED</v>
          </cell>
          <cell r="I282" t="str">
            <v>North</v>
          </cell>
          <cell r="J282" t="str">
            <v>96.281577</v>
          </cell>
          <cell r="K282" t="str">
            <v>23.536531</v>
          </cell>
          <cell r="L282" t="str">
            <v>Rural</v>
          </cell>
          <cell r="M282" t="str">
            <v>Mandalay 1</v>
          </cell>
          <cell r="N282" t="str">
            <v>Thabeikkyin</v>
          </cell>
          <cell r="O282" t="str">
            <v>Thabeikkyin</v>
          </cell>
          <cell r="P282" t="str">
            <v>Mandalay 1</v>
          </cell>
          <cell r="Q282" t="str">
            <v>8</v>
          </cell>
          <cell r="R282" t="str">
            <v>Thabeikkyin</v>
          </cell>
          <cell r="S282" t="str">
            <v>153</v>
          </cell>
          <cell r="T282" t="str">
            <v>GSM+UMTS</v>
          </cell>
          <cell r="W282" t="str">
            <v>Ph2-Priority</v>
          </cell>
          <cell r="X282" t="str">
            <v>55</v>
          </cell>
          <cell r="Y282" t="str">
            <v>57</v>
          </cell>
          <cell r="Z282" t="str">
            <v>GBT</v>
          </cell>
          <cell r="AA282" t="str">
            <v>500</v>
          </cell>
          <cell r="AB282" t="str">
            <v>Access</v>
          </cell>
          <cell r="AC282" t="str">
            <v>Class C</v>
          </cell>
          <cell r="BH282" t="str">
            <v>Camusat</v>
          </cell>
          <cell r="BJ282">
            <v>42168</v>
          </cell>
          <cell r="BK282">
            <v>42167</v>
          </cell>
          <cell r="BL282">
            <v>42173</v>
          </cell>
          <cell r="BM282">
            <v>42174</v>
          </cell>
          <cell r="BT282">
            <v>46</v>
          </cell>
          <cell r="BU282">
            <v>42230</v>
          </cell>
          <cell r="BV282">
            <v>42200</v>
          </cell>
          <cell r="BW282" t="str">
            <v>96.28776</v>
          </cell>
          <cell r="BX282" t="str">
            <v>23.53584</v>
          </cell>
          <cell r="BY282" t="str">
            <v>C1</v>
          </cell>
          <cell r="CB282" t="str">
            <v>28 July 15:C1-SAR submission</v>
          </cell>
          <cell r="CC282" t="str">
            <v>Village</v>
          </cell>
          <cell r="CE282">
            <v>1</v>
          </cell>
          <cell r="CF282">
            <v>42231</v>
          </cell>
          <cell r="CG282">
            <v>42201</v>
          </cell>
          <cell r="CH282">
            <v>42233</v>
          </cell>
          <cell r="CN282">
            <v>32</v>
          </cell>
          <cell r="CO282">
            <v>42236</v>
          </cell>
          <cell r="CQ282" t="str">
            <v>M4: solar + DG + battery</v>
          </cell>
          <cell r="CR282">
            <v>0</v>
          </cell>
          <cell r="CS282">
            <v>42237</v>
          </cell>
          <cell r="CU282" t="str">
            <v>MD0533</v>
          </cell>
          <cell r="DH282">
            <v>0</v>
          </cell>
          <cell r="DI282">
            <v>42247</v>
          </cell>
          <cell r="DK282">
            <v>42244</v>
          </cell>
          <cell r="DM282">
            <v>42248</v>
          </cell>
          <cell r="DO282">
            <v>0</v>
          </cell>
          <cell r="DP282">
            <v>42247</v>
          </cell>
          <cell r="DT282">
            <v>0</v>
          </cell>
          <cell r="DU282">
            <v>42262</v>
          </cell>
          <cell r="DW282">
            <v>0</v>
          </cell>
          <cell r="DY282">
            <v>42248</v>
          </cell>
          <cell r="EA282" t="str">
            <v>Camusat</v>
          </cell>
          <cell r="EJ282">
            <v>0</v>
          </cell>
          <cell r="EK282">
            <v>42270</v>
          </cell>
          <cell r="EM282">
            <v>42271</v>
          </cell>
          <cell r="EQ282">
            <v>42283</v>
          </cell>
          <cell r="EW282">
            <v>0</v>
          </cell>
          <cell r="EX282">
            <v>42297</v>
          </cell>
          <cell r="EZ282">
            <v>42293</v>
          </cell>
          <cell r="FB282">
            <v>42295</v>
          </cell>
          <cell r="FU282">
            <v>42297</v>
          </cell>
          <cell r="FW282">
            <v>42297</v>
          </cell>
          <cell r="GI282">
            <v>42215</v>
          </cell>
          <cell r="GJ282">
            <v>0</v>
          </cell>
          <cell r="GN282" t="str">
            <v>ERICSSON</v>
          </cell>
          <cell r="HD282">
            <v>1</v>
          </cell>
        </row>
        <row r="283">
          <cell r="A283" t="str">
            <v>MD0534</v>
          </cell>
          <cell r="B283" t="str">
            <v>ANMD_0226</v>
          </cell>
          <cell r="C283" t="str">
            <v>Apollo</v>
          </cell>
          <cell r="D283" t="str">
            <v>Adriaan Coetsee</v>
          </cell>
          <cell r="F283" t="str">
            <v>Aung Thu Win</v>
          </cell>
          <cell r="G283" t="str">
            <v>Win Pa Kyi Myint</v>
          </cell>
          <cell r="H283" t="str">
            <v>AMBER</v>
          </cell>
          <cell r="I283" t="str">
            <v>North</v>
          </cell>
          <cell r="J283" t="str">
            <v>96.153288</v>
          </cell>
          <cell r="K283" t="str">
            <v>23.099576</v>
          </cell>
          <cell r="L283" t="str">
            <v>Rural</v>
          </cell>
          <cell r="M283" t="str">
            <v>Mandalay 1</v>
          </cell>
          <cell r="N283" t="str">
            <v>Thabeikkyin</v>
          </cell>
          <cell r="O283" t="str">
            <v>Thabeikkyin</v>
          </cell>
          <cell r="P283" t="str">
            <v>Mandalay 1</v>
          </cell>
          <cell r="Q283" t="str">
            <v>8</v>
          </cell>
          <cell r="R283" t="str">
            <v>Thabeikkyin</v>
          </cell>
          <cell r="S283" t="str">
            <v>153</v>
          </cell>
          <cell r="T283" t="str">
            <v>GSM+UMTS</v>
          </cell>
          <cell r="W283" t="str">
            <v>Ph2-Priority</v>
          </cell>
          <cell r="X283" t="str">
            <v>55</v>
          </cell>
          <cell r="Y283" t="str">
            <v>57</v>
          </cell>
          <cell r="Z283" t="str">
            <v>GBT</v>
          </cell>
          <cell r="AA283" t="str">
            <v>500</v>
          </cell>
          <cell r="AB283" t="str">
            <v>Access</v>
          </cell>
          <cell r="AC283" t="str">
            <v>Class C</v>
          </cell>
          <cell r="BE283" t="str">
            <v>Route 8 Mandalay - Magwe</v>
          </cell>
          <cell r="BH283" t="str">
            <v>Camusat</v>
          </cell>
          <cell r="BJ283">
            <v>42168</v>
          </cell>
          <cell r="BK283">
            <v>42149</v>
          </cell>
          <cell r="BL283">
            <v>42173</v>
          </cell>
          <cell r="BM283">
            <v>42156</v>
          </cell>
          <cell r="BT283">
            <v>17</v>
          </cell>
          <cell r="BU283">
            <v>42241</v>
          </cell>
          <cell r="BV283">
            <v>42166</v>
          </cell>
          <cell r="BW283" t="str">
            <v>96.15315</v>
          </cell>
          <cell r="BX283" t="str">
            <v>23.10048</v>
          </cell>
          <cell r="BY283" t="str">
            <v>C1</v>
          </cell>
          <cell r="BZ283" t="str">
            <v>Taung Lal Village, Kyauk Phyu Village Group, Thapatekyin Township,Pyin Oo Lwin District, Mandalay Division</v>
          </cell>
          <cell r="CA283" t="str">
            <v>U Htun Htun Naing</v>
          </cell>
          <cell r="CB283" t="str">
            <v>12 July 15 :C1-TSSR submission (family issue resolved); C2-NOC issue;12 Jun 15 : C2 SAR app;11 Jun15: C2-SAR submission. C1-rejected during TSS, Owner's declined due to family crisis;
1May15: C1 SAR Sub</v>
          </cell>
          <cell r="CC283" t="str">
            <v>Village</v>
          </cell>
          <cell r="CE283">
            <v>1</v>
          </cell>
          <cell r="CF283">
            <v>42242</v>
          </cell>
          <cell r="CG283">
            <v>42167</v>
          </cell>
          <cell r="CH283">
            <v>42244</v>
          </cell>
          <cell r="CJ283">
            <v>42195</v>
          </cell>
          <cell r="CK283" t="str">
            <v>55</v>
          </cell>
          <cell r="CL283" t="str">
            <v>57</v>
          </cell>
          <cell r="CM283" t="str">
            <v>60</v>
          </cell>
          <cell r="CN283">
            <v>30</v>
          </cell>
          <cell r="CO283">
            <v>42247</v>
          </cell>
          <cell r="CP283">
            <v>42197</v>
          </cell>
          <cell r="CQ283" t="str">
            <v>M4: solar + DG + battery</v>
          </cell>
          <cell r="CR283">
            <v>2</v>
          </cell>
          <cell r="CS283">
            <v>42248</v>
          </cell>
          <cell r="CT283">
            <v>42199</v>
          </cell>
          <cell r="CU283" t="str">
            <v>MD0534</v>
          </cell>
          <cell r="DH283">
            <v>18</v>
          </cell>
          <cell r="DI283">
            <v>42258</v>
          </cell>
          <cell r="DJ283">
            <v>42217</v>
          </cell>
          <cell r="DK283">
            <v>42255</v>
          </cell>
          <cell r="DL283">
            <v>42172</v>
          </cell>
          <cell r="DM283">
            <v>42259</v>
          </cell>
          <cell r="DN283">
            <v>42199</v>
          </cell>
          <cell r="DO283">
            <v>16</v>
          </cell>
          <cell r="DP283">
            <v>42258</v>
          </cell>
          <cell r="DQ283">
            <v>42201</v>
          </cell>
          <cell r="DT283">
            <v>0</v>
          </cell>
          <cell r="DU283">
            <v>42273</v>
          </cell>
          <cell r="DW283">
            <v>0</v>
          </cell>
          <cell r="DY283">
            <v>42259</v>
          </cell>
          <cell r="DZ283">
            <v>42220</v>
          </cell>
          <cell r="EA283" t="str">
            <v>Camusat</v>
          </cell>
          <cell r="EB283">
            <v>42213</v>
          </cell>
          <cell r="EE283" t="str">
            <v xml:space="preserve">10 Aug 15:Flood affected_Hold-No access; 28-Jul-15: Site Flooded and site access. Tower pedestal casted. Will monitor if water subsides								</v>
          </cell>
          <cell r="EJ283">
            <v>13</v>
          </cell>
          <cell r="EK283">
            <v>42281</v>
          </cell>
          <cell r="EL283">
            <v>42216</v>
          </cell>
          <cell r="EM283">
            <v>42282</v>
          </cell>
          <cell r="EQ283">
            <v>42294</v>
          </cell>
          <cell r="EW283">
            <v>13</v>
          </cell>
          <cell r="EX283">
            <v>42298</v>
          </cell>
          <cell r="EZ283">
            <v>42304</v>
          </cell>
          <cell r="FB283">
            <v>42306</v>
          </cell>
          <cell r="FU283">
            <v>42308</v>
          </cell>
          <cell r="FW283">
            <v>42308</v>
          </cell>
          <cell r="GF283">
            <v>42171</v>
          </cell>
          <cell r="GI283">
            <v>42170</v>
          </cell>
          <cell r="GJ283">
            <v>0</v>
          </cell>
          <cell r="GN283" t="str">
            <v>ERICSSON</v>
          </cell>
          <cell r="HD283">
            <v>1</v>
          </cell>
        </row>
        <row r="284">
          <cell r="A284" t="str">
            <v>MD0536</v>
          </cell>
          <cell r="B284" t="str">
            <v>ANMD_0227</v>
          </cell>
          <cell r="C284" t="str">
            <v>Apollo</v>
          </cell>
          <cell r="D284" t="str">
            <v>Adriaan Coetsee</v>
          </cell>
          <cell r="F284" t="str">
            <v>Aung Thu Win</v>
          </cell>
          <cell r="G284" t="str">
            <v>Win Pa Kyi Myint</v>
          </cell>
          <cell r="H284" t="str">
            <v>YELLOW</v>
          </cell>
          <cell r="I284" t="str">
            <v>North</v>
          </cell>
          <cell r="J284" t="str">
            <v>96.58948</v>
          </cell>
          <cell r="K284" t="str">
            <v>21.923729</v>
          </cell>
          <cell r="L284" t="str">
            <v>Rural</v>
          </cell>
          <cell r="M284" t="str">
            <v>Mandalay 1</v>
          </cell>
          <cell r="N284" t="str">
            <v>Pyinoolwin</v>
          </cell>
          <cell r="O284" t="str">
            <v>Pyinoolwin</v>
          </cell>
          <cell r="P284" t="str">
            <v>Mandalay 1</v>
          </cell>
          <cell r="Q284" t="str">
            <v>8</v>
          </cell>
          <cell r="R284" t="str">
            <v>Pyinoolwin</v>
          </cell>
          <cell r="S284" t="str">
            <v>149</v>
          </cell>
          <cell r="T284" t="str">
            <v>GSM+UMTS</v>
          </cell>
          <cell r="U284" t="str">
            <v>MAG_N002</v>
          </cell>
          <cell r="V284">
            <v>7.1</v>
          </cell>
          <cell r="W284" t="str">
            <v>Ph2-Priority</v>
          </cell>
          <cell r="X284" t="str">
            <v>55</v>
          </cell>
          <cell r="Y284" t="str">
            <v>57</v>
          </cell>
          <cell r="Z284" t="str">
            <v>GBT</v>
          </cell>
          <cell r="AA284" t="str">
            <v>500</v>
          </cell>
          <cell r="AB284" t="str">
            <v>Access</v>
          </cell>
          <cell r="AC284" t="str">
            <v>Class C</v>
          </cell>
          <cell r="AD284">
            <v>982</v>
          </cell>
          <cell r="AE284">
            <v>982</v>
          </cell>
          <cell r="AF284">
            <v>1</v>
          </cell>
          <cell r="AG284" t="str">
            <v>MG0034</v>
          </cell>
          <cell r="AH284" t="str">
            <v>MG0043</v>
          </cell>
          <cell r="BC284" t="str">
            <v>MG0043</v>
          </cell>
          <cell r="BD284">
            <v>1</v>
          </cell>
          <cell r="BE284" t="str">
            <v>Route 8 Mandalay - Magwe</v>
          </cell>
          <cell r="BF284">
            <v>42034</v>
          </cell>
          <cell r="BG284">
            <v>42008</v>
          </cell>
          <cell r="BH284" t="str">
            <v>Camusat</v>
          </cell>
          <cell r="BJ284">
            <v>42143</v>
          </cell>
          <cell r="BK284">
            <v>42130</v>
          </cell>
          <cell r="BL284">
            <v>42148</v>
          </cell>
          <cell r="BM284">
            <v>42141</v>
          </cell>
          <cell r="BT284">
            <v>21</v>
          </cell>
          <cell r="BU284">
            <v>42241</v>
          </cell>
          <cell r="BV284">
            <v>42151</v>
          </cell>
          <cell r="BW284" t="str">
            <v>96.58753</v>
          </cell>
          <cell r="BX284" t="str">
            <v>21.92482</v>
          </cell>
          <cell r="BY284" t="str">
            <v>C1</v>
          </cell>
          <cell r="BZ284" t="str">
            <v>Thayet Chaung Village, Pyin Oo Lwin Township ,Mandalay Division.</v>
          </cell>
          <cell r="CA284" t="str">
            <v>U Ba Yin;Thayet Chaung Village, Holake Village Group, Pyin Oo Lwin;09-32463228</v>
          </cell>
          <cell r="CB284" t="str">
            <v>28 May 15 : C1 SAR approved as an option 1(TND approved with the repeater site MD0258_R1(21.987000, 96.538870)); 27May15: C1 SAR Sub</v>
          </cell>
          <cell r="CC284" t="str">
            <v>Village</v>
          </cell>
          <cell r="CE284">
            <v>1</v>
          </cell>
          <cell r="CF284">
            <v>42242</v>
          </cell>
          <cell r="CG284">
            <v>42152</v>
          </cell>
          <cell r="CH284">
            <v>42244</v>
          </cell>
          <cell r="CI284" t="str">
            <v>camusat</v>
          </cell>
          <cell r="CJ284">
            <v>42160</v>
          </cell>
          <cell r="CK284" t="str">
            <v>53</v>
          </cell>
          <cell r="CL284" t="str">
            <v>55</v>
          </cell>
          <cell r="CM284" t="str">
            <v>60</v>
          </cell>
          <cell r="CN284">
            <v>8</v>
          </cell>
          <cell r="CO284">
            <v>42247</v>
          </cell>
          <cell r="CP284">
            <v>42160</v>
          </cell>
          <cell r="CQ284" t="str">
            <v>M1: grid power + battery</v>
          </cell>
          <cell r="CR284">
            <v>4</v>
          </cell>
          <cell r="CS284">
            <v>42248</v>
          </cell>
          <cell r="CT284">
            <v>42164</v>
          </cell>
          <cell r="CU284" t="str">
            <v>MD0536</v>
          </cell>
          <cell r="DH284">
            <v>14</v>
          </cell>
          <cell r="DI284">
            <v>42258</v>
          </cell>
          <cell r="DJ284">
            <v>42178</v>
          </cell>
          <cell r="DK284">
            <v>42255</v>
          </cell>
          <cell r="DL284">
            <v>42168</v>
          </cell>
          <cell r="DM284">
            <v>42259</v>
          </cell>
          <cell r="DN284">
            <v>42181</v>
          </cell>
          <cell r="DO284">
            <v>0</v>
          </cell>
          <cell r="DP284">
            <v>42258</v>
          </cell>
          <cell r="DQ284">
            <v>42178</v>
          </cell>
          <cell r="DR284" t="str">
            <v>Tayat CDC</v>
          </cell>
          <cell r="DS284" t="str">
            <v>068-21019</v>
          </cell>
          <cell r="DT284">
            <v>22</v>
          </cell>
          <cell r="DU284">
            <v>42273</v>
          </cell>
          <cell r="DV284">
            <v>42200</v>
          </cell>
          <cell r="DW284">
            <v>-19</v>
          </cell>
          <cell r="DY284">
            <v>42259</v>
          </cell>
          <cell r="DZ284">
            <v>42181</v>
          </cell>
          <cell r="EA284" t="str">
            <v>Camusat</v>
          </cell>
          <cell r="EB284">
            <v>42212</v>
          </cell>
          <cell r="EE284" t="str">
            <v xml:space="preserve">10 Aug 15:Flood affected_Hold-No access; 27-Jul-15: Flooded access or site is flooded_ we canÆt proceed to this site								</v>
          </cell>
          <cell r="EJ284">
            <v>50</v>
          </cell>
          <cell r="EK284">
            <v>42281</v>
          </cell>
          <cell r="EL284">
            <v>42231</v>
          </cell>
          <cell r="EM284">
            <v>42282</v>
          </cell>
          <cell r="EN284">
            <v>42234</v>
          </cell>
          <cell r="EQ284">
            <v>42294</v>
          </cell>
          <cell r="ER284">
            <v>42249</v>
          </cell>
          <cell r="ES284">
            <v>42238</v>
          </cell>
          <cell r="ET284">
            <v>42249</v>
          </cell>
          <cell r="EU284">
            <v>42249</v>
          </cell>
          <cell r="EW284">
            <v>52</v>
          </cell>
          <cell r="EX284">
            <v>42298</v>
          </cell>
          <cell r="EZ284">
            <v>42304</v>
          </cell>
          <cell r="FA284">
            <v>42250</v>
          </cell>
          <cell r="FB284">
            <v>42306</v>
          </cell>
          <cell r="FD284">
            <v>41934</v>
          </cell>
          <cell r="FF284">
            <v>41941</v>
          </cell>
          <cell r="FH284">
            <v>41943</v>
          </cell>
          <cell r="FJ284">
            <v>41946</v>
          </cell>
          <cell r="FN284">
            <v>41950</v>
          </cell>
          <cell r="FP284">
            <v>41952</v>
          </cell>
          <cell r="FR284">
            <v>41966</v>
          </cell>
          <cell r="FU284">
            <v>42308</v>
          </cell>
          <cell r="FW284">
            <v>42308</v>
          </cell>
          <cell r="GF284">
            <v>42173</v>
          </cell>
          <cell r="GI284">
            <v>42215</v>
          </cell>
          <cell r="GJ284" t="str">
            <v>40-2015</v>
          </cell>
          <cell r="GL284" t="str">
            <v>LOS Issue</v>
          </cell>
          <cell r="GN284" t="str">
            <v>ERICSSON</v>
          </cell>
          <cell r="GQ284">
            <v>0</v>
          </cell>
          <cell r="HD284">
            <v>1</v>
          </cell>
        </row>
        <row r="285">
          <cell r="A285" t="str">
            <v>MG0029</v>
          </cell>
          <cell r="B285" t="str">
            <v>ANMG_0045</v>
          </cell>
          <cell r="C285" t="str">
            <v>Apollo</v>
          </cell>
          <cell r="D285" t="str">
            <v>Chris Thomson</v>
          </cell>
          <cell r="F285" t="str">
            <v>Mya Kyauk</v>
          </cell>
          <cell r="G285" t="str">
            <v>Si Thu Moe</v>
          </cell>
          <cell r="H285" t="str">
            <v>WHITE</v>
          </cell>
          <cell r="I285" t="str">
            <v>North</v>
          </cell>
          <cell r="J285" t="str">
            <v>95.283997</v>
          </cell>
          <cell r="K285" t="str">
            <v>19.66016</v>
          </cell>
          <cell r="L285" t="str">
            <v>Highway</v>
          </cell>
          <cell r="M285" t="str">
            <v>Magway</v>
          </cell>
          <cell r="N285" t="str">
            <v>Sinbaungwe Township</v>
          </cell>
          <cell r="O285" t="str">
            <v>Sinbaungwe</v>
          </cell>
          <cell r="P285" t="str">
            <v>Magway</v>
          </cell>
          <cell r="Q285" t="str">
            <v>7</v>
          </cell>
          <cell r="R285" t="str">
            <v>Sinbaungwe</v>
          </cell>
          <cell r="S285" t="str">
            <v>133</v>
          </cell>
          <cell r="T285" t="str">
            <v>GSM+UMTS</v>
          </cell>
          <cell r="U285" t="str">
            <v>MAG_N002</v>
          </cell>
          <cell r="V285" t="str">
            <v>7.1</v>
          </cell>
          <cell r="W285" t="str">
            <v>Ph2-Priority</v>
          </cell>
          <cell r="X285" t="str">
            <v>55</v>
          </cell>
          <cell r="Y285" t="str">
            <v>57</v>
          </cell>
          <cell r="Z285" t="str">
            <v>GBT</v>
          </cell>
          <cell r="AA285" t="str">
            <v>500</v>
          </cell>
          <cell r="AB285" t="str">
            <v>Access</v>
          </cell>
          <cell r="AC285" t="str">
            <v>Class C</v>
          </cell>
          <cell r="AD285" t="str">
            <v>982</v>
          </cell>
          <cell r="AE285" t="str">
            <v>982</v>
          </cell>
          <cell r="AF285" t="str">
            <v>1</v>
          </cell>
          <cell r="AG285" t="str">
            <v>MG0034</v>
          </cell>
          <cell r="AH285" t="str">
            <v>MG0043</v>
          </cell>
          <cell r="BC285" t="str">
            <v>MG0043</v>
          </cell>
          <cell r="BD285" t="str">
            <v>1</v>
          </cell>
          <cell r="BE285" t="str">
            <v>Route 1 Yangon - Mandalay</v>
          </cell>
          <cell r="BF285">
            <v>42034</v>
          </cell>
          <cell r="BG285">
            <v>42008</v>
          </cell>
          <cell r="BH285" t="str">
            <v>Camusat</v>
          </cell>
          <cell r="BJ285">
            <v>42128</v>
          </cell>
          <cell r="BK285">
            <v>41664</v>
          </cell>
          <cell r="BL285">
            <v>42133</v>
          </cell>
          <cell r="BM285">
            <v>42014</v>
          </cell>
          <cell r="BT285">
            <v>352</v>
          </cell>
          <cell r="BU285">
            <v>42167</v>
          </cell>
          <cell r="BV285">
            <v>42016</v>
          </cell>
          <cell r="BW285" t="str">
            <v>95.25648</v>
          </cell>
          <cell r="BX285" t="str">
            <v>19.68671</v>
          </cell>
          <cell r="BY285" t="str">
            <v>C1</v>
          </cell>
          <cell r="BZ285" t="str">
            <v>Baw Myint Village, Sin Paung Wal Township;Magway.</v>
          </cell>
          <cell r="CA285" t="str">
            <v>U Tin Win;Magway Region, Sin Paung Wal Township, Baw Myint Village;09-256139431</v>
          </cell>
          <cell r="CB285" t="str">
            <v>22 Jan 15 : C1 SAR approved again as an option 1( RND approved according to nominal falls in military area);New NP already updated in tracker given from TN RND; 13 Jan 15 : C1 SAR rejected( RND rejected this candidate because it is 4.1km far from the nominal point); 12Jan15: C1 SAR  Sub.</v>
          </cell>
          <cell r="CC285" t="str">
            <v>Farm Land</v>
          </cell>
          <cell r="CE285">
            <v>10</v>
          </cell>
          <cell r="CF285">
            <v>42168</v>
          </cell>
          <cell r="CG285">
            <v>42026</v>
          </cell>
          <cell r="CH285">
            <v>42170</v>
          </cell>
          <cell r="CI285" t="str">
            <v>camusat</v>
          </cell>
          <cell r="CJ285">
            <v>42031</v>
          </cell>
          <cell r="CK285" t="str">
            <v>59</v>
          </cell>
          <cell r="CL285" t="str">
            <v>62</v>
          </cell>
          <cell r="CM285" t="str">
            <v>60</v>
          </cell>
          <cell r="CN285">
            <v>7</v>
          </cell>
          <cell r="CO285">
            <v>42173</v>
          </cell>
          <cell r="CP285">
            <v>42033</v>
          </cell>
          <cell r="CQ285" t="str">
            <v>M4: solar + DG + battery</v>
          </cell>
          <cell r="CR285">
            <v>1</v>
          </cell>
          <cell r="CS285">
            <v>42174</v>
          </cell>
          <cell r="CT285">
            <v>42034</v>
          </cell>
          <cell r="CU285" t="str">
            <v>MG0029</v>
          </cell>
          <cell r="DH285">
            <v>126</v>
          </cell>
          <cell r="DI285">
            <v>42184</v>
          </cell>
          <cell r="DJ285">
            <v>42160</v>
          </cell>
          <cell r="DK285">
            <v>42181</v>
          </cell>
          <cell r="DL285">
            <v>42160</v>
          </cell>
          <cell r="DM285">
            <v>42185</v>
          </cell>
          <cell r="DN285">
            <v>42160</v>
          </cell>
          <cell r="DO285">
            <v>0</v>
          </cell>
          <cell r="DP285">
            <v>42184</v>
          </cell>
          <cell r="DQ285">
            <v>42160</v>
          </cell>
          <cell r="DR285" t="str">
            <v>Tayat CDC</v>
          </cell>
          <cell r="DS285" t="str">
            <v>068-21019</v>
          </cell>
          <cell r="DT285">
            <v>73</v>
          </cell>
          <cell r="DU285">
            <v>42199</v>
          </cell>
          <cell r="DW285">
            <v>0</v>
          </cell>
          <cell r="DY285">
            <v>42185</v>
          </cell>
          <cell r="DZ285">
            <v>42160</v>
          </cell>
          <cell r="EA285" t="str">
            <v>Camusat</v>
          </cell>
          <cell r="EI285" t="str">
            <v>M5: grid power + DG + battery      </v>
          </cell>
          <cell r="EJ285">
            <v>22</v>
          </cell>
          <cell r="EK285">
            <v>42207</v>
          </cell>
          <cell r="EL285">
            <v>42182</v>
          </cell>
          <cell r="EM285">
            <v>42208</v>
          </cell>
          <cell r="EN285">
            <v>42182</v>
          </cell>
          <cell r="EQ285">
            <v>42220</v>
          </cell>
          <cell r="ER285">
            <v>42198</v>
          </cell>
          <cell r="ES285">
            <v>42199</v>
          </cell>
          <cell r="ET285">
            <v>42205</v>
          </cell>
          <cell r="EU285">
            <v>42205</v>
          </cell>
          <cell r="EW285">
            <v>73</v>
          </cell>
          <cell r="EX285">
            <v>42234</v>
          </cell>
          <cell r="EZ285">
            <v>42230</v>
          </cell>
          <cell r="FA285">
            <v>42201</v>
          </cell>
          <cell r="FB285">
            <v>42232</v>
          </cell>
          <cell r="FC285">
            <v>42207</v>
          </cell>
          <cell r="FD285">
            <v>41934</v>
          </cell>
          <cell r="FF285">
            <v>41941</v>
          </cell>
          <cell r="FH285">
            <v>41943</v>
          </cell>
          <cell r="FJ285">
            <v>41946</v>
          </cell>
          <cell r="FN285">
            <v>41950</v>
          </cell>
          <cell r="FP285">
            <v>41952</v>
          </cell>
          <cell r="FR285">
            <v>41966</v>
          </cell>
          <cell r="FU285">
            <v>42234</v>
          </cell>
          <cell r="FV285">
            <v>42215</v>
          </cell>
          <cell r="FW285">
            <v>42234</v>
          </cell>
          <cell r="FX285">
            <v>42207</v>
          </cell>
          <cell r="FY285" t="str">
            <v>AZM</v>
          </cell>
          <cell r="FZ285">
            <v>42198</v>
          </cell>
          <cell r="GA285">
            <v>42201</v>
          </cell>
          <cell r="GB285">
            <v>42208</v>
          </cell>
          <cell r="GC285">
            <v>42210</v>
          </cell>
          <cell r="GD285">
            <v>42210</v>
          </cell>
          <cell r="GE285">
            <v>42214</v>
          </cell>
          <cell r="GF285">
            <v>41976</v>
          </cell>
          <cell r="GG285">
            <v>42214</v>
          </cell>
          <cell r="GH285">
            <v>42214</v>
          </cell>
          <cell r="GI285">
            <v>42019</v>
          </cell>
          <cell r="GJ285" t="str">
            <v>31-2015</v>
          </cell>
          <cell r="GK285">
            <v>42214</v>
          </cell>
          <cell r="GN285" t="str">
            <v>ERICSSON</v>
          </cell>
          <cell r="GQ285" t="str">
            <v>GSM Only</v>
          </cell>
          <cell r="GU285" t="str">
            <v xml:space="preserve">		</v>
          </cell>
          <cell r="HD285">
            <v>1</v>
          </cell>
        </row>
        <row r="286">
          <cell r="A286" t="str">
            <v>MG0246</v>
          </cell>
          <cell r="B286" t="str">
            <v>ANMG_0074</v>
          </cell>
          <cell r="C286" t="str">
            <v>Apollo</v>
          </cell>
          <cell r="D286" t="str">
            <v>Adriaan Coetsee</v>
          </cell>
          <cell r="F286" t="str">
            <v>Mya Kyauk</v>
          </cell>
          <cell r="G286" t="str">
            <v>Si Thu Moe</v>
          </cell>
          <cell r="H286" t="str">
            <v>YELLOW</v>
          </cell>
          <cell r="I286" t="str">
            <v>North</v>
          </cell>
          <cell r="J286" t="str">
            <v>95.0360300864509</v>
          </cell>
          <cell r="K286" t="str">
            <v>19.959949388589</v>
          </cell>
          <cell r="L286" t="str">
            <v>SubUrban</v>
          </cell>
          <cell r="M286" t="str">
            <v>Magway</v>
          </cell>
          <cell r="N286" t="str">
            <v>Minhla</v>
          </cell>
          <cell r="O286" t="str">
            <v>Minhla</v>
          </cell>
          <cell r="P286" t="str">
            <v>Magway</v>
          </cell>
          <cell r="Q286" t="str">
            <v>7</v>
          </cell>
          <cell r="R286" t="str">
            <v>Minhla</v>
          </cell>
          <cell r="S286" t="str">
            <v>129</v>
          </cell>
          <cell r="T286" t="str">
            <v>GSM+UMTS</v>
          </cell>
          <cell r="W286" t="str">
            <v>Ph2-Priority</v>
          </cell>
          <cell r="X286" t="str">
            <v>35</v>
          </cell>
          <cell r="Y286" t="str">
            <v>37</v>
          </cell>
          <cell r="Z286" t="str">
            <v>GBT</v>
          </cell>
          <cell r="AA286" t="str">
            <v>250</v>
          </cell>
          <cell r="AB286" t="str">
            <v>Access</v>
          </cell>
          <cell r="AC286" t="str">
            <v>Class B</v>
          </cell>
          <cell r="BE286" t="str">
            <v>Route 8 Mandalay - Magwe</v>
          </cell>
          <cell r="BH286" t="str">
            <v>KTT</v>
          </cell>
          <cell r="BJ286">
            <v>42117</v>
          </cell>
          <cell r="BK286">
            <v>42121</v>
          </cell>
          <cell r="BL286">
            <v>42122</v>
          </cell>
          <cell r="BM286">
            <v>42122</v>
          </cell>
          <cell r="BT286">
            <v>11</v>
          </cell>
          <cell r="BU286">
            <v>42139</v>
          </cell>
          <cell r="BV286">
            <v>42132</v>
          </cell>
          <cell r="BW286" t="str">
            <v>95.03583</v>
          </cell>
          <cell r="BX286" t="str">
            <v>19.95785</v>
          </cell>
          <cell r="BY286" t="str">
            <v>C1</v>
          </cell>
          <cell r="BZ286" t="str">
            <v>(10)Street,Yone Quarter East ,Quarter (9), Block (84/L) ,UP(133),U Kin Buddha, Min Hla Township,Magway Division.</v>
          </cell>
          <cell r="CA286" t="str">
            <v>U Than Aung;(10)Street,Yone Quarter East ,Quarter (9), Block (84/L) ,UP(133),U Kin Buddha, Min Hla Township,Magway Division;09-33256677</v>
          </cell>
          <cell r="CB286" t="str">
            <v>8May15: C1 SAR Sub</v>
          </cell>
          <cell r="CC286" t="str">
            <v>FREE HOLD</v>
          </cell>
          <cell r="CE286">
            <v>4</v>
          </cell>
          <cell r="CF286">
            <v>42140</v>
          </cell>
          <cell r="CG286">
            <v>42136</v>
          </cell>
          <cell r="CH286">
            <v>42158</v>
          </cell>
          <cell r="CJ286">
            <v>42148</v>
          </cell>
          <cell r="CK286" t="str">
            <v>35</v>
          </cell>
          <cell r="CL286" t="str">
            <v>37</v>
          </cell>
          <cell r="CM286" t="str">
            <v>40</v>
          </cell>
          <cell r="CN286">
            <v>14</v>
          </cell>
          <cell r="CO286">
            <v>42161</v>
          </cell>
          <cell r="CP286">
            <v>42150</v>
          </cell>
          <cell r="CQ286" t="str">
            <v>M1: grid power + battery</v>
          </cell>
          <cell r="CR286">
            <v>2</v>
          </cell>
          <cell r="CS286">
            <v>42162</v>
          </cell>
          <cell r="CT286">
            <v>42152</v>
          </cell>
          <cell r="CU286" t="str">
            <v>MG0246</v>
          </cell>
          <cell r="DH286">
            <v>34</v>
          </cell>
          <cell r="DI286">
            <v>42159</v>
          </cell>
          <cell r="DJ286">
            <v>42186</v>
          </cell>
          <cell r="DK286">
            <v>42156</v>
          </cell>
          <cell r="DL286">
            <v>42159</v>
          </cell>
          <cell r="DM286">
            <v>42160</v>
          </cell>
          <cell r="DN286">
            <v>42171</v>
          </cell>
          <cell r="DO286">
            <v>0</v>
          </cell>
          <cell r="DP286">
            <v>42159</v>
          </cell>
          <cell r="DQ286">
            <v>42186</v>
          </cell>
          <cell r="DT286">
            <v>47</v>
          </cell>
          <cell r="DU286">
            <v>42174</v>
          </cell>
          <cell r="DW286">
            <v>0</v>
          </cell>
          <cell r="DY286">
            <v>42160</v>
          </cell>
          <cell r="DZ286">
            <v>42167</v>
          </cell>
          <cell r="EA286" t="str">
            <v>Camusat</v>
          </cell>
          <cell r="EE286" t="str">
            <v xml:space="preserve">10 Aug 15:Rain affected_Progress affected; 3-Aug-15: Foundation casted. Equipment slab to proceed. 2. Rain affected_ Site is progressing but rain is affecting the work every day.								</v>
          </cell>
          <cell r="EJ286">
            <v>41</v>
          </cell>
          <cell r="EK286">
            <v>42175</v>
          </cell>
          <cell r="EL286">
            <v>42208</v>
          </cell>
          <cell r="EM286">
            <v>42176</v>
          </cell>
          <cell r="EN286">
            <v>42233</v>
          </cell>
          <cell r="EQ286">
            <v>42183</v>
          </cell>
          <cell r="ER286">
            <v>42238</v>
          </cell>
          <cell r="ES286">
            <v>42233</v>
          </cell>
          <cell r="ET286">
            <v>42242</v>
          </cell>
          <cell r="EU286">
            <v>42242</v>
          </cell>
          <cell r="EW286">
            <v>66</v>
          </cell>
          <cell r="EX286">
            <v>42197</v>
          </cell>
          <cell r="EZ286">
            <v>42193</v>
          </cell>
          <cell r="FA286">
            <v>42244</v>
          </cell>
          <cell r="FB286">
            <v>42195</v>
          </cell>
          <cell r="FC286">
            <v>42245</v>
          </cell>
          <cell r="FU286">
            <v>42197</v>
          </cell>
          <cell r="FW286">
            <v>42197</v>
          </cell>
          <cell r="FX286">
            <v>42245</v>
          </cell>
          <cell r="FY286" t="str">
            <v>RT</v>
          </cell>
          <cell r="FZ286">
            <v>42235</v>
          </cell>
          <cell r="GA286">
            <v>42238</v>
          </cell>
          <cell r="GB286">
            <v>42242</v>
          </cell>
          <cell r="GC286">
            <v>42242</v>
          </cell>
          <cell r="GD286">
            <v>42244</v>
          </cell>
          <cell r="GE286">
            <v>42244</v>
          </cell>
          <cell r="GF286">
            <v>42244</v>
          </cell>
          <cell r="GG286">
            <v>42244</v>
          </cell>
          <cell r="GH286">
            <v>42244</v>
          </cell>
          <cell r="GI286">
            <v>42171</v>
          </cell>
          <cell r="GJ286" t="str">
            <v>36-2015</v>
          </cell>
          <cell r="GK286">
            <v>42244</v>
          </cell>
          <cell r="GN286" t="str">
            <v>ERICSSON</v>
          </cell>
          <cell r="GU286" t="str">
            <v xml:space="preserve">		</v>
          </cell>
          <cell r="HD286">
            <v>1</v>
          </cell>
        </row>
        <row r="287">
          <cell r="A287" t="str">
            <v>MG0249</v>
          </cell>
          <cell r="B287" t="str">
            <v>ANMG_0118</v>
          </cell>
          <cell r="C287" t="str">
            <v>Apollo</v>
          </cell>
          <cell r="D287" t="str">
            <v>Chris Thomson</v>
          </cell>
          <cell r="F287" t="str">
            <v>Mya Kyauk</v>
          </cell>
          <cell r="G287" t="str">
            <v>Si Thu Moe</v>
          </cell>
          <cell r="H287" t="str">
            <v>RED</v>
          </cell>
          <cell r="I287" t="str">
            <v>North</v>
          </cell>
          <cell r="J287" t="str">
            <v>95.595103</v>
          </cell>
          <cell r="K287" t="str">
            <v>19.974283</v>
          </cell>
          <cell r="L287" t="str">
            <v>Rural</v>
          </cell>
          <cell r="M287" t="str">
            <v>Magway</v>
          </cell>
          <cell r="N287" t="str">
            <v>Taungdwingyi</v>
          </cell>
          <cell r="O287" t="str">
            <v>Taungdwingyi</v>
          </cell>
          <cell r="P287" t="str">
            <v>Magway</v>
          </cell>
          <cell r="Q287" t="str">
            <v>7</v>
          </cell>
          <cell r="R287" t="str">
            <v>Taungdwingyi</v>
          </cell>
          <cell r="S287" t="str">
            <v>120</v>
          </cell>
          <cell r="T287" t="str">
            <v>GSM+UMTS</v>
          </cell>
          <cell r="W287" t="str">
            <v>Ph2-Priority</v>
          </cell>
          <cell r="X287" t="str">
            <v>45</v>
          </cell>
          <cell r="Y287" t="str">
            <v>47</v>
          </cell>
          <cell r="Z287" t="str">
            <v>GBT</v>
          </cell>
          <cell r="AA287" t="str">
            <v>500</v>
          </cell>
          <cell r="AB287" t="str">
            <v>Access</v>
          </cell>
          <cell r="AC287" t="str">
            <v>Class C</v>
          </cell>
          <cell r="BE287" t="str">
            <v>Route 1 Yangon - Mandalay</v>
          </cell>
          <cell r="BH287" t="str">
            <v>Camusat</v>
          </cell>
          <cell r="BJ287">
            <v>42165</v>
          </cell>
          <cell r="BK287">
            <v>42165</v>
          </cell>
          <cell r="BL287">
            <v>42170</v>
          </cell>
          <cell r="BM287">
            <v>42172</v>
          </cell>
          <cell r="BT287">
            <v>22</v>
          </cell>
          <cell r="BU287">
            <v>42234</v>
          </cell>
          <cell r="BV287">
            <v>42187</v>
          </cell>
          <cell r="BW287" t="str">
            <v>95.599767</v>
          </cell>
          <cell r="BX287" t="str">
            <v>19.970685</v>
          </cell>
          <cell r="BY287" t="str">
            <v>C1</v>
          </cell>
          <cell r="BZ287" t="str">
            <v>NO(63), ZEE TAW VILLAGE, TAUNG TWIN GYI TSP, Magway</v>
          </cell>
          <cell r="CA287" t="str">
            <v>U Win Kyi</v>
          </cell>
          <cell r="CB287" t="str">
            <v>23 July 15 : C2 SAR reject ( According to TM radio suggestion, RND rejected because this site is 2.4 km far from nominal point and just 2 km far from on-air site NP0120. Please find the new candidate at 1.3km far form the nominal within 290 and 310 degree.)21 July 15:C2 SAR sub with justification;C1 was rejected due to distance from NP but NP is inside Military Land impossible to get approval. We are submitting C2 with the same distance of 2.5KM from Nominal.</v>
          </cell>
          <cell r="CC287" t="str">
            <v>Residential</v>
          </cell>
          <cell r="CE287">
            <v>4</v>
          </cell>
          <cell r="CF287">
            <v>42235</v>
          </cell>
          <cell r="CG287">
            <v>42191</v>
          </cell>
          <cell r="CH287">
            <v>42237</v>
          </cell>
          <cell r="CJ287">
            <v>42239</v>
          </cell>
          <cell r="CK287" t="str">
            <v>45</v>
          </cell>
          <cell r="CL287" t="str">
            <v>47</v>
          </cell>
          <cell r="CM287" t="str">
            <v>50</v>
          </cell>
          <cell r="CN287">
            <v>42</v>
          </cell>
          <cell r="CO287">
            <v>42240</v>
          </cell>
          <cell r="CP287">
            <v>42241</v>
          </cell>
          <cell r="CQ287" t="str">
            <v>M4: solar + DG + battery</v>
          </cell>
          <cell r="CR287">
            <v>0</v>
          </cell>
          <cell r="CS287">
            <v>42241</v>
          </cell>
          <cell r="CT287">
            <v>42243</v>
          </cell>
          <cell r="CU287" t="str">
            <v>MG0249</v>
          </cell>
          <cell r="DH287">
            <v>0</v>
          </cell>
          <cell r="DI287">
            <v>42251</v>
          </cell>
          <cell r="DK287">
            <v>42248</v>
          </cell>
          <cell r="DM287">
            <v>42252</v>
          </cell>
          <cell r="DO287">
            <v>0</v>
          </cell>
          <cell r="DP287">
            <v>42251</v>
          </cell>
          <cell r="DT287">
            <v>0</v>
          </cell>
          <cell r="DU287">
            <v>42266</v>
          </cell>
          <cell r="DW287">
            <v>0</v>
          </cell>
          <cell r="DY287">
            <v>42252</v>
          </cell>
          <cell r="EA287" t="str">
            <v>Camusat</v>
          </cell>
          <cell r="EJ287">
            <v>0</v>
          </cell>
          <cell r="EK287">
            <v>42269</v>
          </cell>
          <cell r="EM287">
            <v>42270</v>
          </cell>
          <cell r="EQ287">
            <v>42279</v>
          </cell>
          <cell r="EW287">
            <v>0</v>
          </cell>
          <cell r="EX287">
            <v>42293</v>
          </cell>
          <cell r="EZ287">
            <v>42289</v>
          </cell>
          <cell r="FB287">
            <v>42291</v>
          </cell>
          <cell r="FU287">
            <v>42293</v>
          </cell>
          <cell r="FW287">
            <v>42293</v>
          </cell>
          <cell r="GF287">
            <v>41932</v>
          </cell>
          <cell r="GI287">
            <v>42057</v>
          </cell>
          <cell r="GJ287">
            <v>0</v>
          </cell>
          <cell r="GN287" t="str">
            <v>ERICSSON</v>
          </cell>
          <cell r="HD287">
            <v>1</v>
          </cell>
        </row>
        <row r="288">
          <cell r="A288" t="str">
            <v>MG0250</v>
          </cell>
          <cell r="B288" t="str">
            <v>ANMG_0075</v>
          </cell>
          <cell r="C288" t="str">
            <v>Apollo</v>
          </cell>
          <cell r="D288" t="str">
            <v>Chris Thomson</v>
          </cell>
          <cell r="F288" t="str">
            <v>Mya Kyauk</v>
          </cell>
          <cell r="G288" t="str">
            <v>Si Thu Moe</v>
          </cell>
          <cell r="H288" t="str">
            <v>RED</v>
          </cell>
          <cell r="I288" t="str">
            <v>North</v>
          </cell>
          <cell r="J288" t="str">
            <v>95.1776</v>
          </cell>
          <cell r="K288" t="str">
            <v>19.3066</v>
          </cell>
          <cell r="L288" t="str">
            <v>SubUrban</v>
          </cell>
          <cell r="M288" t="str">
            <v>Magway</v>
          </cell>
          <cell r="N288" t="str">
            <v>Thayet</v>
          </cell>
          <cell r="O288" t="str">
            <v>Thayet</v>
          </cell>
          <cell r="P288" t="str">
            <v>Magway</v>
          </cell>
          <cell r="Q288" t="str">
            <v>7</v>
          </cell>
          <cell r="R288" t="str">
            <v>Thayet</v>
          </cell>
          <cell r="S288" t="str">
            <v>128</v>
          </cell>
          <cell r="T288" t="str">
            <v>GSM+UMTS</v>
          </cell>
          <cell r="W288" t="str">
            <v>Ph2-Priority</v>
          </cell>
          <cell r="X288" t="str">
            <v>35</v>
          </cell>
          <cell r="Y288" t="str">
            <v>37</v>
          </cell>
          <cell r="Z288" t="str">
            <v>GBT</v>
          </cell>
          <cell r="AA288" t="str">
            <v>250</v>
          </cell>
          <cell r="AB288" t="str">
            <v>Access</v>
          </cell>
          <cell r="AC288" t="str">
            <v>Class B</v>
          </cell>
          <cell r="BE288" t="str">
            <v>Route 1 Yangon - Mandalay</v>
          </cell>
          <cell r="BH288" t="str">
            <v>IENG</v>
          </cell>
          <cell r="BJ288">
            <v>42135</v>
          </cell>
          <cell r="BK288">
            <v>42130</v>
          </cell>
          <cell r="BL288">
            <v>42140</v>
          </cell>
          <cell r="BM288">
            <v>42132</v>
          </cell>
          <cell r="BT288">
            <v>71</v>
          </cell>
          <cell r="BU288">
            <v>42170</v>
          </cell>
          <cell r="BV288">
            <v>42201</v>
          </cell>
          <cell r="BW288" t="str">
            <v>95.17599</v>
          </cell>
          <cell r="BX288" t="str">
            <v>19.30663</v>
          </cell>
          <cell r="BY288" t="str">
            <v>C2</v>
          </cell>
          <cell r="BZ288" t="str">
            <v>Htu Htaung Yae Ward,Thayet Township, Magway Division</v>
          </cell>
          <cell r="CA288" t="str">
            <v>Daw Than Sein</v>
          </cell>
          <cell r="CB288" t="str">
            <v>16 July 15 : C2 SAR sub(C1 with SAR/TSSR but has land dispute);28 May 15 : C1 TSSR app;19 May 15: C1 SAR app;18May15: C1 SAR Sub</v>
          </cell>
          <cell r="CC288" t="str">
            <v>Residential</v>
          </cell>
          <cell r="CE288">
            <v>4</v>
          </cell>
          <cell r="CF288">
            <v>42171</v>
          </cell>
          <cell r="CG288">
            <v>42205</v>
          </cell>
          <cell r="CH288">
            <v>42173</v>
          </cell>
          <cell r="CJ288">
            <v>42212</v>
          </cell>
          <cell r="CK288" t="str">
            <v>35</v>
          </cell>
          <cell r="CL288" t="str">
            <v>37</v>
          </cell>
          <cell r="CM288" t="str">
            <v>45</v>
          </cell>
          <cell r="CN288">
            <v>9</v>
          </cell>
          <cell r="CO288">
            <v>42176</v>
          </cell>
          <cell r="CP288">
            <v>42214</v>
          </cell>
          <cell r="CQ288" t="str">
            <v>M1: grid power + battery</v>
          </cell>
          <cell r="CR288">
            <v>1</v>
          </cell>
          <cell r="CS288">
            <v>42177</v>
          </cell>
          <cell r="CT288">
            <v>42215</v>
          </cell>
          <cell r="CU288" t="str">
            <v>MG0250</v>
          </cell>
          <cell r="DH288">
            <v>18</v>
          </cell>
          <cell r="DI288">
            <v>42187</v>
          </cell>
          <cell r="DK288">
            <v>42184</v>
          </cell>
          <cell r="DL288">
            <v>42242</v>
          </cell>
          <cell r="DM288">
            <v>42188</v>
          </cell>
          <cell r="DO288">
            <v>0</v>
          </cell>
          <cell r="DP288">
            <v>42187</v>
          </cell>
          <cell r="DT288">
            <v>0</v>
          </cell>
          <cell r="DU288">
            <v>42202</v>
          </cell>
          <cell r="DW288">
            <v>0</v>
          </cell>
          <cell r="DY288">
            <v>42188</v>
          </cell>
          <cell r="DZ288">
            <v>42247</v>
          </cell>
          <cell r="EA288" t="str">
            <v>IENG</v>
          </cell>
          <cell r="EJ288">
            <v>0</v>
          </cell>
          <cell r="EK288">
            <v>42205</v>
          </cell>
          <cell r="EM288">
            <v>42206</v>
          </cell>
          <cell r="EQ288">
            <v>42215</v>
          </cell>
          <cell r="EW288">
            <v>0</v>
          </cell>
          <cell r="EX288">
            <v>42229</v>
          </cell>
          <cell r="EZ288">
            <v>42225</v>
          </cell>
          <cell r="FB288">
            <v>42227</v>
          </cell>
          <cell r="FU288">
            <v>42229</v>
          </cell>
          <cell r="FW288">
            <v>42229</v>
          </cell>
          <cell r="GI288">
            <v>42246</v>
          </cell>
          <cell r="GJ288">
            <v>0</v>
          </cell>
          <cell r="GN288" t="str">
            <v>ERICSSON</v>
          </cell>
          <cell r="GU288" t="str">
            <v xml:space="preserve">		</v>
          </cell>
          <cell r="HD288">
            <v>1</v>
          </cell>
        </row>
        <row r="289">
          <cell r="A289" t="str">
            <v>MG0251</v>
          </cell>
          <cell r="B289" t="str">
            <v>ANMG_0076</v>
          </cell>
          <cell r="C289" t="str">
            <v>Apollo</v>
          </cell>
          <cell r="D289" t="str">
            <v>Chris Thomson</v>
          </cell>
          <cell r="F289" t="str">
            <v>Mya Kyauk</v>
          </cell>
          <cell r="G289" t="str">
            <v>Si Thu Moe</v>
          </cell>
          <cell r="H289" t="str">
            <v>RED</v>
          </cell>
          <cell r="I289" t="str">
            <v>North</v>
          </cell>
          <cell r="J289" t="str">
            <v>95.1805</v>
          </cell>
          <cell r="K289" t="str">
            <v>19.3191</v>
          </cell>
          <cell r="L289" t="str">
            <v>SubUrban</v>
          </cell>
          <cell r="M289" t="str">
            <v>Magway</v>
          </cell>
          <cell r="N289" t="str">
            <v>Thayet</v>
          </cell>
          <cell r="O289" t="str">
            <v>Thayet</v>
          </cell>
          <cell r="P289" t="str">
            <v>Magway</v>
          </cell>
          <cell r="Q289" t="str">
            <v>7</v>
          </cell>
          <cell r="R289" t="str">
            <v>Thayet</v>
          </cell>
          <cell r="S289" t="str">
            <v>128</v>
          </cell>
          <cell r="T289" t="str">
            <v>GSM+UMTS</v>
          </cell>
          <cell r="W289" t="str">
            <v>Ph2-Priority</v>
          </cell>
          <cell r="X289" t="str">
            <v>35</v>
          </cell>
          <cell r="Y289" t="str">
            <v>37</v>
          </cell>
          <cell r="Z289" t="str">
            <v>GBT</v>
          </cell>
          <cell r="AA289" t="str">
            <v>100</v>
          </cell>
          <cell r="AB289" t="str">
            <v>Access</v>
          </cell>
          <cell r="AC289" t="str">
            <v>Class B</v>
          </cell>
          <cell r="BE289" t="str">
            <v>Route 1 Yangon - Mandalay</v>
          </cell>
          <cell r="BH289" t="str">
            <v>IENG</v>
          </cell>
          <cell r="BJ289">
            <v>42167</v>
          </cell>
          <cell r="BK289">
            <v>42130</v>
          </cell>
          <cell r="BL289">
            <v>42172</v>
          </cell>
          <cell r="BM289">
            <v>42166</v>
          </cell>
          <cell r="BT289">
            <v>103</v>
          </cell>
          <cell r="BU289">
            <v>42217</v>
          </cell>
          <cell r="BV289">
            <v>42233</v>
          </cell>
          <cell r="BW289" t="str">
            <v>95.17705</v>
          </cell>
          <cell r="BX289" t="str">
            <v>19.31887</v>
          </cell>
          <cell r="BY289" t="str">
            <v>C1</v>
          </cell>
          <cell r="BZ289" t="str">
            <v>NO(3) Anaung Taung quarter,Aung mingalar street,</v>
          </cell>
          <cell r="CA289" t="str">
            <v>DAW AYE SAN</v>
          </cell>
          <cell r="CB289" t="str">
            <v>18 Aug 15 : C1 SAR reconsider and approved again as an option 1,earlier rejected;17 Aug 15: C1 SAR resubmit to reconsider( As no other candidate is available due to restriction by local authority with regard to tall structures proximity from the Prison Facility. C02 nas NOC problem, C03 was rejected as it is near MG0044.);23 Jun15 : C1 SAR rejected(RND rejected this candidate because it is 360m far from the nominal outside the search ring and the surrounding population area of this candidate is not crowded as the surrounding area of nominal. Suggest to find the candidate within the search ring.);
21JUn15: C1 SAR Sub</v>
          </cell>
          <cell r="CC289" t="str">
            <v>Residential</v>
          </cell>
          <cell r="CE289">
            <v>0</v>
          </cell>
          <cell r="CF289">
            <v>42218</v>
          </cell>
          <cell r="CG289">
            <v>42234</v>
          </cell>
          <cell r="CH289">
            <v>42220</v>
          </cell>
          <cell r="CJ289">
            <v>42238</v>
          </cell>
          <cell r="CK289" t="str">
            <v>35</v>
          </cell>
          <cell r="CL289" t="str">
            <v>37</v>
          </cell>
          <cell r="CM289" t="str">
            <v>35</v>
          </cell>
          <cell r="CN289">
            <v>0</v>
          </cell>
          <cell r="CO289">
            <v>42223</v>
          </cell>
          <cell r="CP289">
            <v>42240</v>
          </cell>
          <cell r="CQ289" t="str">
            <v>M1: grid power + battery</v>
          </cell>
          <cell r="CR289">
            <v>0</v>
          </cell>
          <cell r="CS289">
            <v>42224</v>
          </cell>
          <cell r="CT289">
            <v>42241</v>
          </cell>
          <cell r="CU289" t="str">
            <v>MG0251</v>
          </cell>
          <cell r="DH289">
            <v>0</v>
          </cell>
          <cell r="DI289">
            <v>42234</v>
          </cell>
          <cell r="DJ289">
            <v>42174</v>
          </cell>
          <cell r="DK289">
            <v>42231</v>
          </cell>
          <cell r="DL289">
            <v>42248</v>
          </cell>
          <cell r="DM289">
            <v>42235</v>
          </cell>
          <cell r="DN289">
            <v>42180</v>
          </cell>
          <cell r="DO289">
            <v>0</v>
          </cell>
          <cell r="DP289">
            <v>42234</v>
          </cell>
          <cell r="DQ289">
            <v>42174</v>
          </cell>
          <cell r="DT289">
            <v>0</v>
          </cell>
          <cell r="DU289">
            <v>42249</v>
          </cell>
          <cell r="DW289">
            <v>0</v>
          </cell>
          <cell r="DY289">
            <v>42235</v>
          </cell>
          <cell r="DZ289">
            <v>42180</v>
          </cell>
          <cell r="EA289" t="str">
            <v>IENG</v>
          </cell>
          <cell r="EE289" t="str">
            <v xml:space="preserve">10 Aug 15:Rain affected_Progress affected; 3-Aug-15: Rain affected_ Site is progressing but rain is affecting the work every day. CW IP. Excavation IP								</v>
          </cell>
          <cell r="EJ289">
            <v>0</v>
          </cell>
          <cell r="EK289">
            <v>42257</v>
          </cell>
          <cell r="EM289">
            <v>42258</v>
          </cell>
          <cell r="EQ289">
            <v>42270</v>
          </cell>
          <cell r="EW289">
            <v>0</v>
          </cell>
          <cell r="EX289">
            <v>42233</v>
          </cell>
          <cell r="EZ289">
            <v>42280</v>
          </cell>
          <cell r="FB289">
            <v>42282</v>
          </cell>
          <cell r="FU289">
            <v>42284</v>
          </cell>
          <cell r="FW289">
            <v>42284</v>
          </cell>
          <cell r="GF289">
            <v>42102</v>
          </cell>
          <cell r="GI289">
            <v>42119</v>
          </cell>
          <cell r="GJ289">
            <v>0</v>
          </cell>
          <cell r="GN289" t="str">
            <v>ERICSSON</v>
          </cell>
          <cell r="HD289">
            <v>1</v>
          </cell>
        </row>
        <row r="290">
          <cell r="A290" t="str">
            <v>MG0252</v>
          </cell>
          <cell r="B290" t="str">
            <v>ANMG_0119</v>
          </cell>
          <cell r="C290" t="str">
            <v>Apollo</v>
          </cell>
          <cell r="D290" t="str">
            <v>Chris Thomson</v>
          </cell>
          <cell r="F290" t="str">
            <v>Mya Kyauk</v>
          </cell>
          <cell r="G290" t="str">
            <v>Si Thu Moe</v>
          </cell>
          <cell r="H290" t="str">
            <v>AMBER</v>
          </cell>
          <cell r="I290" t="str">
            <v>North</v>
          </cell>
          <cell r="J290" t="str">
            <v>95.170481</v>
          </cell>
          <cell r="K290" t="str">
            <v>19.331129</v>
          </cell>
          <cell r="L290" t="str">
            <v>SubUrban</v>
          </cell>
          <cell r="M290" t="str">
            <v>Magway</v>
          </cell>
          <cell r="N290" t="str">
            <v>Thayet</v>
          </cell>
          <cell r="O290" t="str">
            <v>Thayet</v>
          </cell>
          <cell r="P290" t="str">
            <v>Magway</v>
          </cell>
          <cell r="Q290" t="str">
            <v>7</v>
          </cell>
          <cell r="R290" t="str">
            <v>Thayet</v>
          </cell>
          <cell r="S290" t="str">
            <v>128</v>
          </cell>
          <cell r="T290" t="str">
            <v>GSM+UMTS</v>
          </cell>
          <cell r="W290" t="str">
            <v>Ph2-Priority</v>
          </cell>
          <cell r="X290" t="str">
            <v>35</v>
          </cell>
          <cell r="Y290" t="str">
            <v>37</v>
          </cell>
          <cell r="Z290" t="str">
            <v>GBT</v>
          </cell>
          <cell r="AA290" t="str">
            <v>100</v>
          </cell>
          <cell r="AB290" t="str">
            <v>Access</v>
          </cell>
          <cell r="AC290" t="str">
            <v>Class B</v>
          </cell>
          <cell r="BE290" t="str">
            <v>Route 1 Yangon - Mandalay</v>
          </cell>
          <cell r="BH290" t="str">
            <v>IENG</v>
          </cell>
          <cell r="BJ290">
            <v>42135</v>
          </cell>
          <cell r="BK290">
            <v>42130</v>
          </cell>
          <cell r="BL290">
            <v>42140</v>
          </cell>
          <cell r="BM290">
            <v>42132</v>
          </cell>
          <cell r="BT290">
            <v>48</v>
          </cell>
          <cell r="BU290">
            <v>42170</v>
          </cell>
          <cell r="BV290">
            <v>42178</v>
          </cell>
          <cell r="BW290" t="str">
            <v>95.17051</v>
          </cell>
          <cell r="BX290" t="str">
            <v>19.33276</v>
          </cell>
          <cell r="BY290" t="str">
            <v>C2</v>
          </cell>
          <cell r="BZ290" t="str">
            <v>A Nought Yet,Myoe pat road,Tha yet township.</v>
          </cell>
          <cell r="CA290" t="str">
            <v>Daw Khin Win;A Nouught yet Ward,Myo Path Road,Thayet Tsp;09256636599</v>
          </cell>
          <cell r="CB290" t="str">
            <v>8 July 15: C2 TSSR sub(Candidate C1 has to be replaced due to lot owner issue);23 June 15 : C2 SAR sub because C1 cancelled -Farmland, Owner not intrested to apply for Other use permit; prev C1 TSSR app on 28 May 15;18May15: C1 SAR Sub</v>
          </cell>
          <cell r="CC290" t="str">
            <v>Garden Land</v>
          </cell>
          <cell r="CE290">
            <v>4</v>
          </cell>
          <cell r="CF290">
            <v>42171</v>
          </cell>
          <cell r="CG290">
            <v>42182</v>
          </cell>
          <cell r="CH290">
            <v>42173</v>
          </cell>
          <cell r="CJ290">
            <v>42191</v>
          </cell>
          <cell r="CK290" t="str">
            <v>35</v>
          </cell>
          <cell r="CL290" t="str">
            <v>37</v>
          </cell>
          <cell r="CM290" t="str">
            <v>45</v>
          </cell>
          <cell r="CN290">
            <v>11</v>
          </cell>
          <cell r="CO290">
            <v>42176</v>
          </cell>
          <cell r="CP290">
            <v>42193</v>
          </cell>
          <cell r="CQ290" t="str">
            <v>M1: grid power + battery</v>
          </cell>
          <cell r="CR290">
            <v>1</v>
          </cell>
          <cell r="CS290">
            <v>42177</v>
          </cell>
          <cell r="CT290">
            <v>42194</v>
          </cell>
          <cell r="CU290" t="str">
            <v>MG0252</v>
          </cell>
          <cell r="DH290">
            <v>39</v>
          </cell>
          <cell r="DI290">
            <v>42187</v>
          </cell>
          <cell r="DJ290">
            <v>42198</v>
          </cell>
          <cell r="DK290">
            <v>42184</v>
          </cell>
          <cell r="DL290">
            <v>42209</v>
          </cell>
          <cell r="DM290">
            <v>42188</v>
          </cell>
          <cell r="DN290">
            <v>42209</v>
          </cell>
          <cell r="DO290">
            <v>0</v>
          </cell>
          <cell r="DP290">
            <v>42187</v>
          </cell>
          <cell r="DQ290">
            <v>42188</v>
          </cell>
          <cell r="DT290">
            <v>0</v>
          </cell>
          <cell r="DU290">
            <v>42202</v>
          </cell>
          <cell r="DW290">
            <v>0</v>
          </cell>
          <cell r="DY290">
            <v>42188</v>
          </cell>
          <cell r="DZ290">
            <v>42203</v>
          </cell>
          <cell r="EA290" t="str">
            <v>IENG</v>
          </cell>
          <cell r="EB290">
            <v>42214</v>
          </cell>
          <cell r="ED290" t="str">
            <v xml:space="preserve">10Aug15 :PaingThu.Soe: 7-8-15 Rebar done.
</v>
          </cell>
          <cell r="EE290" t="str">
            <v xml:space="preserve">10 Aug 15:Rain affected_Progress affected; 4-Aug-15:   ACCESS PROBLEM IF CONTINUOUS RAIN (DIRT ROAD),rebar fabrication								</v>
          </cell>
          <cell r="EJ290">
            <v>30</v>
          </cell>
          <cell r="EK290">
            <v>42205</v>
          </cell>
          <cell r="EL290">
            <v>42236</v>
          </cell>
          <cell r="EM290">
            <v>42206</v>
          </cell>
          <cell r="EN290">
            <v>42243</v>
          </cell>
          <cell r="EQ290">
            <v>42215</v>
          </cell>
          <cell r="ER290">
            <v>42250</v>
          </cell>
          <cell r="ES290">
            <v>42244</v>
          </cell>
          <cell r="EW290">
            <v>30</v>
          </cell>
          <cell r="EX290">
            <v>42229</v>
          </cell>
          <cell r="EZ290">
            <v>42225</v>
          </cell>
          <cell r="FA290">
            <v>42247</v>
          </cell>
          <cell r="FB290">
            <v>42227</v>
          </cell>
          <cell r="FU290">
            <v>42229</v>
          </cell>
          <cell r="FW290">
            <v>42229</v>
          </cell>
          <cell r="FY290" t="str">
            <v>AZM</v>
          </cell>
          <cell r="FZ290">
            <v>42249</v>
          </cell>
          <cell r="GI290">
            <v>42125</v>
          </cell>
          <cell r="GJ290" t="str">
            <v>44-2015</v>
          </cell>
          <cell r="GN290" t="str">
            <v>ERICSSON</v>
          </cell>
          <cell r="GS290" t="str">
            <v>4/4/4</v>
          </cell>
          <cell r="GU290" t="str">
            <v xml:space="preserve">		</v>
          </cell>
          <cell r="HD290">
            <v>1</v>
          </cell>
        </row>
        <row r="291">
          <cell r="A291" t="str">
            <v>MG0254</v>
          </cell>
          <cell r="B291" t="str">
            <v>ANMG_0120</v>
          </cell>
          <cell r="C291" t="str">
            <v>Apollo</v>
          </cell>
          <cell r="D291" t="str">
            <v>Chris Thomson</v>
          </cell>
          <cell r="F291" t="str">
            <v>Mya Kyauk</v>
          </cell>
          <cell r="G291" t="str">
            <v>Si Thu Moe</v>
          </cell>
          <cell r="H291" t="str">
            <v>RED</v>
          </cell>
          <cell r="I291" t="str">
            <v>North</v>
          </cell>
          <cell r="J291" t="str">
            <v>95.2137</v>
          </cell>
          <cell r="K291" t="str">
            <v>19.3783</v>
          </cell>
          <cell r="L291" t="str">
            <v>SubUrban</v>
          </cell>
          <cell r="M291" t="str">
            <v>Magway</v>
          </cell>
          <cell r="N291" t="str">
            <v>Aunglan</v>
          </cell>
          <cell r="O291" t="str">
            <v>Aunglan</v>
          </cell>
          <cell r="P291" t="str">
            <v>Magway</v>
          </cell>
          <cell r="Q291" t="str">
            <v>7</v>
          </cell>
          <cell r="R291" t="str">
            <v>Aunglan</v>
          </cell>
          <cell r="S291" t="str">
            <v>132</v>
          </cell>
          <cell r="T291" t="str">
            <v>GSM+UMTS</v>
          </cell>
          <cell r="W291" t="str">
            <v>Ph2-Priority</v>
          </cell>
          <cell r="X291" t="str">
            <v>35</v>
          </cell>
          <cell r="Y291" t="str">
            <v>37</v>
          </cell>
          <cell r="Z291" t="str">
            <v>GBT</v>
          </cell>
          <cell r="AA291" t="str">
            <v>100</v>
          </cell>
          <cell r="AB291" t="str">
            <v>Access</v>
          </cell>
          <cell r="AC291" t="str">
            <v>Class B</v>
          </cell>
          <cell r="BE291" t="str">
            <v>Route 1 Yangon - Mandalay</v>
          </cell>
          <cell r="BH291" t="str">
            <v>IENG</v>
          </cell>
          <cell r="BJ291">
            <v>42168</v>
          </cell>
          <cell r="BK291">
            <v>42130</v>
          </cell>
          <cell r="BL291">
            <v>42173</v>
          </cell>
          <cell r="BM291">
            <v>42174</v>
          </cell>
          <cell r="BT291">
            <v>103</v>
          </cell>
          <cell r="BU291">
            <v>42218</v>
          </cell>
          <cell r="BV291">
            <v>42197</v>
          </cell>
          <cell r="BW291" t="str">
            <v>95.215</v>
          </cell>
          <cell r="BX291" t="str">
            <v>19.3814</v>
          </cell>
          <cell r="BY291" t="str">
            <v>Reject</v>
          </cell>
          <cell r="BZ291" t="str">
            <v>Zay Kone (1 )Street,Zay Kone Quarter,Aung Lan Ts</v>
          </cell>
          <cell r="CA291" t="str">
            <v>U Tin Than Oo</v>
          </cell>
          <cell r="CB291" t="str">
            <v>21 July 15 : C3 SAR rejected(RND rejected because this site is 558m far from the nominal point and 355m close with on air site (MG0044_C01). Please find the new candidate near the nominal.);19 Jul 15 : C3 SAR sub(C1 Rejected, C2 Owner Backout);14 Jul 15: C2 SAR  app;12 Jul 15 : C2 SAR sub</v>
          </cell>
          <cell r="CC291" t="str">
            <v>Residential</v>
          </cell>
          <cell r="CE291">
            <v>0</v>
          </cell>
          <cell r="CF291">
            <v>42219</v>
          </cell>
          <cell r="CG291">
            <v>42199</v>
          </cell>
          <cell r="CH291">
            <v>42221</v>
          </cell>
          <cell r="CJ291">
            <v>42240</v>
          </cell>
          <cell r="CK291" t="str">
            <v>35</v>
          </cell>
          <cell r="CL291" t="str">
            <v>37</v>
          </cell>
          <cell r="CM291" t="str">
            <v>35</v>
          </cell>
          <cell r="CN291">
            <v>0</v>
          </cell>
          <cell r="CO291">
            <v>42224</v>
          </cell>
          <cell r="CP291">
            <v>42242</v>
          </cell>
          <cell r="CQ291" t="str">
            <v>M1: grid power + battery</v>
          </cell>
          <cell r="CR291">
            <v>0</v>
          </cell>
          <cell r="CS291">
            <v>42225</v>
          </cell>
          <cell r="CT291">
            <v>42243</v>
          </cell>
          <cell r="CU291" t="str">
            <v>MG0254</v>
          </cell>
          <cell r="DH291">
            <v>0</v>
          </cell>
          <cell r="DI291">
            <v>42235</v>
          </cell>
          <cell r="DK291">
            <v>42232</v>
          </cell>
          <cell r="DM291">
            <v>42236</v>
          </cell>
          <cell r="DO291">
            <v>0</v>
          </cell>
          <cell r="DP291">
            <v>42235</v>
          </cell>
          <cell r="DT291">
            <v>0</v>
          </cell>
          <cell r="DU291">
            <v>42250</v>
          </cell>
          <cell r="DW291">
            <v>0</v>
          </cell>
          <cell r="DY291">
            <v>42236</v>
          </cell>
          <cell r="EA291" t="str">
            <v>IENG</v>
          </cell>
          <cell r="EJ291">
            <v>0</v>
          </cell>
          <cell r="EK291">
            <v>42253</v>
          </cell>
          <cell r="EM291">
            <v>42254</v>
          </cell>
          <cell r="EQ291">
            <v>42263</v>
          </cell>
          <cell r="EW291">
            <v>0</v>
          </cell>
          <cell r="EX291">
            <v>42225</v>
          </cell>
          <cell r="EZ291">
            <v>42273</v>
          </cell>
          <cell r="FB291">
            <v>42275</v>
          </cell>
          <cell r="FU291">
            <v>42277</v>
          </cell>
          <cell r="FW291">
            <v>42277</v>
          </cell>
          <cell r="FY291" t="str">
            <v>AZM</v>
          </cell>
          <cell r="GF291">
            <v>42119</v>
          </cell>
          <cell r="GI291">
            <v>42173</v>
          </cell>
          <cell r="GJ291">
            <v>0</v>
          </cell>
          <cell r="GN291" t="str">
            <v>ERICSSON</v>
          </cell>
          <cell r="HD291">
            <v>1</v>
          </cell>
        </row>
        <row r="292">
          <cell r="A292" t="str">
            <v>MG0260</v>
          </cell>
          <cell r="B292" t="str">
            <v>ANMG_0121</v>
          </cell>
          <cell r="C292" t="str">
            <v>Apollo</v>
          </cell>
          <cell r="D292" t="str">
            <v>Chris Thomson</v>
          </cell>
          <cell r="F292" t="str">
            <v>Mya Kyauk</v>
          </cell>
          <cell r="G292" t="str">
            <v>Si Thu Moe</v>
          </cell>
          <cell r="H292" t="str">
            <v>WHITE</v>
          </cell>
          <cell r="I292" t="str">
            <v>North</v>
          </cell>
          <cell r="J292" t="str">
            <v>95.5362</v>
          </cell>
          <cell r="K292" t="str">
            <v>20.0006</v>
          </cell>
          <cell r="L292" t="str">
            <v>SubUrban</v>
          </cell>
          <cell r="M292" t="str">
            <v>Magway</v>
          </cell>
          <cell r="N292" t="str">
            <v>Taungdwingyi</v>
          </cell>
          <cell r="O292" t="str">
            <v>Taungdwingyi</v>
          </cell>
          <cell r="P292" t="str">
            <v>Magway</v>
          </cell>
          <cell r="Q292" t="str">
            <v>7</v>
          </cell>
          <cell r="R292" t="str">
            <v>Taungdwingyi</v>
          </cell>
          <cell r="S292" t="str">
            <v>120</v>
          </cell>
          <cell r="T292" t="str">
            <v>GSM+UMTS</v>
          </cell>
          <cell r="W292" t="str">
            <v>Ph2-Priority</v>
          </cell>
          <cell r="X292" t="str">
            <v>35</v>
          </cell>
          <cell r="Y292" t="str">
            <v>37</v>
          </cell>
          <cell r="Z292" t="str">
            <v>GBT</v>
          </cell>
          <cell r="AA292" t="str">
            <v>250</v>
          </cell>
          <cell r="AB292" t="str">
            <v>Access</v>
          </cell>
          <cell r="AC292" t="str">
            <v>Class B</v>
          </cell>
          <cell r="BE292" t="str">
            <v>Route 1 Yangon - Mandalay</v>
          </cell>
          <cell r="BH292" t="str">
            <v>Camusat</v>
          </cell>
          <cell r="BJ292">
            <v>42152</v>
          </cell>
          <cell r="BK292">
            <v>42130</v>
          </cell>
          <cell r="BL292">
            <v>42157</v>
          </cell>
          <cell r="BM292">
            <v>42142</v>
          </cell>
          <cell r="BT292">
            <v>22</v>
          </cell>
          <cell r="BU292">
            <v>42157</v>
          </cell>
          <cell r="BV292">
            <v>42152</v>
          </cell>
          <cell r="BW292" t="str">
            <v>95.536291</v>
          </cell>
          <cell r="BX292" t="str">
            <v>19.999343</v>
          </cell>
          <cell r="BY292" t="str">
            <v>C1</v>
          </cell>
          <cell r="BZ292" t="str">
            <v>No(547),Pan Htwar Street,Ohn Taw Ward, Taung Twingyi Township,Magway.</v>
          </cell>
          <cell r="CA292" t="str">
            <v>U Nay Win Aung;House no.(547), Pan Twar Street, Ohnn Taw (1) Quarter, Taung Dwin Gyi Township, Magway Division;09-401564817</v>
          </cell>
          <cell r="CB292" t="str">
            <v>28May15: C1 SAR Sub</v>
          </cell>
          <cell r="CC292" t="str">
            <v>VILLAGE</v>
          </cell>
          <cell r="CE292">
            <v>1</v>
          </cell>
          <cell r="CF292">
            <v>42158</v>
          </cell>
          <cell r="CG292">
            <v>42153</v>
          </cell>
          <cell r="CH292">
            <v>42160</v>
          </cell>
          <cell r="CJ292">
            <v>42157</v>
          </cell>
          <cell r="CK292" t="str">
            <v>35</v>
          </cell>
          <cell r="CL292" t="str">
            <v>37</v>
          </cell>
          <cell r="CM292" t="str">
            <v>45</v>
          </cell>
          <cell r="CN292">
            <v>6</v>
          </cell>
          <cell r="CO292">
            <v>42163</v>
          </cell>
          <cell r="CP292">
            <v>42159</v>
          </cell>
          <cell r="CQ292" t="str">
            <v>M1: grid power + battery</v>
          </cell>
          <cell r="CR292">
            <v>5</v>
          </cell>
          <cell r="CS292">
            <v>42164</v>
          </cell>
          <cell r="CT292">
            <v>42164</v>
          </cell>
          <cell r="CU292" t="str">
            <v>MG0260</v>
          </cell>
          <cell r="DH292">
            <v>69</v>
          </cell>
          <cell r="DI292">
            <v>42174</v>
          </cell>
          <cell r="DK292">
            <v>42171</v>
          </cell>
          <cell r="DL292">
            <v>42176</v>
          </cell>
          <cell r="DM292">
            <v>42175</v>
          </cell>
          <cell r="DN292">
            <v>42176</v>
          </cell>
          <cell r="DO292">
            <v>0</v>
          </cell>
          <cell r="DP292">
            <v>42174</v>
          </cell>
          <cell r="DT292">
            <v>0</v>
          </cell>
          <cell r="DU292">
            <v>42189</v>
          </cell>
          <cell r="DW292">
            <v>0</v>
          </cell>
          <cell r="DY292">
            <v>42175</v>
          </cell>
          <cell r="DZ292">
            <v>42179</v>
          </cell>
          <cell r="EA292" t="str">
            <v>Camusat</v>
          </cell>
          <cell r="ED292" t="str">
            <v xml:space="preserve">11Jul15 :SiThu.Moe: Tower foundation is done.Backfilling is ongoing.Tower materials are arrived at site.
</v>
          </cell>
          <cell r="EI292" t="str">
            <v>M5: grid power + DG + battery      </v>
          </cell>
          <cell r="EJ292">
            <v>16</v>
          </cell>
          <cell r="EK292">
            <v>42192</v>
          </cell>
          <cell r="EL292">
            <v>42195</v>
          </cell>
          <cell r="EM292">
            <v>42193</v>
          </cell>
          <cell r="EN292">
            <v>42199</v>
          </cell>
          <cell r="EQ292">
            <v>42202</v>
          </cell>
          <cell r="ER292">
            <v>42205</v>
          </cell>
          <cell r="ES292">
            <v>42205</v>
          </cell>
          <cell r="ET292">
            <v>42206</v>
          </cell>
          <cell r="EU292">
            <v>42206</v>
          </cell>
          <cell r="EW292">
            <v>54</v>
          </cell>
          <cell r="EX292">
            <v>42216</v>
          </cell>
          <cell r="EZ292">
            <v>42212</v>
          </cell>
          <cell r="FA292">
            <v>42211</v>
          </cell>
          <cell r="FB292">
            <v>42214</v>
          </cell>
          <cell r="FC292">
            <v>42212</v>
          </cell>
          <cell r="FE292">
            <v>42193</v>
          </cell>
          <cell r="FU292">
            <v>42216</v>
          </cell>
          <cell r="FW292">
            <v>42216</v>
          </cell>
          <cell r="FX292">
            <v>42212</v>
          </cell>
          <cell r="FY292" t="str">
            <v>UT</v>
          </cell>
          <cell r="FZ292">
            <v>42213</v>
          </cell>
          <cell r="GA292">
            <v>42216</v>
          </cell>
          <cell r="GB292">
            <v>42218</v>
          </cell>
          <cell r="GC292">
            <v>42219</v>
          </cell>
          <cell r="GD292">
            <v>42219</v>
          </cell>
          <cell r="GE292">
            <v>42219</v>
          </cell>
          <cell r="GF292">
            <v>42219</v>
          </cell>
          <cell r="GG292">
            <v>42219</v>
          </cell>
          <cell r="GH292">
            <v>42219</v>
          </cell>
          <cell r="GI292">
            <v>42246</v>
          </cell>
          <cell r="GJ292" t="str">
            <v>36-2015</v>
          </cell>
          <cell r="GK292">
            <v>42219</v>
          </cell>
          <cell r="GN292" t="str">
            <v>ERICSSON</v>
          </cell>
          <cell r="HD292">
            <v>1</v>
          </cell>
        </row>
        <row r="293">
          <cell r="A293" t="str">
            <v>MG0262</v>
          </cell>
          <cell r="B293" t="str">
            <v>ANMG_0080</v>
          </cell>
          <cell r="C293" t="str">
            <v>Apollo</v>
          </cell>
          <cell r="D293" t="str">
            <v>Adriaan Coetsee</v>
          </cell>
          <cell r="F293" t="str">
            <v>Mya Kyauk</v>
          </cell>
          <cell r="G293" t="str">
            <v>Si Thu Moe</v>
          </cell>
          <cell r="H293" t="str">
            <v>AMBER</v>
          </cell>
          <cell r="I293" t="str">
            <v>North</v>
          </cell>
          <cell r="J293" t="str">
            <v>95.4445</v>
          </cell>
          <cell r="K293" t="str">
            <v>20.196</v>
          </cell>
          <cell r="L293" t="str">
            <v>SubUrban</v>
          </cell>
          <cell r="M293" t="str">
            <v>Magway</v>
          </cell>
          <cell r="N293" t="str">
            <v>Myothit</v>
          </cell>
          <cell r="O293" t="str">
            <v>Myothit</v>
          </cell>
          <cell r="P293" t="str">
            <v>Magway</v>
          </cell>
          <cell r="Q293" t="str">
            <v>7</v>
          </cell>
          <cell r="R293" t="str">
            <v>Myothit</v>
          </cell>
          <cell r="S293" t="str">
            <v>121</v>
          </cell>
          <cell r="T293" t="str">
            <v>GSM+UMTS</v>
          </cell>
          <cell r="W293" t="str">
            <v>Ph2-Priority</v>
          </cell>
          <cell r="X293" t="str">
            <v>35</v>
          </cell>
          <cell r="Y293" t="str">
            <v>37</v>
          </cell>
          <cell r="Z293" t="str">
            <v>GBT</v>
          </cell>
          <cell r="AA293" t="str">
            <v>250</v>
          </cell>
          <cell r="AB293" t="str">
            <v>Access</v>
          </cell>
          <cell r="AC293" t="str">
            <v>Class B</v>
          </cell>
          <cell r="BE293" t="str">
            <v>Route 1 Yangon - Mandalay</v>
          </cell>
          <cell r="BH293" t="str">
            <v>IENG</v>
          </cell>
          <cell r="BJ293">
            <v>42170</v>
          </cell>
          <cell r="BK293">
            <v>42136</v>
          </cell>
          <cell r="BL293">
            <v>42175</v>
          </cell>
          <cell r="BM293">
            <v>42143</v>
          </cell>
          <cell r="BT293">
            <v>17</v>
          </cell>
          <cell r="BU293">
            <v>42171</v>
          </cell>
          <cell r="BV293">
            <v>42153</v>
          </cell>
          <cell r="BW293" t="str">
            <v>95.44588</v>
          </cell>
          <cell r="BX293" t="str">
            <v>20.19651</v>
          </cell>
          <cell r="BY293" t="str">
            <v>C1</v>
          </cell>
          <cell r="BZ293" t="str">
            <v>No(36), Myo Oo Road, Lal Pyin Quarter, Myo Thit,Magway Division.</v>
          </cell>
          <cell r="CA293" t="str">
            <v>Ma Hnin Kyi;Myo Oo Street,Lal pyin Quarter,Myo Thit,Mgway Division;09-401519686/250089266</v>
          </cell>
          <cell r="CB293" t="str">
            <v>29May15: C1 SAR Sub</v>
          </cell>
          <cell r="CE293">
            <v>3</v>
          </cell>
          <cell r="CF293">
            <v>42172</v>
          </cell>
          <cell r="CG293">
            <v>42156</v>
          </cell>
          <cell r="CH293">
            <v>42174</v>
          </cell>
          <cell r="CJ293">
            <v>42170</v>
          </cell>
          <cell r="CK293" t="str">
            <v>35</v>
          </cell>
          <cell r="CL293" t="str">
            <v>37</v>
          </cell>
          <cell r="CM293" t="str">
            <v>45</v>
          </cell>
          <cell r="CN293">
            <v>16</v>
          </cell>
          <cell r="CO293">
            <v>42177</v>
          </cell>
          <cell r="CP293">
            <v>42172</v>
          </cell>
          <cell r="CQ293" t="str">
            <v>M1: grid power + battery</v>
          </cell>
          <cell r="CR293">
            <v>1</v>
          </cell>
          <cell r="CS293">
            <v>42178</v>
          </cell>
          <cell r="CT293">
            <v>42173</v>
          </cell>
          <cell r="CU293" t="str">
            <v>MG0262</v>
          </cell>
          <cell r="DH293">
            <v>14</v>
          </cell>
          <cell r="DI293">
            <v>42188</v>
          </cell>
          <cell r="DJ293">
            <v>42187</v>
          </cell>
          <cell r="DK293">
            <v>42185</v>
          </cell>
          <cell r="DL293">
            <v>42179</v>
          </cell>
          <cell r="DM293">
            <v>42189</v>
          </cell>
          <cell r="DN293">
            <v>42182</v>
          </cell>
          <cell r="DO293">
            <v>0</v>
          </cell>
          <cell r="DP293">
            <v>42188</v>
          </cell>
          <cell r="DQ293">
            <v>42187</v>
          </cell>
          <cell r="DT293">
            <v>46</v>
          </cell>
          <cell r="DU293">
            <v>42203</v>
          </cell>
          <cell r="DW293">
            <v>0</v>
          </cell>
          <cell r="DY293">
            <v>42189</v>
          </cell>
          <cell r="DZ293">
            <v>42182</v>
          </cell>
          <cell r="EA293" t="str">
            <v>Camusat</v>
          </cell>
          <cell r="ED293" t="str">
            <v xml:space="preserve">11Jul15 :SiThu.Moe: CW is not start.
</v>
          </cell>
          <cell r="EE293" t="str">
            <v xml:space="preserve">10 Aug 15:Rain affected_Progress affected; 3-Aug-15: SKOM done.NEED BP to start								</v>
          </cell>
          <cell r="EJ293">
            <v>51</v>
          </cell>
          <cell r="EK293">
            <v>42206</v>
          </cell>
          <cell r="EM293">
            <v>42207</v>
          </cell>
          <cell r="EQ293">
            <v>42216</v>
          </cell>
          <cell r="EW293">
            <v>51</v>
          </cell>
          <cell r="EX293">
            <v>42230</v>
          </cell>
          <cell r="EZ293">
            <v>42226</v>
          </cell>
          <cell r="FB293">
            <v>42228</v>
          </cell>
          <cell r="FU293">
            <v>42230</v>
          </cell>
          <cell r="FW293">
            <v>42230</v>
          </cell>
          <cell r="FY293" t="str">
            <v>AZM</v>
          </cell>
          <cell r="GI293">
            <v>42246</v>
          </cell>
          <cell r="GJ293" t="str">
            <v>40-2015</v>
          </cell>
          <cell r="GN293" t="str">
            <v>ERICSSON</v>
          </cell>
          <cell r="GS293" t="str">
            <v>4/4/4</v>
          </cell>
          <cell r="GU293" t="str">
            <v xml:space="preserve">		</v>
          </cell>
          <cell r="HD293">
            <v>1</v>
          </cell>
        </row>
        <row r="294">
          <cell r="A294" t="str">
            <v>MG0263</v>
          </cell>
          <cell r="B294" t="str">
            <v>ANMG_0122</v>
          </cell>
          <cell r="C294" t="str">
            <v>Apollo</v>
          </cell>
          <cell r="D294" t="str">
            <v>Adriaan Coetsee</v>
          </cell>
          <cell r="F294" t="str">
            <v>Mya Kyauk</v>
          </cell>
          <cell r="G294" t="str">
            <v>Si Thu Moe</v>
          </cell>
          <cell r="H294" t="str">
            <v>WHITE</v>
          </cell>
          <cell r="I294" t="str">
            <v>North</v>
          </cell>
          <cell r="J294" t="str">
            <v>95.4009</v>
          </cell>
          <cell r="K294" t="str">
            <v>20.3598</v>
          </cell>
          <cell r="L294" t="str">
            <v>SubUrban</v>
          </cell>
          <cell r="M294" t="str">
            <v>Magway</v>
          </cell>
          <cell r="N294" t="str">
            <v>Natmauk</v>
          </cell>
          <cell r="O294" t="str">
            <v>Natmauk</v>
          </cell>
          <cell r="P294" t="str">
            <v>Magway</v>
          </cell>
          <cell r="Q294" t="str">
            <v>7</v>
          </cell>
          <cell r="R294" t="str">
            <v>Natmauk</v>
          </cell>
          <cell r="S294" t="str">
            <v>122</v>
          </cell>
          <cell r="T294" t="str">
            <v>GSM+UMTS</v>
          </cell>
          <cell r="W294" t="str">
            <v>Ph2-Priority</v>
          </cell>
          <cell r="X294" t="str">
            <v>35</v>
          </cell>
          <cell r="Y294" t="str">
            <v>37</v>
          </cell>
          <cell r="Z294" t="str">
            <v>GBT</v>
          </cell>
          <cell r="AA294" t="str">
            <v>100</v>
          </cell>
          <cell r="AB294" t="str">
            <v>Access</v>
          </cell>
          <cell r="AC294" t="str">
            <v>Class B</v>
          </cell>
          <cell r="BE294" t="str">
            <v>Route 1 Yangon - Mandalay</v>
          </cell>
          <cell r="BH294" t="str">
            <v>Camusat</v>
          </cell>
          <cell r="BJ294">
            <v>42128</v>
          </cell>
          <cell r="BK294">
            <v>42130</v>
          </cell>
          <cell r="BL294">
            <v>42133</v>
          </cell>
          <cell r="BM294">
            <v>42140</v>
          </cell>
          <cell r="BT294">
            <v>20</v>
          </cell>
          <cell r="BU294">
            <v>42139</v>
          </cell>
          <cell r="BV294">
            <v>42150</v>
          </cell>
          <cell r="BW294" t="str">
            <v>95.401524</v>
          </cell>
          <cell r="BX294" t="str">
            <v>20.360454</v>
          </cell>
          <cell r="BY294" t="str">
            <v>C1</v>
          </cell>
          <cell r="BZ294" t="str">
            <v>House no.(19), Myo Ma Quarter, Nat Mauk Town, Nat Mauk Township, Magway Division.</v>
          </cell>
          <cell r="CA294" t="str">
            <v>U Sel Tin Soe;House no.(19), Myo Ma Quarter, Nat Mauk Town, Nat Mauk Township, Magway Division;09-401557100</v>
          </cell>
          <cell r="CB294" t="str">
            <v>26May15: C1 SAR Sub.</v>
          </cell>
          <cell r="CE294">
            <v>0</v>
          </cell>
          <cell r="CF294">
            <v>42140</v>
          </cell>
          <cell r="CG294">
            <v>42150</v>
          </cell>
          <cell r="CH294">
            <v>42160</v>
          </cell>
          <cell r="CJ294">
            <v>42156</v>
          </cell>
          <cell r="CK294" t="str">
            <v>35</v>
          </cell>
          <cell r="CL294" t="str">
            <v>37</v>
          </cell>
          <cell r="CM294" t="str">
            <v>45</v>
          </cell>
          <cell r="CN294">
            <v>8</v>
          </cell>
          <cell r="CO294">
            <v>42163</v>
          </cell>
          <cell r="CP294">
            <v>42158</v>
          </cell>
          <cell r="CQ294" t="str">
            <v>M1: grid power + battery</v>
          </cell>
          <cell r="CR294">
            <v>1</v>
          </cell>
          <cell r="CS294">
            <v>42164</v>
          </cell>
          <cell r="CT294">
            <v>42159</v>
          </cell>
          <cell r="CU294" t="str">
            <v>MG0263</v>
          </cell>
          <cell r="DH294">
            <v>14</v>
          </cell>
          <cell r="DI294">
            <v>42174</v>
          </cell>
          <cell r="DJ294">
            <v>42173</v>
          </cell>
          <cell r="DK294">
            <v>42171</v>
          </cell>
          <cell r="DL294">
            <v>42170</v>
          </cell>
          <cell r="DM294">
            <v>42175</v>
          </cell>
          <cell r="DN294">
            <v>42174</v>
          </cell>
          <cell r="DO294">
            <v>0</v>
          </cell>
          <cell r="DP294">
            <v>42174</v>
          </cell>
          <cell r="DQ294">
            <v>42173</v>
          </cell>
          <cell r="DT294">
            <v>60</v>
          </cell>
          <cell r="DU294">
            <v>42189</v>
          </cell>
          <cell r="DW294">
            <v>0</v>
          </cell>
          <cell r="DY294">
            <v>42175</v>
          </cell>
          <cell r="DZ294">
            <v>42172</v>
          </cell>
          <cell r="EA294" t="str">
            <v>Camusat</v>
          </cell>
          <cell r="EI294" t="str">
            <v>M5: grid power + DG + battery      </v>
          </cell>
          <cell r="EJ294">
            <v>22</v>
          </cell>
          <cell r="EK294">
            <v>42192</v>
          </cell>
          <cell r="EL294">
            <v>42194</v>
          </cell>
          <cell r="EM294">
            <v>42193</v>
          </cell>
          <cell r="EN294">
            <v>42187</v>
          </cell>
          <cell r="EQ294">
            <v>42202</v>
          </cell>
          <cell r="ER294">
            <v>42207</v>
          </cell>
          <cell r="ES294">
            <v>42201</v>
          </cell>
          <cell r="ET294">
            <v>42208</v>
          </cell>
          <cell r="EU294">
            <v>42208</v>
          </cell>
          <cell r="EW294">
            <v>61</v>
          </cell>
          <cell r="EX294">
            <v>42216</v>
          </cell>
          <cell r="EZ294">
            <v>42212</v>
          </cell>
          <cell r="FA294">
            <v>42205</v>
          </cell>
          <cell r="FB294">
            <v>42214</v>
          </cell>
          <cell r="FC294">
            <v>42205</v>
          </cell>
          <cell r="FU294">
            <v>42216</v>
          </cell>
          <cell r="FW294">
            <v>42216</v>
          </cell>
          <cell r="FX294">
            <v>42208</v>
          </cell>
          <cell r="FY294" t="str">
            <v>AZM</v>
          </cell>
          <cell r="FZ294">
            <v>42212</v>
          </cell>
          <cell r="GA294">
            <v>42214</v>
          </cell>
          <cell r="GB294">
            <v>42214</v>
          </cell>
          <cell r="GC294">
            <v>42214</v>
          </cell>
          <cell r="GD294">
            <v>42214</v>
          </cell>
          <cell r="GE294">
            <v>42216</v>
          </cell>
          <cell r="GF294">
            <v>42224</v>
          </cell>
          <cell r="GG294">
            <v>42224</v>
          </cell>
          <cell r="GH294">
            <v>42224</v>
          </cell>
          <cell r="GI294">
            <v>42246</v>
          </cell>
          <cell r="GJ294" t="str">
            <v>36-2015</v>
          </cell>
          <cell r="GK294">
            <v>42224</v>
          </cell>
          <cell r="GN294" t="str">
            <v>ERICSSON</v>
          </cell>
          <cell r="GO294">
            <v>42206</v>
          </cell>
          <cell r="GS294" t="str">
            <v>4/4/4</v>
          </cell>
          <cell r="GU294" t="str">
            <v xml:space="preserve">		</v>
          </cell>
          <cell r="HD294">
            <v>1</v>
          </cell>
        </row>
        <row r="295">
          <cell r="A295" t="str">
            <v>MG0264</v>
          </cell>
          <cell r="B295" t="str">
            <v>ANMG_0081</v>
          </cell>
          <cell r="C295" t="str">
            <v>Apollo</v>
          </cell>
          <cell r="D295" t="str">
            <v>Adriaan Coetsee</v>
          </cell>
          <cell r="F295" t="str">
            <v>Mya Kyauk</v>
          </cell>
          <cell r="G295" t="str">
            <v>Si Thu Moe</v>
          </cell>
          <cell r="H295" t="str">
            <v>GREEN</v>
          </cell>
          <cell r="I295" t="str">
            <v>North</v>
          </cell>
          <cell r="J295" t="str">
            <v>95.3995</v>
          </cell>
          <cell r="K295" t="str">
            <v>20.3459</v>
          </cell>
          <cell r="L295" t="str">
            <v>SubUrban</v>
          </cell>
          <cell r="M295" t="str">
            <v>Magway</v>
          </cell>
          <cell r="N295" t="str">
            <v>Natmauk</v>
          </cell>
          <cell r="O295" t="str">
            <v>Natmauk</v>
          </cell>
          <cell r="P295" t="str">
            <v>Magway</v>
          </cell>
          <cell r="Q295" t="str">
            <v>7</v>
          </cell>
          <cell r="R295" t="str">
            <v>Natmauk</v>
          </cell>
          <cell r="S295" t="str">
            <v>122</v>
          </cell>
          <cell r="T295" t="str">
            <v>GSM+UMTS</v>
          </cell>
          <cell r="W295" t="str">
            <v>Ph2-Priority</v>
          </cell>
          <cell r="X295" t="str">
            <v>35</v>
          </cell>
          <cell r="Y295" t="str">
            <v>37</v>
          </cell>
          <cell r="Z295" t="str">
            <v>GBT</v>
          </cell>
          <cell r="AA295" t="str">
            <v>100</v>
          </cell>
          <cell r="AB295" t="str">
            <v>Access</v>
          </cell>
          <cell r="AC295" t="str">
            <v>Class B</v>
          </cell>
          <cell r="BE295" t="str">
            <v>Route 1 Yangon - Mandalay</v>
          </cell>
          <cell r="BH295" t="str">
            <v>IENG</v>
          </cell>
          <cell r="BJ295">
            <v>42167</v>
          </cell>
          <cell r="BK295">
            <v>42121</v>
          </cell>
          <cell r="BL295">
            <v>42172</v>
          </cell>
          <cell r="BM295">
            <v>42143</v>
          </cell>
          <cell r="BT295">
            <v>32</v>
          </cell>
          <cell r="BU295">
            <v>42196</v>
          </cell>
          <cell r="BV295">
            <v>42153</v>
          </cell>
          <cell r="BW295" t="str">
            <v>95.40053</v>
          </cell>
          <cell r="BX295" t="str">
            <v>20.34457</v>
          </cell>
          <cell r="BY295" t="str">
            <v>C1</v>
          </cell>
          <cell r="BZ295" t="str">
            <v>AUNG SAN (2) QUARTER,MYO PAT ROAD,NAT TOWNSHIP,MAGWAY DIVISION.</v>
          </cell>
          <cell r="CA295" t="str">
            <v>DAW AYE MYINT KYI,Pone Taw Pyae Group, Oo Bo village, Nat Maung Township, Magway Division,09-259484006, 09-976216231.</v>
          </cell>
          <cell r="CB295" t="str">
            <v>5 June 15: C1 SAR updated technical info given from E//  because of Topo changes at TND  ends and the plan max height was 35 M; 1 June 15 : C1 SAR approved as an option1(TND Approved. 17m clearance accepted according the desktop analysis.);29May15: C1 SAR Sub</v>
          </cell>
          <cell r="CE295">
            <v>3</v>
          </cell>
          <cell r="CF295">
            <v>42197</v>
          </cell>
          <cell r="CG295">
            <v>42156</v>
          </cell>
          <cell r="CH295">
            <v>42199</v>
          </cell>
          <cell r="CJ295">
            <v>42170</v>
          </cell>
          <cell r="CK295" t="str">
            <v>35</v>
          </cell>
          <cell r="CL295" t="str">
            <v>37</v>
          </cell>
          <cell r="CM295" t="str">
            <v>45</v>
          </cell>
          <cell r="CN295">
            <v>16</v>
          </cell>
          <cell r="CO295">
            <v>42202</v>
          </cell>
          <cell r="CP295">
            <v>42172</v>
          </cell>
          <cell r="CQ295" t="str">
            <v>M1: grid power + battery</v>
          </cell>
          <cell r="CR295">
            <v>1</v>
          </cell>
          <cell r="CS295">
            <v>42203</v>
          </cell>
          <cell r="CT295">
            <v>42173</v>
          </cell>
          <cell r="CU295" t="str">
            <v>MG0264</v>
          </cell>
          <cell r="DH295">
            <v>14</v>
          </cell>
          <cell r="DI295">
            <v>42213</v>
          </cell>
          <cell r="DJ295">
            <v>42187</v>
          </cell>
          <cell r="DK295">
            <v>42210</v>
          </cell>
          <cell r="DL295">
            <v>42179</v>
          </cell>
          <cell r="DM295">
            <v>42214</v>
          </cell>
          <cell r="DN295">
            <v>42182</v>
          </cell>
          <cell r="DO295">
            <v>0</v>
          </cell>
          <cell r="DP295">
            <v>42213</v>
          </cell>
          <cell r="DQ295">
            <v>42187</v>
          </cell>
          <cell r="DT295">
            <v>46</v>
          </cell>
          <cell r="DU295">
            <v>42228</v>
          </cell>
          <cell r="DW295">
            <v>0</v>
          </cell>
          <cell r="DY295">
            <v>42214</v>
          </cell>
          <cell r="DZ295">
            <v>42182</v>
          </cell>
          <cell r="EA295" t="str">
            <v>Camusat</v>
          </cell>
          <cell r="ED295" t="str">
            <v xml:space="preserve">17Aug15 :ThantZin.Oo: 11/8/15 : Even site cleaning is not started . No activity .
</v>
          </cell>
          <cell r="EE295" t="str">
            <v xml:space="preserve">10 Aug 15:Rain affected_Progress affected; 3-Aug-15: Rain Affected								</v>
          </cell>
          <cell r="EI295" t="str">
            <v>M5: grid power + DG + battery      </v>
          </cell>
          <cell r="EJ295">
            <v>16</v>
          </cell>
          <cell r="EK295">
            <v>42231</v>
          </cell>
          <cell r="EL295">
            <v>42198</v>
          </cell>
          <cell r="EM295">
            <v>42232</v>
          </cell>
          <cell r="EN295">
            <v>42202</v>
          </cell>
          <cell r="EQ295">
            <v>42241</v>
          </cell>
          <cell r="ER295">
            <v>42210</v>
          </cell>
          <cell r="ES295">
            <v>42201</v>
          </cell>
          <cell r="ET295">
            <v>42210</v>
          </cell>
          <cell r="EU295">
            <v>42210</v>
          </cell>
          <cell r="EW295">
            <v>51</v>
          </cell>
          <cell r="EX295">
            <v>42255</v>
          </cell>
          <cell r="EZ295">
            <v>42251</v>
          </cell>
          <cell r="FA295">
            <v>42210</v>
          </cell>
          <cell r="FB295">
            <v>42253</v>
          </cell>
          <cell r="FC295">
            <v>42213</v>
          </cell>
          <cell r="FU295">
            <v>42255</v>
          </cell>
          <cell r="FW295">
            <v>42255</v>
          </cell>
          <cell r="FX295">
            <v>42213</v>
          </cell>
          <cell r="FY295" t="str">
            <v>UT</v>
          </cell>
          <cell r="FZ295">
            <v>42213</v>
          </cell>
          <cell r="GA295">
            <v>42216</v>
          </cell>
          <cell r="GB295">
            <v>42218</v>
          </cell>
          <cell r="GC295">
            <v>42219</v>
          </cell>
          <cell r="GF295">
            <v>42123</v>
          </cell>
          <cell r="GI295">
            <v>42246</v>
          </cell>
          <cell r="GJ295" t="str">
            <v>36-2015</v>
          </cell>
          <cell r="GL295" t="str">
            <v>Govt Issue</v>
          </cell>
          <cell r="GN295" t="str">
            <v>ERICSSON</v>
          </cell>
          <cell r="GQ295">
            <v>0</v>
          </cell>
          <cell r="GS295" t="str">
            <v>4/4/4</v>
          </cell>
          <cell r="GU295" t="str">
            <v xml:space="preserve">		</v>
          </cell>
          <cell r="HD295">
            <v>1</v>
          </cell>
        </row>
        <row r="296">
          <cell r="A296" t="str">
            <v>MG0273</v>
          </cell>
          <cell r="B296" t="str">
            <v>ANMG_0084</v>
          </cell>
          <cell r="C296" t="str">
            <v>Apollo</v>
          </cell>
          <cell r="D296" t="str">
            <v>Adriaan Coetsee</v>
          </cell>
          <cell r="F296" t="str">
            <v>Mya Kyauk</v>
          </cell>
          <cell r="G296" t="str">
            <v>Si Thu Moe</v>
          </cell>
          <cell r="H296" t="str">
            <v>YELLOW</v>
          </cell>
          <cell r="I296" t="str">
            <v>North</v>
          </cell>
          <cell r="J296" t="str">
            <v>94.8826</v>
          </cell>
          <cell r="K296" t="str">
            <v>20.155</v>
          </cell>
          <cell r="L296" t="str">
            <v>Suburban</v>
          </cell>
          <cell r="M296" t="str">
            <v>Magway</v>
          </cell>
          <cell r="N296" t="str">
            <v>Minbu</v>
          </cell>
          <cell r="O296" t="str">
            <v>Minbu</v>
          </cell>
          <cell r="P296" t="str">
            <v>Magway</v>
          </cell>
          <cell r="Q296" t="str">
            <v>7</v>
          </cell>
          <cell r="R296" t="str">
            <v>Minbu</v>
          </cell>
          <cell r="S296" t="str">
            <v>123</v>
          </cell>
          <cell r="T296" t="str">
            <v>GSM+UMTS</v>
          </cell>
          <cell r="W296" t="str">
            <v>Ph2-Priority</v>
          </cell>
          <cell r="X296" t="str">
            <v>35</v>
          </cell>
          <cell r="Y296" t="str">
            <v>37</v>
          </cell>
          <cell r="Z296" t="str">
            <v>GBT</v>
          </cell>
          <cell r="AA296" t="str">
            <v>250</v>
          </cell>
          <cell r="AB296" t="str">
            <v>Access</v>
          </cell>
          <cell r="AC296" t="str">
            <v>Class B</v>
          </cell>
          <cell r="BE296" t="str">
            <v>Magwe - Sittwe</v>
          </cell>
          <cell r="BH296" t="str">
            <v>KTT</v>
          </cell>
          <cell r="BJ296">
            <v>42117</v>
          </cell>
          <cell r="BK296">
            <v>42121</v>
          </cell>
          <cell r="BL296">
            <v>42122</v>
          </cell>
          <cell r="BM296">
            <v>42122</v>
          </cell>
          <cell r="BT296">
            <v>11</v>
          </cell>
          <cell r="BU296">
            <v>42139</v>
          </cell>
          <cell r="BV296">
            <v>42132</v>
          </cell>
          <cell r="BW296" t="str">
            <v>94.88348</v>
          </cell>
          <cell r="BX296" t="str">
            <v>20.155</v>
          </cell>
          <cell r="BY296" t="str">
            <v>C1</v>
          </cell>
          <cell r="BZ296" t="str">
            <v>No(82),3 Street, Shwe Thamin Kwat Thit,Magway Division.(Address is lacking in TSSR pdf so taken from SAR)</v>
          </cell>
          <cell r="CA296" t="str">
            <v>U Soe Myint;No(82),3 Street, Shwe Thamin Kwat Thit, Minbu Township, Magway Division;09-401592206</v>
          </cell>
          <cell r="CB296" t="str">
            <v>12 May 15 : C1 SAR approved as an option 1, C2 SAR Approved as a option2;11May15: C2 SAR Sub as redundancy. 8May15: C1 SAR Sub</v>
          </cell>
          <cell r="CC296" t="str">
            <v>Farmland</v>
          </cell>
          <cell r="CE296">
            <v>4</v>
          </cell>
          <cell r="CF296">
            <v>42140</v>
          </cell>
          <cell r="CG296">
            <v>42136</v>
          </cell>
          <cell r="CH296">
            <v>42142</v>
          </cell>
          <cell r="CJ296">
            <v>42148</v>
          </cell>
          <cell r="CK296" t="str">
            <v>35</v>
          </cell>
          <cell r="CL296" t="str">
            <v>37</v>
          </cell>
          <cell r="CM296" t="str">
            <v>40</v>
          </cell>
          <cell r="CN296">
            <v>14</v>
          </cell>
          <cell r="CO296">
            <v>42145</v>
          </cell>
          <cell r="CP296">
            <v>42150</v>
          </cell>
          <cell r="CQ296" t="str">
            <v>M1: grid power + battery</v>
          </cell>
          <cell r="CR296">
            <v>1</v>
          </cell>
          <cell r="CS296">
            <v>42146</v>
          </cell>
          <cell r="CT296">
            <v>42151</v>
          </cell>
          <cell r="CU296" t="str">
            <v>MG0273</v>
          </cell>
          <cell r="DH296">
            <v>28</v>
          </cell>
          <cell r="DI296">
            <v>42156</v>
          </cell>
          <cell r="DJ296">
            <v>42179</v>
          </cell>
          <cell r="DK296">
            <v>42153</v>
          </cell>
          <cell r="DL296">
            <v>42160</v>
          </cell>
          <cell r="DM296">
            <v>42156</v>
          </cell>
          <cell r="DN296">
            <v>42165</v>
          </cell>
          <cell r="DO296">
            <v>0</v>
          </cell>
          <cell r="DP296">
            <v>42156</v>
          </cell>
          <cell r="DQ296">
            <v>42179</v>
          </cell>
          <cell r="DT296">
            <v>54</v>
          </cell>
          <cell r="DU296">
            <v>42171</v>
          </cell>
          <cell r="DW296">
            <v>0</v>
          </cell>
          <cell r="DY296">
            <v>42156</v>
          </cell>
          <cell r="DZ296">
            <v>42164</v>
          </cell>
          <cell r="EA296" t="str">
            <v>Camusat</v>
          </cell>
          <cell r="ED296" t="str">
            <v>12Jul15 :SiThu.Moe: Tower foundation is done.Tower materials are not at site.Backfilling is ongoing.Equipment slab is not start yet.
01Jul15 :SiThu.Moe: Tower casting is done.They not wear PPE and have not Emergency Contacts No.</v>
          </cell>
          <cell r="EE296" t="str">
            <v xml:space="preserve">10 Aug 15:Rain affected_Progress affected; 4-Aug-15: Awaiting tower EDA 8/15.  Tower foundation casted. Equipment Slab IP								</v>
          </cell>
          <cell r="EJ296">
            <v>28</v>
          </cell>
          <cell r="EK296">
            <v>42166</v>
          </cell>
          <cell r="EL296">
            <v>42192</v>
          </cell>
          <cell r="EM296">
            <v>42167</v>
          </cell>
          <cell r="EN296">
            <v>42241</v>
          </cell>
          <cell r="EQ296">
            <v>42174</v>
          </cell>
          <cell r="ER296">
            <v>42244</v>
          </cell>
          <cell r="ES296">
            <v>42234</v>
          </cell>
          <cell r="ET296">
            <v>42244</v>
          </cell>
          <cell r="EU296">
            <v>42244</v>
          </cell>
          <cell r="EW296">
            <v>69</v>
          </cell>
          <cell r="EX296">
            <v>42185</v>
          </cell>
          <cell r="EZ296">
            <v>42181</v>
          </cell>
          <cell r="FA296">
            <v>42244</v>
          </cell>
          <cell r="FB296">
            <v>42183</v>
          </cell>
          <cell r="FC296">
            <v>42244</v>
          </cell>
          <cell r="FU296">
            <v>42185</v>
          </cell>
          <cell r="FW296">
            <v>42185</v>
          </cell>
          <cell r="FX296">
            <v>42244</v>
          </cell>
          <cell r="FY296" t="str">
            <v>AZM</v>
          </cell>
          <cell r="FZ296">
            <v>42245</v>
          </cell>
          <cell r="GA296">
            <v>42250</v>
          </cell>
          <cell r="GI296">
            <v>42246</v>
          </cell>
          <cell r="GJ296" t="str">
            <v>40-2015</v>
          </cell>
          <cell r="GN296" t="str">
            <v>ERICSSON</v>
          </cell>
          <cell r="GO296">
            <v>42150</v>
          </cell>
          <cell r="HD296">
            <v>1</v>
          </cell>
        </row>
        <row r="297">
          <cell r="A297" t="str">
            <v>MG0275</v>
          </cell>
          <cell r="B297" t="str">
            <v>ANMG_0123</v>
          </cell>
          <cell r="C297" t="str">
            <v>Apollo</v>
          </cell>
          <cell r="D297" t="str">
            <v>Adriaan Coetsee</v>
          </cell>
          <cell r="F297" t="str">
            <v>Mya Kyauk</v>
          </cell>
          <cell r="G297" t="str">
            <v>Si Thu Moe</v>
          </cell>
          <cell r="H297" t="str">
            <v>AMBER</v>
          </cell>
          <cell r="I297" t="str">
            <v>North</v>
          </cell>
          <cell r="J297" t="str">
            <v>94.8677</v>
          </cell>
          <cell r="K297" t="str">
            <v>20.2138</v>
          </cell>
          <cell r="L297" t="str">
            <v>SubUrban</v>
          </cell>
          <cell r="M297" t="str">
            <v>Magway</v>
          </cell>
          <cell r="N297" t="str">
            <v>Minbu</v>
          </cell>
          <cell r="O297" t="str">
            <v>Minbu</v>
          </cell>
          <cell r="P297" t="str">
            <v>Magway</v>
          </cell>
          <cell r="Q297" t="str">
            <v>7</v>
          </cell>
          <cell r="R297" t="str">
            <v>Minbu</v>
          </cell>
          <cell r="S297" t="str">
            <v>123</v>
          </cell>
          <cell r="T297" t="str">
            <v>GSM+UMTS</v>
          </cell>
          <cell r="W297" t="str">
            <v>Ph2-Priority</v>
          </cell>
          <cell r="X297" t="str">
            <v>35</v>
          </cell>
          <cell r="Y297" t="str">
            <v>37</v>
          </cell>
          <cell r="Z297" t="str">
            <v>GBT</v>
          </cell>
          <cell r="AA297" t="str">
            <v>250</v>
          </cell>
          <cell r="AB297" t="str">
            <v>Access</v>
          </cell>
          <cell r="AC297" t="str">
            <v>Class B</v>
          </cell>
          <cell r="BE297" t="str">
            <v>Route 8 Mandalay - Magwe</v>
          </cell>
          <cell r="BH297" t="str">
            <v>Camusat</v>
          </cell>
          <cell r="BJ297">
            <v>42166</v>
          </cell>
          <cell r="BK297">
            <v>42142</v>
          </cell>
          <cell r="BL297">
            <v>42171</v>
          </cell>
          <cell r="BM297">
            <v>42149</v>
          </cell>
          <cell r="BT297">
            <v>17</v>
          </cell>
          <cell r="BU297">
            <v>42195</v>
          </cell>
          <cell r="BV297">
            <v>42159</v>
          </cell>
          <cell r="BW297" t="str">
            <v>94.867194</v>
          </cell>
          <cell r="BX297" t="str">
            <v>20.21159</v>
          </cell>
          <cell r="BY297" t="str">
            <v>C1</v>
          </cell>
          <cell r="BZ297" t="str">
            <v>Kyar Kan Village, Kyar Kan Group, Min Bu Town, Min Bu Township, Magway Division</v>
          </cell>
          <cell r="CA297" t="str">
            <v>U Maung Kyaw;Kyar Kan Village, Kyar Kan Group, Min Bu Town, Min Bu Township, Magway Division;09-33407685</v>
          </cell>
          <cell r="CB297" t="str">
            <v>4Jun15: C1 SAR Sub</v>
          </cell>
          <cell r="CC297" t="str">
            <v>Village</v>
          </cell>
          <cell r="CE297">
            <v>4</v>
          </cell>
          <cell r="CF297">
            <v>42196</v>
          </cell>
          <cell r="CG297">
            <v>42163</v>
          </cell>
          <cell r="CH297">
            <v>42198</v>
          </cell>
          <cell r="CJ297">
            <v>42171</v>
          </cell>
          <cell r="CK297" t="str">
            <v>35</v>
          </cell>
          <cell r="CL297" t="str">
            <v>37</v>
          </cell>
          <cell r="CM297" t="str">
            <v>40</v>
          </cell>
          <cell r="CN297">
            <v>10</v>
          </cell>
          <cell r="CO297">
            <v>42201</v>
          </cell>
          <cell r="CP297">
            <v>42173</v>
          </cell>
          <cell r="CQ297" t="str">
            <v>M1: grid power + battery</v>
          </cell>
          <cell r="CR297">
            <v>1</v>
          </cell>
          <cell r="CS297">
            <v>42202</v>
          </cell>
          <cell r="CT297">
            <v>42174</v>
          </cell>
          <cell r="CU297" t="str">
            <v>MG0275</v>
          </cell>
          <cell r="DH297">
            <v>14</v>
          </cell>
          <cell r="DI297">
            <v>42212</v>
          </cell>
          <cell r="DJ297">
            <v>42188</v>
          </cell>
          <cell r="DK297">
            <v>42209</v>
          </cell>
          <cell r="DL297">
            <v>42179</v>
          </cell>
          <cell r="DM297">
            <v>42213</v>
          </cell>
          <cell r="DN297">
            <v>42192</v>
          </cell>
          <cell r="DO297">
            <v>0</v>
          </cell>
          <cell r="DP297">
            <v>42212</v>
          </cell>
          <cell r="DQ297">
            <v>42188</v>
          </cell>
          <cell r="DT297">
            <v>45</v>
          </cell>
          <cell r="DU297">
            <v>42227</v>
          </cell>
          <cell r="DW297">
            <v>0</v>
          </cell>
          <cell r="DY297">
            <v>42213</v>
          </cell>
          <cell r="DZ297">
            <v>42192</v>
          </cell>
          <cell r="EA297" t="str">
            <v>Camusat</v>
          </cell>
          <cell r="ED297" t="str">
            <v xml:space="preserve">17Aug15 :SiThu.Moe: 4/8/15:CW not start yet.
</v>
          </cell>
          <cell r="EE297" t="str">
            <v xml:space="preserve">10 Aug 15:Rain affected_Progress affected; 4-Aug-15: Rain affected_ Site is progressing but rain is affecting the work every day. Excavation IP,site is flooded but we are trying to do some work 								</v>
          </cell>
          <cell r="EJ297">
            <v>41</v>
          </cell>
          <cell r="EK297">
            <v>42228</v>
          </cell>
          <cell r="EL297">
            <v>42247</v>
          </cell>
          <cell r="EM297">
            <v>42229</v>
          </cell>
          <cell r="EN297">
            <v>42250</v>
          </cell>
          <cell r="EQ297">
            <v>42236</v>
          </cell>
          <cell r="EW297">
            <v>41</v>
          </cell>
          <cell r="EX297">
            <v>42250</v>
          </cell>
          <cell r="EZ297">
            <v>42246</v>
          </cell>
          <cell r="FB297">
            <v>42248</v>
          </cell>
          <cell r="FU297">
            <v>42250</v>
          </cell>
          <cell r="FW297">
            <v>42250</v>
          </cell>
          <cell r="FY297" t="str">
            <v>UT</v>
          </cell>
          <cell r="GF297">
            <v>42192</v>
          </cell>
          <cell r="GI297">
            <v>42307</v>
          </cell>
          <cell r="GJ297" t="str">
            <v>44-2015</v>
          </cell>
          <cell r="GN297" t="str">
            <v>ERICSSON</v>
          </cell>
          <cell r="GO297">
            <v>42199</v>
          </cell>
          <cell r="HD297">
            <v>1</v>
          </cell>
        </row>
        <row r="298">
          <cell r="A298" t="str">
            <v>MG0276</v>
          </cell>
          <cell r="B298" t="str">
            <v>ANMG_0086</v>
          </cell>
          <cell r="C298" t="str">
            <v>Apollo</v>
          </cell>
          <cell r="D298" t="str">
            <v>Adriaan Coetsee</v>
          </cell>
          <cell r="F298" t="str">
            <v>Mya Kyauk</v>
          </cell>
          <cell r="G298" t="str">
            <v>Si Thu Moe</v>
          </cell>
          <cell r="H298" t="str">
            <v>RED</v>
          </cell>
          <cell r="I298" t="str">
            <v>North</v>
          </cell>
          <cell r="J298" t="str">
            <v>94.6687</v>
          </cell>
          <cell r="K298" t="str">
            <v>20.3661</v>
          </cell>
          <cell r="L298" t="str">
            <v>SubUrban</v>
          </cell>
          <cell r="M298" t="str">
            <v>Magway</v>
          </cell>
          <cell r="N298" t="str">
            <v>Pwintbyu</v>
          </cell>
          <cell r="O298" t="str">
            <v>Pwintbyu</v>
          </cell>
          <cell r="P298" t="str">
            <v>Magway</v>
          </cell>
          <cell r="Q298" t="str">
            <v>7</v>
          </cell>
          <cell r="R298" t="str">
            <v>Pwintbyu</v>
          </cell>
          <cell r="S298" t="str">
            <v>124</v>
          </cell>
          <cell r="T298" t="str">
            <v>GSM+UMTS</v>
          </cell>
          <cell r="W298" t="str">
            <v>Ph2-Priority</v>
          </cell>
          <cell r="X298" t="str">
            <v>35</v>
          </cell>
          <cell r="Y298" t="str">
            <v>37</v>
          </cell>
          <cell r="Z298" t="str">
            <v>GBT</v>
          </cell>
          <cell r="AA298" t="str">
            <v>250</v>
          </cell>
          <cell r="AB298" t="str">
            <v>Access</v>
          </cell>
          <cell r="AC298" t="str">
            <v>Class B</v>
          </cell>
          <cell r="BE298" t="str">
            <v>Route 8 Mandalay - Magwe</v>
          </cell>
          <cell r="BH298" t="str">
            <v>KTT</v>
          </cell>
          <cell r="BJ298">
            <v>42116</v>
          </cell>
          <cell r="BK298">
            <v>42121</v>
          </cell>
          <cell r="BL298">
            <v>42121</v>
          </cell>
          <cell r="BM298">
            <v>42133</v>
          </cell>
          <cell r="BT298">
            <v>112</v>
          </cell>
          <cell r="BU298">
            <v>42134</v>
          </cell>
          <cell r="BV298">
            <v>42198</v>
          </cell>
          <cell r="BW298" t="str">
            <v>95.68202</v>
          </cell>
          <cell r="BX298" t="str">
            <v>21.99433</v>
          </cell>
          <cell r="BY298" t="str">
            <v>Reject</v>
          </cell>
          <cell r="BZ298" t="str">
            <v>Tha Pyay Thar Village, Myin Mu Township, Sagaing Division.</v>
          </cell>
          <cell r="CA298" t="str">
            <v>U Win Tin</v>
          </cell>
          <cell r="CB298" t="str">
            <v>13 Aug 15: C5 deactivate because of  Noc issue; 28 Jul 15 : C5 TSSR app;27 Jul 15 : C5 TSSR sub;21 Jul 15 : C5 SAR app;20 July 15:C5-SAR submission + SAR_C5 justification;15 July 15 : C4 SAR rejected( As per TM radio suggestion, RND rejected because this site is 400m far from the nominal point and then away from the population area. Please find candidate at  20.364999, 94.672610.);14 July 15 :C4-SAR submission + Justification; 8 July 15 : C3 SAR rejected(As per TM radio suggestion, RND rejected because this site is 431m far from the nominal point and away from the population area. Please find the candidate near the nominal);7 July 15 : C3-SAR submission; (C2-NOC issue, C1-declined);29 May 15 : C2 TSSR app;20 May 15 : C2 SAR app</v>
          </cell>
          <cell r="CC298" t="str">
            <v>Farmland</v>
          </cell>
          <cell r="CE298">
            <v>0</v>
          </cell>
          <cell r="CF298">
            <v>42135</v>
          </cell>
          <cell r="CG298">
            <v>42199</v>
          </cell>
          <cell r="CH298">
            <v>42160</v>
          </cell>
          <cell r="CJ298">
            <v>42212</v>
          </cell>
          <cell r="CK298" t="str">
            <v>45</v>
          </cell>
          <cell r="CL298" t="str">
            <v>47</v>
          </cell>
          <cell r="CM298" t="str">
            <v>50</v>
          </cell>
          <cell r="CN298">
            <v>0</v>
          </cell>
          <cell r="CO298">
            <v>42163</v>
          </cell>
          <cell r="CP298">
            <v>42214</v>
          </cell>
          <cell r="CQ298" t="str">
            <v>M1: grid power + battery</v>
          </cell>
          <cell r="CR298">
            <v>0</v>
          </cell>
          <cell r="CS298">
            <v>42164</v>
          </cell>
          <cell r="CT298">
            <v>42215</v>
          </cell>
          <cell r="CU298" t="str">
            <v>MG0276</v>
          </cell>
          <cell r="DH298">
            <v>0</v>
          </cell>
          <cell r="DI298">
            <v>42174</v>
          </cell>
          <cell r="DK298">
            <v>42171</v>
          </cell>
          <cell r="DL298">
            <v>42242</v>
          </cell>
          <cell r="DM298">
            <v>42175</v>
          </cell>
          <cell r="DO298">
            <v>0</v>
          </cell>
          <cell r="DP298">
            <v>42174</v>
          </cell>
          <cell r="DT298">
            <v>0</v>
          </cell>
          <cell r="DU298">
            <v>42189</v>
          </cell>
          <cell r="DW298">
            <v>0</v>
          </cell>
          <cell r="DY298">
            <v>42175</v>
          </cell>
          <cell r="EA298" t="str">
            <v>IENG</v>
          </cell>
          <cell r="ED298" t="str">
            <v>12Jul15 :SiThu.Moe: This site is reject.
01Jul15 :SiThu.Moe: Not start CW.But,Telenor Site Tracker show 10-Jun-15 start date.</v>
          </cell>
          <cell r="EJ298">
            <v>0</v>
          </cell>
          <cell r="EK298">
            <v>42197</v>
          </cell>
          <cell r="EM298">
            <v>42198</v>
          </cell>
          <cell r="EQ298">
            <v>42210</v>
          </cell>
          <cell r="EW298">
            <v>0</v>
          </cell>
          <cell r="EX298">
            <v>42224</v>
          </cell>
          <cell r="EZ298">
            <v>42220</v>
          </cell>
          <cell r="FB298">
            <v>42222</v>
          </cell>
          <cell r="FU298">
            <v>42224</v>
          </cell>
          <cell r="FW298">
            <v>42224</v>
          </cell>
          <cell r="GI298">
            <v>42277</v>
          </cell>
          <cell r="GJ298" t="str">
            <v>40-2015</v>
          </cell>
          <cell r="GN298" t="str">
            <v>ERICSSON</v>
          </cell>
          <cell r="GO298">
            <v>42179</v>
          </cell>
          <cell r="HD298">
            <v>1</v>
          </cell>
        </row>
        <row r="299">
          <cell r="A299" t="str">
            <v>MG0277</v>
          </cell>
          <cell r="B299" t="str">
            <v>ANMG_0124</v>
          </cell>
          <cell r="C299" t="str">
            <v>Apollo</v>
          </cell>
          <cell r="D299" t="str">
            <v>Adriaan Coetsee</v>
          </cell>
          <cell r="F299" t="str">
            <v>Mya Kyauk</v>
          </cell>
          <cell r="G299" t="str">
            <v>Si Thu Moe</v>
          </cell>
          <cell r="H299" t="str">
            <v>WHITE</v>
          </cell>
          <cell r="I299" t="str">
            <v>North</v>
          </cell>
          <cell r="J299" t="str">
            <v>94.6634</v>
          </cell>
          <cell r="K299" t="str">
            <v>20.3524</v>
          </cell>
          <cell r="L299" t="str">
            <v>SubUrban</v>
          </cell>
          <cell r="M299" t="str">
            <v>Magway</v>
          </cell>
          <cell r="N299" t="str">
            <v>Pwintbyu</v>
          </cell>
          <cell r="O299" t="str">
            <v>Pwintbyu</v>
          </cell>
          <cell r="P299" t="str">
            <v>Magway</v>
          </cell>
          <cell r="Q299" t="str">
            <v>7</v>
          </cell>
          <cell r="R299" t="str">
            <v>Pwintbyu</v>
          </cell>
          <cell r="S299" t="str">
            <v>124</v>
          </cell>
          <cell r="T299" t="str">
            <v>GSM+UMTS</v>
          </cell>
          <cell r="W299" t="str">
            <v>Ph2-Priority</v>
          </cell>
          <cell r="X299" t="str">
            <v>35</v>
          </cell>
          <cell r="Y299" t="str">
            <v>37</v>
          </cell>
          <cell r="Z299" t="str">
            <v>GBT</v>
          </cell>
          <cell r="AA299" t="str">
            <v>250</v>
          </cell>
          <cell r="AB299" t="str">
            <v>Access</v>
          </cell>
          <cell r="AC299" t="str">
            <v>Class B</v>
          </cell>
          <cell r="BE299" t="str">
            <v>Route 8 Mandalay - Magwe</v>
          </cell>
          <cell r="BH299" t="str">
            <v>IENG</v>
          </cell>
          <cell r="BJ299">
            <v>42129</v>
          </cell>
          <cell r="BK299">
            <v>42130</v>
          </cell>
          <cell r="BL299">
            <v>42134</v>
          </cell>
          <cell r="BM299">
            <v>42124</v>
          </cell>
          <cell r="BT299">
            <v>4</v>
          </cell>
          <cell r="BU299">
            <v>42134</v>
          </cell>
          <cell r="BV299">
            <v>42134</v>
          </cell>
          <cell r="BW299" t="str">
            <v>94.66335</v>
          </cell>
          <cell r="BX299" t="str">
            <v>20.35331</v>
          </cell>
          <cell r="BY299" t="str">
            <v>C1</v>
          </cell>
          <cell r="BZ299" t="str">
            <v>Taung Inn Village,Tha Yet Oak Group,Pwint Phyu Township.</v>
          </cell>
          <cell r="CA299" t="str">
            <v>U Kyaw Naing Oo;Taung Inn village, Thayet Oak Group,Pwintbyu Tsp;(Phone Number:None)</v>
          </cell>
          <cell r="CB299" t="str">
            <v>10May15: C1 SAR Sub.</v>
          </cell>
          <cell r="CE299">
            <v>2</v>
          </cell>
          <cell r="CF299">
            <v>42135</v>
          </cell>
          <cell r="CG299">
            <v>42136</v>
          </cell>
          <cell r="CH299">
            <v>42137</v>
          </cell>
          <cell r="CJ299">
            <v>42145</v>
          </cell>
          <cell r="CK299" t="str">
            <v>35</v>
          </cell>
          <cell r="CL299" t="str">
            <v>37</v>
          </cell>
          <cell r="CM299" t="str">
            <v>45</v>
          </cell>
          <cell r="CN299">
            <v>11</v>
          </cell>
          <cell r="CO299">
            <v>42140</v>
          </cell>
          <cell r="CP299">
            <v>42147</v>
          </cell>
          <cell r="CQ299" t="str">
            <v>M1: grid power + battery</v>
          </cell>
          <cell r="CR299">
            <v>3</v>
          </cell>
          <cell r="CS299">
            <v>42141</v>
          </cell>
          <cell r="CT299">
            <v>42150</v>
          </cell>
          <cell r="CU299" t="str">
            <v>MG0277</v>
          </cell>
          <cell r="DH299">
            <v>29</v>
          </cell>
          <cell r="DI299">
            <v>42163</v>
          </cell>
          <cell r="DJ299">
            <v>42179</v>
          </cell>
          <cell r="DK299">
            <v>42160</v>
          </cell>
          <cell r="DL299">
            <v>42160</v>
          </cell>
          <cell r="DM299">
            <v>42164</v>
          </cell>
          <cell r="DN299">
            <v>42165</v>
          </cell>
          <cell r="DO299">
            <v>0</v>
          </cell>
          <cell r="DP299">
            <v>42163</v>
          </cell>
          <cell r="DQ299">
            <v>42179</v>
          </cell>
          <cell r="DT299">
            <v>54</v>
          </cell>
          <cell r="DU299">
            <v>42178</v>
          </cell>
          <cell r="DW299">
            <v>0</v>
          </cell>
          <cell r="DY299">
            <v>42164</v>
          </cell>
          <cell r="DZ299">
            <v>42163</v>
          </cell>
          <cell r="EA299" t="str">
            <v>IENG</v>
          </cell>
          <cell r="ED299" t="str">
            <v xml:space="preserve">01Jul15 :SiThu.Moe: 90% of the total height have been erected.Equipment slab is on going.
</v>
          </cell>
          <cell r="EI299" t="str">
            <v>M5: grid power + DG + battery      </v>
          </cell>
          <cell r="EJ299">
            <v>16</v>
          </cell>
          <cell r="EK299">
            <v>42181</v>
          </cell>
          <cell r="EL299">
            <v>42179</v>
          </cell>
          <cell r="EM299">
            <v>42182</v>
          </cell>
          <cell r="EN299">
            <v>42174</v>
          </cell>
          <cell r="EQ299">
            <v>42191</v>
          </cell>
          <cell r="ER299">
            <v>42185</v>
          </cell>
          <cell r="ES299">
            <v>42184</v>
          </cell>
          <cell r="ET299">
            <v>42185</v>
          </cell>
          <cell r="EU299">
            <v>42185</v>
          </cell>
          <cell r="EW299">
            <v>70</v>
          </cell>
          <cell r="EX299">
            <v>42205</v>
          </cell>
          <cell r="EZ299">
            <v>42201</v>
          </cell>
          <cell r="FA299">
            <v>42184</v>
          </cell>
          <cell r="FB299">
            <v>42203</v>
          </cell>
          <cell r="FC299">
            <v>42185</v>
          </cell>
          <cell r="FU299">
            <v>42205</v>
          </cell>
          <cell r="FW299">
            <v>42205</v>
          </cell>
          <cell r="FX299">
            <v>42185</v>
          </cell>
          <cell r="FY299" t="str">
            <v>AZM</v>
          </cell>
          <cell r="FZ299">
            <v>42187</v>
          </cell>
          <cell r="GA299">
            <v>42189</v>
          </cell>
          <cell r="GB299">
            <v>42192</v>
          </cell>
          <cell r="GC299">
            <v>42192</v>
          </cell>
          <cell r="GD299">
            <v>42192</v>
          </cell>
          <cell r="GE299">
            <v>42192</v>
          </cell>
          <cell r="GF299">
            <v>42192</v>
          </cell>
          <cell r="GG299">
            <v>42192</v>
          </cell>
          <cell r="GH299">
            <v>42192</v>
          </cell>
          <cell r="GI299">
            <v>42246</v>
          </cell>
          <cell r="GJ299" t="str">
            <v>28-2015</v>
          </cell>
          <cell r="GK299">
            <v>42192</v>
          </cell>
          <cell r="GN299" t="str">
            <v>ERICSSON</v>
          </cell>
          <cell r="GO299">
            <v>42150</v>
          </cell>
          <cell r="GP299">
            <v>42179</v>
          </cell>
          <cell r="HD299">
            <v>1</v>
          </cell>
        </row>
        <row r="300">
          <cell r="A300" t="str">
            <v>MG0278</v>
          </cell>
          <cell r="B300" t="str">
            <v>ANMG_0087</v>
          </cell>
          <cell r="C300" t="str">
            <v>Apollo</v>
          </cell>
          <cell r="D300" t="str">
            <v>Adriaan Coetsee</v>
          </cell>
          <cell r="F300" t="str">
            <v>Mya Kyauk</v>
          </cell>
          <cell r="G300" t="str">
            <v>Si Thu Moe</v>
          </cell>
          <cell r="H300" t="str">
            <v>WHITE</v>
          </cell>
          <cell r="I300" t="str">
            <v>North</v>
          </cell>
          <cell r="J300" t="str">
            <v>94.6792</v>
          </cell>
          <cell r="K300" t="str">
            <v>20.3686</v>
          </cell>
          <cell r="L300" t="str">
            <v>SubUrban</v>
          </cell>
          <cell r="M300" t="str">
            <v>Magway</v>
          </cell>
          <cell r="N300" t="str">
            <v>Pwintbyu</v>
          </cell>
          <cell r="O300" t="str">
            <v>Pwintbyu</v>
          </cell>
          <cell r="P300" t="str">
            <v>Magway</v>
          </cell>
          <cell r="Q300" t="str">
            <v>7</v>
          </cell>
          <cell r="R300" t="str">
            <v>Pwintbyu</v>
          </cell>
          <cell r="S300" t="str">
            <v>124</v>
          </cell>
          <cell r="T300" t="str">
            <v>GSM+UMTS</v>
          </cell>
          <cell r="W300" t="str">
            <v>Ph2-Priority</v>
          </cell>
          <cell r="X300" t="str">
            <v>35</v>
          </cell>
          <cell r="Y300" t="str">
            <v>37</v>
          </cell>
          <cell r="Z300" t="str">
            <v>GBT</v>
          </cell>
          <cell r="AA300" t="str">
            <v>250</v>
          </cell>
          <cell r="AB300" t="str">
            <v>Access</v>
          </cell>
          <cell r="AC300" t="str">
            <v>Class B</v>
          </cell>
          <cell r="BE300" t="str">
            <v>Route 8 Mandalay - Magwe</v>
          </cell>
          <cell r="BH300" t="str">
            <v>KTT</v>
          </cell>
          <cell r="BJ300">
            <v>42117</v>
          </cell>
          <cell r="BK300">
            <v>42121</v>
          </cell>
          <cell r="BL300">
            <v>42122</v>
          </cell>
          <cell r="BM300">
            <v>42141</v>
          </cell>
          <cell r="BT300">
            <v>30</v>
          </cell>
          <cell r="BU300">
            <v>42156</v>
          </cell>
          <cell r="BV300">
            <v>42151</v>
          </cell>
          <cell r="BW300" t="str">
            <v>94.67956</v>
          </cell>
          <cell r="BX300" t="str">
            <v>20.36941</v>
          </cell>
          <cell r="BY300" t="str">
            <v>C2</v>
          </cell>
          <cell r="BZ300" t="str">
            <v>Lakkhok village,pwint phyu township.</v>
          </cell>
          <cell r="CA300" t="str">
            <v>U Maung Than;No(116), Damma Yone Street, Latt Khope Pin Village,Pwint Phyu Township, Magway Division;09-261287753</v>
          </cell>
          <cell r="CB300" t="str">
            <v>1Jun15: C2 TSSR Submitted. C3 SAR Approved. 27May15: C3-SAR submission; C1- owner's declined during TSS, C2-dispute occured with this candidate thus it has been cancelled; 20May15: C2 SAR submission; previous C1 has been clared due to owner's declined and no longer interested
8May15: C1 SAR Sub</v>
          </cell>
          <cell r="CC300" t="str">
            <v>Farmland</v>
          </cell>
          <cell r="CE300">
            <v>2</v>
          </cell>
          <cell r="CF300">
            <v>42157</v>
          </cell>
          <cell r="CG300">
            <v>42153</v>
          </cell>
          <cell r="CH300">
            <v>42159</v>
          </cell>
          <cell r="CJ300">
            <v>42153</v>
          </cell>
          <cell r="CK300" t="str">
            <v>35</v>
          </cell>
          <cell r="CL300" t="str">
            <v>37</v>
          </cell>
          <cell r="CM300" t="str">
            <v>45</v>
          </cell>
          <cell r="CN300">
            <v>3</v>
          </cell>
          <cell r="CO300">
            <v>42162</v>
          </cell>
          <cell r="CP300">
            <v>42156</v>
          </cell>
          <cell r="CQ300" t="str">
            <v>M1: grid power + battery</v>
          </cell>
          <cell r="CR300">
            <v>1</v>
          </cell>
          <cell r="CS300">
            <v>42163</v>
          </cell>
          <cell r="CT300">
            <v>42157</v>
          </cell>
          <cell r="CU300" t="str">
            <v>MG0278</v>
          </cell>
          <cell r="DH300">
            <v>20</v>
          </cell>
          <cell r="DI300">
            <v>42173</v>
          </cell>
          <cell r="DJ300">
            <v>42177</v>
          </cell>
          <cell r="DK300">
            <v>42170</v>
          </cell>
          <cell r="DL300">
            <v>42163</v>
          </cell>
          <cell r="DM300">
            <v>42174</v>
          </cell>
          <cell r="DN300">
            <v>42165</v>
          </cell>
          <cell r="DO300">
            <v>0</v>
          </cell>
          <cell r="DP300">
            <v>42173</v>
          </cell>
          <cell r="DQ300">
            <v>42177</v>
          </cell>
          <cell r="DT300">
            <v>56</v>
          </cell>
          <cell r="DU300">
            <v>42188</v>
          </cell>
          <cell r="DW300">
            <v>0</v>
          </cell>
          <cell r="DY300">
            <v>42174</v>
          </cell>
          <cell r="DZ300">
            <v>42165</v>
          </cell>
          <cell r="EA300" t="str">
            <v>IENG</v>
          </cell>
          <cell r="EB300">
            <v>42213</v>
          </cell>
          <cell r="ED300" t="str">
            <v>12Jul15 :SiThu.Moe: Excavation is done.Nobody at site.
01Jul15 :SiThu.Moe: Excavation is done.Nobody at site.</v>
          </cell>
          <cell r="EE300" t="str">
            <v xml:space="preserve">10 Aug 15:Flood affected_Hold-No access; 10-Aug-15:water level recorded 700mm as per owner.
?  To construct elevated equipment slab as per I ENG standard approved drawing (1200mm depth).
?  De installation and installation  of P.E
?  Additional grounding works (for elevated)and elevated cable tray
?  Permanent PE's commissioning- please revert back to us if I ENG can do the commissioning.
Aug 07: Site still flooded and will monitor daily the area condition
July 30: Tower erection IP 5/9 euiipment slab done.  To push I ENG this JULY month for RFI.. Raining on that area will affect the tower erection activity
28-Jul-15: Flooded access or site is flooded_ we canÆt proceed to this site. Tower Erection stopped . 5/9 HT.								</v>
          </cell>
          <cell r="EJ300">
            <v>43</v>
          </cell>
          <cell r="EK300">
            <v>42191</v>
          </cell>
          <cell r="EL300">
            <v>42208</v>
          </cell>
          <cell r="EM300">
            <v>42192</v>
          </cell>
          <cell r="EN300">
            <v>42203</v>
          </cell>
          <cell r="EQ300">
            <v>42201</v>
          </cell>
          <cell r="ER300">
            <v>42227</v>
          </cell>
          <cell r="ES300">
            <v>42209</v>
          </cell>
          <cell r="ET300">
            <v>42228</v>
          </cell>
          <cell r="EU300">
            <v>42228</v>
          </cell>
          <cell r="EW300">
            <v>68</v>
          </cell>
          <cell r="EX300">
            <v>42215</v>
          </cell>
          <cell r="EZ300">
            <v>42211</v>
          </cell>
          <cell r="FA300">
            <v>42226</v>
          </cell>
          <cell r="FB300">
            <v>42213</v>
          </cell>
          <cell r="FC300">
            <v>42227</v>
          </cell>
          <cell r="FU300">
            <v>42215</v>
          </cell>
          <cell r="FW300">
            <v>42215</v>
          </cell>
          <cell r="FX300">
            <v>42247</v>
          </cell>
          <cell r="FY300" t="str">
            <v>AZM</v>
          </cell>
          <cell r="FZ300">
            <v>42217</v>
          </cell>
          <cell r="GA300">
            <v>42227</v>
          </cell>
          <cell r="GB300">
            <v>42229</v>
          </cell>
          <cell r="GC300">
            <v>42230</v>
          </cell>
          <cell r="GD300">
            <v>42230</v>
          </cell>
          <cell r="GE300">
            <v>42230</v>
          </cell>
          <cell r="GF300">
            <v>42230</v>
          </cell>
          <cell r="GG300">
            <v>42230</v>
          </cell>
          <cell r="GH300">
            <v>42230</v>
          </cell>
          <cell r="GI300">
            <v>42246</v>
          </cell>
          <cell r="GJ300" t="str">
            <v>36-2015</v>
          </cell>
          <cell r="GK300">
            <v>42230</v>
          </cell>
          <cell r="GL300" t="str">
            <v>Flood Area,Material at Guest House</v>
          </cell>
          <cell r="GN300" t="str">
            <v>ERICSSON</v>
          </cell>
          <cell r="GO300">
            <v>42179</v>
          </cell>
          <cell r="GP300">
            <v>42179</v>
          </cell>
          <cell r="GQ300">
            <v>0</v>
          </cell>
          <cell r="HD300">
            <v>1</v>
          </cell>
        </row>
        <row r="301">
          <cell r="A301" t="str">
            <v>MG0279</v>
          </cell>
          <cell r="B301" t="str">
            <v>ANMG_0125</v>
          </cell>
          <cell r="C301" t="str">
            <v>Apollo</v>
          </cell>
          <cell r="D301" t="str">
            <v>Adriaan Coetsee</v>
          </cell>
          <cell r="F301" t="str">
            <v>Mya Kyauk</v>
          </cell>
          <cell r="G301" t="str">
            <v>Si Thu Moe</v>
          </cell>
          <cell r="H301" t="str">
            <v>AMBER</v>
          </cell>
          <cell r="I301" t="str">
            <v>North</v>
          </cell>
          <cell r="J301" t="str">
            <v>94.6727</v>
          </cell>
          <cell r="K301" t="str">
            <v>20.3805</v>
          </cell>
          <cell r="L301" t="str">
            <v>SubUrban</v>
          </cell>
          <cell r="M301" t="str">
            <v>Magway</v>
          </cell>
          <cell r="N301" t="str">
            <v>Pwintbyu</v>
          </cell>
          <cell r="O301" t="str">
            <v>Pwintbyu</v>
          </cell>
          <cell r="P301" t="str">
            <v>Magway</v>
          </cell>
          <cell r="Q301" t="str">
            <v>7</v>
          </cell>
          <cell r="R301" t="str">
            <v>Pwintbyu</v>
          </cell>
          <cell r="S301" t="str">
            <v>124</v>
          </cell>
          <cell r="T301" t="str">
            <v>GSM+UMTS</v>
          </cell>
          <cell r="W301" t="str">
            <v>Ph2-Priority</v>
          </cell>
          <cell r="X301" t="str">
            <v>35</v>
          </cell>
          <cell r="Y301" t="str">
            <v>37</v>
          </cell>
          <cell r="Z301" t="str">
            <v>GBT</v>
          </cell>
          <cell r="AA301" t="str">
            <v>250</v>
          </cell>
          <cell r="AB301" t="str">
            <v>Access</v>
          </cell>
          <cell r="AC301" t="str">
            <v>Class B</v>
          </cell>
          <cell r="BE301" t="str">
            <v>Route 8 Mandalay - Magwe</v>
          </cell>
          <cell r="BH301" t="str">
            <v>IENG</v>
          </cell>
          <cell r="BJ301">
            <v>42129</v>
          </cell>
          <cell r="BK301">
            <v>42166</v>
          </cell>
          <cell r="BL301">
            <v>42134</v>
          </cell>
          <cell r="BM301">
            <v>42124</v>
          </cell>
          <cell r="BT301">
            <v>13</v>
          </cell>
          <cell r="BU301">
            <v>42170</v>
          </cell>
          <cell r="BV301">
            <v>42179</v>
          </cell>
          <cell r="BW301" t="str">
            <v>94.67052</v>
          </cell>
          <cell r="BX301" t="str">
            <v>20.37826</v>
          </cell>
          <cell r="BY301" t="str">
            <v>C2</v>
          </cell>
          <cell r="BZ301" t="str">
            <v>Yaw Su (Ywar Thit)village,Pwint Phyu Township.</v>
          </cell>
          <cell r="CA301" t="str">
            <v>U Win;Yaw Su(Ywar Thit),Thayet Oak Group,Pwintbyu Tsp;9.401594341</v>
          </cell>
          <cell r="CB301" t="str">
            <v>5 July 15 : C2 TSSR sub;24 June 15 : C2-SAR submission, C1-Lessor declined to process other use permit;prev C1 TSSR app on 25 May 15;10May15: C1 SAR Sub.</v>
          </cell>
          <cell r="CC301" t="str">
            <v>RESIDENTIAL</v>
          </cell>
          <cell r="CE301">
            <v>2</v>
          </cell>
          <cell r="CF301">
            <v>42171</v>
          </cell>
          <cell r="CG301">
            <v>42181</v>
          </cell>
          <cell r="CH301">
            <v>42173</v>
          </cell>
          <cell r="CJ301">
            <v>42188</v>
          </cell>
          <cell r="CK301" t="str">
            <v>35</v>
          </cell>
          <cell r="CL301" t="str">
            <v>37</v>
          </cell>
          <cell r="CM301" t="str">
            <v>45</v>
          </cell>
          <cell r="CN301">
            <v>9</v>
          </cell>
          <cell r="CO301">
            <v>42176</v>
          </cell>
          <cell r="CP301">
            <v>42190</v>
          </cell>
          <cell r="CQ301" t="str">
            <v>M1: grid power + battery</v>
          </cell>
          <cell r="CR301">
            <v>1</v>
          </cell>
          <cell r="CS301">
            <v>42177</v>
          </cell>
          <cell r="CT301">
            <v>42191</v>
          </cell>
          <cell r="CU301" t="str">
            <v>MG0279</v>
          </cell>
          <cell r="DH301">
            <v>42</v>
          </cell>
          <cell r="DI301">
            <v>42187</v>
          </cell>
          <cell r="DK301">
            <v>42184</v>
          </cell>
          <cell r="DL301">
            <v>42192</v>
          </cell>
          <cell r="DM301">
            <v>42188</v>
          </cell>
          <cell r="DN301">
            <v>42201</v>
          </cell>
          <cell r="DO301">
            <v>0</v>
          </cell>
          <cell r="DP301">
            <v>42187</v>
          </cell>
          <cell r="DT301">
            <v>0</v>
          </cell>
          <cell r="DU301">
            <v>42202</v>
          </cell>
          <cell r="DW301">
            <v>0</v>
          </cell>
          <cell r="DY301">
            <v>42188</v>
          </cell>
          <cell r="DZ301">
            <v>42200</v>
          </cell>
          <cell r="EA301" t="str">
            <v>IENG</v>
          </cell>
          <cell r="EB301">
            <v>42213</v>
          </cell>
          <cell r="ED301" t="str">
            <v xml:space="preserve">26Aug15 :SiThu.Moe: Tower foundation casting is done. Equipment slabs are not yet start.
</v>
          </cell>
          <cell r="EE301" t="str">
            <v xml:space="preserve">10 Aug 15:Flood affected_Hold-No access; 28-Jul-15: Flooded access or site is flooded_ we canÆt proceed to this site for now								</v>
          </cell>
          <cell r="EJ301">
            <v>33</v>
          </cell>
          <cell r="EK301">
            <v>42205</v>
          </cell>
          <cell r="EL301">
            <v>42244</v>
          </cell>
          <cell r="EM301">
            <v>42206</v>
          </cell>
          <cell r="EN301">
            <v>42244</v>
          </cell>
          <cell r="EQ301">
            <v>42215</v>
          </cell>
          <cell r="EW301">
            <v>33</v>
          </cell>
          <cell r="EX301">
            <v>42229</v>
          </cell>
          <cell r="EZ301">
            <v>42225</v>
          </cell>
          <cell r="FB301">
            <v>42227</v>
          </cell>
          <cell r="FU301">
            <v>42229</v>
          </cell>
          <cell r="FW301">
            <v>42229</v>
          </cell>
          <cell r="FY301" t="str">
            <v>CFVL</v>
          </cell>
          <cell r="GF301">
            <v>42216</v>
          </cell>
          <cell r="GI301">
            <v>42307</v>
          </cell>
          <cell r="GJ301" t="str">
            <v>44-2015</v>
          </cell>
          <cell r="GN301" t="str">
            <v>ERICSSON</v>
          </cell>
          <cell r="GO301">
            <v>42150</v>
          </cell>
          <cell r="HD301">
            <v>1</v>
          </cell>
        </row>
        <row r="302">
          <cell r="A302" t="str">
            <v>MG0289</v>
          </cell>
          <cell r="B302" t="str">
            <v>ANMG_0126</v>
          </cell>
          <cell r="C302" t="str">
            <v>Apollo</v>
          </cell>
          <cell r="D302" t="str">
            <v>Adriaan Coetsee</v>
          </cell>
          <cell r="F302" t="str">
            <v>Mya Kyauk</v>
          </cell>
          <cell r="G302" t="str">
            <v>Si Thu Moe</v>
          </cell>
          <cell r="H302" t="str">
            <v>WHITE</v>
          </cell>
          <cell r="I302" t="str">
            <v>North</v>
          </cell>
          <cell r="J302" t="str">
            <v>94.7448</v>
          </cell>
          <cell r="K302" t="str">
            <v>20.8342</v>
          </cell>
          <cell r="L302" t="str">
            <v>SubUrban</v>
          </cell>
          <cell r="M302" t="str">
            <v>Magway</v>
          </cell>
          <cell r="N302" t="str">
            <v>Chauk</v>
          </cell>
          <cell r="O302" t="str">
            <v>Chauk</v>
          </cell>
          <cell r="P302" t="str">
            <v>Magway</v>
          </cell>
          <cell r="Q302" t="str">
            <v>7</v>
          </cell>
          <cell r="R302" t="str">
            <v>Chauk</v>
          </cell>
          <cell r="S302" t="str">
            <v>119</v>
          </cell>
          <cell r="T302" t="str">
            <v>GSM+UMTS</v>
          </cell>
          <cell r="W302" t="str">
            <v>Ph2-Priority</v>
          </cell>
          <cell r="X302" t="str">
            <v>35</v>
          </cell>
          <cell r="Y302" t="str">
            <v>37</v>
          </cell>
          <cell r="Z302" t="str">
            <v>GBT</v>
          </cell>
          <cell r="AA302" t="str">
            <v>250</v>
          </cell>
          <cell r="AB302" t="str">
            <v>Access</v>
          </cell>
          <cell r="AC302" t="str">
            <v>Class B</v>
          </cell>
          <cell r="BE302" t="str">
            <v>Kyauktaw-Kyaukpadaung</v>
          </cell>
          <cell r="BH302" t="str">
            <v>Camusat</v>
          </cell>
          <cell r="BJ302">
            <v>42133</v>
          </cell>
          <cell r="BK302">
            <v>42130</v>
          </cell>
          <cell r="BL302">
            <v>42138</v>
          </cell>
          <cell r="BM302">
            <v>42138</v>
          </cell>
          <cell r="BT302">
            <v>18</v>
          </cell>
          <cell r="BU302">
            <v>42139</v>
          </cell>
          <cell r="BV302">
            <v>42148</v>
          </cell>
          <cell r="BW302" t="str">
            <v>94.743894</v>
          </cell>
          <cell r="BX302" t="str">
            <v>20.830544</v>
          </cell>
          <cell r="BY302" t="str">
            <v>C1</v>
          </cell>
          <cell r="BZ302" t="str">
            <v>No.(14) Quarter, Salay Town, Chauk Township, Magway Division</v>
          </cell>
          <cell r="CA302" t="str">
            <v>U Ye Thein;No.(14) Quarter, Salay Town, Chauk Township, Magway Division;09-6565540, 09-791192437</v>
          </cell>
          <cell r="CB302" t="str">
            <v>24May15: C1 SAR Sub.</v>
          </cell>
          <cell r="CC302" t="str">
            <v>Village</v>
          </cell>
          <cell r="CE302">
            <v>1</v>
          </cell>
          <cell r="CF302">
            <v>42140</v>
          </cell>
          <cell r="CG302">
            <v>42149</v>
          </cell>
          <cell r="CH302">
            <v>42160</v>
          </cell>
          <cell r="CJ302">
            <v>42158</v>
          </cell>
          <cell r="CK302" t="str">
            <v>35</v>
          </cell>
          <cell r="CL302" t="str">
            <v>37</v>
          </cell>
          <cell r="CM302" t="str">
            <v>45</v>
          </cell>
          <cell r="CN302">
            <v>11</v>
          </cell>
          <cell r="CO302">
            <v>42163</v>
          </cell>
          <cell r="CP302">
            <v>42160</v>
          </cell>
          <cell r="CQ302" t="str">
            <v>M1: grid power + battery</v>
          </cell>
          <cell r="CR302">
            <v>4</v>
          </cell>
          <cell r="CS302">
            <v>42164</v>
          </cell>
          <cell r="CT302">
            <v>42164</v>
          </cell>
          <cell r="CU302" t="str">
            <v>MG0289</v>
          </cell>
          <cell r="DH302">
            <v>8</v>
          </cell>
          <cell r="DI302">
            <v>42174</v>
          </cell>
          <cell r="DJ302">
            <v>42172</v>
          </cell>
          <cell r="DK302">
            <v>42171</v>
          </cell>
          <cell r="DL302">
            <v>42165</v>
          </cell>
          <cell r="DM302">
            <v>42175</v>
          </cell>
          <cell r="DN302">
            <v>42166</v>
          </cell>
          <cell r="DO302">
            <v>0</v>
          </cell>
          <cell r="DP302">
            <v>42174</v>
          </cell>
          <cell r="DQ302">
            <v>42172</v>
          </cell>
          <cell r="DT302">
            <v>61</v>
          </cell>
          <cell r="DU302">
            <v>42189</v>
          </cell>
          <cell r="DV302">
            <v>42245</v>
          </cell>
          <cell r="DW302">
            <v>0</v>
          </cell>
          <cell r="DY302">
            <v>42175</v>
          </cell>
          <cell r="DZ302">
            <v>42166</v>
          </cell>
          <cell r="EA302" t="str">
            <v>Camusat</v>
          </cell>
          <cell r="ED302" t="str">
            <v xml:space="preserve">06Jul15 :SiThu.Moe: Tower foundation is done.Tower materials are not at site.Equipment slab are not yet.
</v>
          </cell>
          <cell r="EI302" t="str">
            <v>M5: grid power + DG + battery      </v>
          </cell>
          <cell r="EJ302">
            <v>26</v>
          </cell>
          <cell r="EK302">
            <v>42192</v>
          </cell>
          <cell r="EL302">
            <v>42192</v>
          </cell>
          <cell r="EM302">
            <v>42193</v>
          </cell>
          <cell r="EN302">
            <v>42194</v>
          </cell>
          <cell r="EQ302">
            <v>42202</v>
          </cell>
          <cell r="ER302">
            <v>42202</v>
          </cell>
          <cell r="ES302">
            <v>42192</v>
          </cell>
          <cell r="ET302">
            <v>42202</v>
          </cell>
          <cell r="EU302">
            <v>42202</v>
          </cell>
          <cell r="EW302">
            <v>67</v>
          </cell>
          <cell r="EX302">
            <v>42216</v>
          </cell>
          <cell r="EZ302">
            <v>42212</v>
          </cell>
          <cell r="FA302">
            <v>42201</v>
          </cell>
          <cell r="FB302">
            <v>42214</v>
          </cell>
          <cell r="FC302">
            <v>42202</v>
          </cell>
          <cell r="FU302">
            <v>42216</v>
          </cell>
          <cell r="FV302">
            <v>42206</v>
          </cell>
          <cell r="FW302">
            <v>42216</v>
          </cell>
          <cell r="FX302">
            <v>42202</v>
          </cell>
          <cell r="FY302" t="str">
            <v>UT</v>
          </cell>
          <cell r="FZ302">
            <v>42199</v>
          </cell>
          <cell r="GA302">
            <v>42203</v>
          </cell>
          <cell r="GB302">
            <v>42205</v>
          </cell>
          <cell r="GC302">
            <v>42206</v>
          </cell>
          <cell r="GD302">
            <v>42207</v>
          </cell>
          <cell r="GE302">
            <v>42208</v>
          </cell>
          <cell r="GF302">
            <v>42149</v>
          </cell>
          <cell r="GG302">
            <v>42208</v>
          </cell>
          <cell r="GH302">
            <v>42208</v>
          </cell>
          <cell r="GI302">
            <v>42246</v>
          </cell>
          <cell r="GJ302" t="str">
            <v>30-2015</v>
          </cell>
          <cell r="GK302">
            <v>42208</v>
          </cell>
          <cell r="GN302" t="str">
            <v>ERICSSON</v>
          </cell>
          <cell r="GO302">
            <v>42200</v>
          </cell>
          <cell r="GP302">
            <v>42178</v>
          </cell>
          <cell r="HD302">
            <v>1</v>
          </cell>
        </row>
        <row r="303">
          <cell r="A303" t="str">
            <v>MG0290</v>
          </cell>
          <cell r="B303" t="str">
            <v>ANMG_0095</v>
          </cell>
          <cell r="C303" t="str">
            <v>Apollo</v>
          </cell>
          <cell r="D303" t="str">
            <v>Adriaan Coetsee</v>
          </cell>
          <cell r="F303" t="str">
            <v>Mya Kyauk</v>
          </cell>
          <cell r="G303" t="str">
            <v>Si Thu Moe</v>
          </cell>
          <cell r="H303" t="str">
            <v>RED</v>
          </cell>
          <cell r="I303" t="str">
            <v>North</v>
          </cell>
          <cell r="J303" t="str">
            <v>94.8195</v>
          </cell>
          <cell r="K303" t="str">
            <v>20.8923</v>
          </cell>
          <cell r="L303" t="str">
            <v>SubUrban</v>
          </cell>
          <cell r="M303" t="str">
            <v>Magway</v>
          </cell>
          <cell r="N303" t="str">
            <v>Chauk</v>
          </cell>
          <cell r="O303" t="str">
            <v>Chauk</v>
          </cell>
          <cell r="P303" t="str">
            <v>Magway</v>
          </cell>
          <cell r="Q303" t="str">
            <v>7</v>
          </cell>
          <cell r="R303" t="str">
            <v>Chauk</v>
          </cell>
          <cell r="S303" t="str">
            <v>119</v>
          </cell>
          <cell r="T303" t="str">
            <v>GSM+UMTS</v>
          </cell>
          <cell r="W303" t="str">
            <v>Ph2-Priority</v>
          </cell>
          <cell r="X303" t="str">
            <v>35</v>
          </cell>
          <cell r="Y303" t="str">
            <v>37</v>
          </cell>
          <cell r="Z303" t="str">
            <v>GBT</v>
          </cell>
          <cell r="AA303" t="str">
            <v>50</v>
          </cell>
          <cell r="AB303" t="str">
            <v>Access</v>
          </cell>
          <cell r="AC303" t="str">
            <v>Class B</v>
          </cell>
          <cell r="BE303" t="str">
            <v>Kyauktaw-Kyaukpadaung</v>
          </cell>
          <cell r="BH303" t="str">
            <v>IENG</v>
          </cell>
          <cell r="BJ303">
            <v>42166</v>
          </cell>
          <cell r="BK303">
            <v>42130</v>
          </cell>
          <cell r="BL303">
            <v>42171</v>
          </cell>
          <cell r="BM303">
            <v>42132</v>
          </cell>
          <cell r="BT303">
            <v>103</v>
          </cell>
          <cell r="BU303">
            <v>42195</v>
          </cell>
          <cell r="BV303">
            <v>42132</v>
          </cell>
          <cell r="BW303">
            <v>94.826769999999996</v>
          </cell>
          <cell r="BX303">
            <v>20.889749999999999</v>
          </cell>
          <cell r="BY303" t="str">
            <v>Reject</v>
          </cell>
          <cell r="BZ303" t="str">
            <v>No(371), (10)Quarter,Aye Zaydi Quarter,Yae Nan Myay Street,Chauk Township,Magway Division.</v>
          </cell>
          <cell r="CA303" t="str">
            <v>Daw Aye Aye Thant;No(371), (10)Quarter,Aye Zaydi Quarter,Yae Nan Myay Street.Chauk Township. Magway Division;09-976859957</v>
          </cell>
          <cell r="CB303" t="str">
            <v>15 July 15: C2 SAR rejected( RND rejected because this site is 406m far from the nominal point and then too close with MG0291;Please find the new candidate near the nominal point.);13 July 15 : C2 SAR sub;29 May 15 : C1 SAR rejected( RND rejected because this site is 390m far from the nominal point. So please find new candidate near the nominal point.);28May15: C1 SAR Sub</v>
          </cell>
          <cell r="CC303" t="str">
            <v>Town</v>
          </cell>
          <cell r="CE303">
            <v>0</v>
          </cell>
          <cell r="CF303">
            <v>42196</v>
          </cell>
          <cell r="CG303">
            <v>42136</v>
          </cell>
          <cell r="CH303">
            <v>42198</v>
          </cell>
          <cell r="CN303">
            <v>0</v>
          </cell>
          <cell r="CO303">
            <v>42201</v>
          </cell>
          <cell r="CQ303" t="str">
            <v>M1: grid power + battery</v>
          </cell>
          <cell r="CR303">
            <v>0</v>
          </cell>
          <cell r="CS303">
            <v>42202</v>
          </cell>
          <cell r="CU303" t="str">
            <v>MG0290</v>
          </cell>
          <cell r="DH303">
            <v>0</v>
          </cell>
          <cell r="DI303">
            <v>42212</v>
          </cell>
          <cell r="DK303">
            <v>42209</v>
          </cell>
          <cell r="DM303">
            <v>42213</v>
          </cell>
          <cell r="DO303">
            <v>0</v>
          </cell>
          <cell r="DP303">
            <v>42212</v>
          </cell>
          <cell r="DT303">
            <v>0</v>
          </cell>
          <cell r="DU303">
            <v>42227</v>
          </cell>
          <cell r="DW303">
            <v>0</v>
          </cell>
          <cell r="DY303">
            <v>42213</v>
          </cell>
          <cell r="EA303" t="str">
            <v>IENG</v>
          </cell>
          <cell r="EJ303">
            <v>0</v>
          </cell>
          <cell r="EK303">
            <v>42230</v>
          </cell>
          <cell r="EM303">
            <v>42231</v>
          </cell>
          <cell r="EQ303">
            <v>42240</v>
          </cell>
          <cell r="EW303">
            <v>0</v>
          </cell>
          <cell r="EX303">
            <v>42215</v>
          </cell>
          <cell r="EZ303">
            <v>42250</v>
          </cell>
          <cell r="FB303">
            <v>42252</v>
          </cell>
          <cell r="FU303">
            <v>42254</v>
          </cell>
          <cell r="FW303">
            <v>42254</v>
          </cell>
          <cell r="FY303" t="str">
            <v>UT</v>
          </cell>
          <cell r="GI303">
            <v>42246</v>
          </cell>
          <cell r="GJ303">
            <v>0</v>
          </cell>
          <cell r="GN303" t="str">
            <v>ERICSSON</v>
          </cell>
          <cell r="GS303" t="str">
            <v>4/4/4</v>
          </cell>
          <cell r="GU303" t="str">
            <v xml:space="preserve">		</v>
          </cell>
          <cell r="HD303">
            <v>1</v>
          </cell>
        </row>
        <row r="304">
          <cell r="A304" t="str">
            <v>MG0291</v>
          </cell>
          <cell r="B304" t="str">
            <v>ANMG_0096</v>
          </cell>
          <cell r="C304" t="str">
            <v>Apollo</v>
          </cell>
          <cell r="D304" t="str">
            <v>Adriaan Coetsee</v>
          </cell>
          <cell r="F304" t="str">
            <v>Mya Kyauk</v>
          </cell>
          <cell r="G304" t="str">
            <v>Si Thu Moe</v>
          </cell>
          <cell r="H304" t="str">
            <v>YELLOW</v>
          </cell>
          <cell r="I304" t="str">
            <v>North</v>
          </cell>
          <cell r="J304" t="str">
            <v>94.8257</v>
          </cell>
          <cell r="K304" t="str">
            <v>20.8916</v>
          </cell>
          <cell r="L304" t="str">
            <v>SubUrban</v>
          </cell>
          <cell r="M304" t="str">
            <v>Magway</v>
          </cell>
          <cell r="N304" t="str">
            <v>Chauk</v>
          </cell>
          <cell r="O304" t="str">
            <v>Chauk</v>
          </cell>
          <cell r="P304" t="str">
            <v>Magway</v>
          </cell>
          <cell r="Q304" t="str">
            <v>7</v>
          </cell>
          <cell r="R304" t="str">
            <v>Chauk</v>
          </cell>
          <cell r="S304" t="str">
            <v>119</v>
          </cell>
          <cell r="T304" t="str">
            <v>GSM+UMTS</v>
          </cell>
          <cell r="U304" t="str">
            <v>MAG_N002</v>
          </cell>
          <cell r="V304" t="str">
            <v>7.1</v>
          </cell>
          <cell r="W304" t="str">
            <v>Ph2-Priority</v>
          </cell>
          <cell r="X304" t="str">
            <v>35</v>
          </cell>
          <cell r="Y304" t="str">
            <v>37</v>
          </cell>
          <cell r="Z304" t="str">
            <v>GBT</v>
          </cell>
          <cell r="AA304" t="str">
            <v>100</v>
          </cell>
          <cell r="AB304" t="str">
            <v>Access</v>
          </cell>
          <cell r="AC304" t="str">
            <v>Class B</v>
          </cell>
          <cell r="AD304" t="str">
            <v>982</v>
          </cell>
          <cell r="AE304" t="str">
            <v>982</v>
          </cell>
          <cell r="AF304" t="str">
            <v>1</v>
          </cell>
          <cell r="AG304" t="str">
            <v>MG0034</v>
          </cell>
          <cell r="AH304" t="str">
            <v>MG0043</v>
          </cell>
          <cell r="BC304" t="str">
            <v>MG0043</v>
          </cell>
          <cell r="BD304" t="str">
            <v>1</v>
          </cell>
          <cell r="BE304" t="str">
            <v>Kyauktaw-Kyaukpadaung</v>
          </cell>
          <cell r="BF304">
            <v>42034</v>
          </cell>
          <cell r="BG304">
            <v>42008</v>
          </cell>
          <cell r="BH304" t="str">
            <v>KTT</v>
          </cell>
          <cell r="BJ304">
            <v>42117</v>
          </cell>
          <cell r="BK304">
            <v>42121</v>
          </cell>
          <cell r="BL304">
            <v>42122</v>
          </cell>
          <cell r="BM304">
            <v>42122</v>
          </cell>
          <cell r="BT304">
            <v>11</v>
          </cell>
          <cell r="BU304">
            <v>42139</v>
          </cell>
          <cell r="BV304">
            <v>42132</v>
          </cell>
          <cell r="BW304" t="str">
            <v>94.82677</v>
          </cell>
          <cell r="BX304" t="str">
            <v>20.88975</v>
          </cell>
          <cell r="BY304" t="str">
            <v>C1</v>
          </cell>
          <cell r="BZ304" t="str">
            <v>No(371), (10)Quarter,Aye Zaydi Quarter,Yae Nan Myay Street.</v>
          </cell>
          <cell r="CA304" t="str">
            <v>Daw Aye Aye Thant;No(371), (10)Quarter,Aye Zaydi Quarter,Yae Nan Myay Street.Chauk Township. Magway Division;09-976859957</v>
          </cell>
          <cell r="CB304" t="str">
            <v>8May15: C1 SAR Sub</v>
          </cell>
          <cell r="CC304" t="str">
            <v>Farm Land</v>
          </cell>
          <cell r="CE304">
            <v>4</v>
          </cell>
          <cell r="CF304">
            <v>42140</v>
          </cell>
          <cell r="CG304">
            <v>42136</v>
          </cell>
          <cell r="CH304">
            <v>42157</v>
          </cell>
          <cell r="CI304" t="str">
            <v>camusat</v>
          </cell>
          <cell r="CJ304">
            <v>42170</v>
          </cell>
          <cell r="CK304" t="str">
            <v>35</v>
          </cell>
          <cell r="CL304" t="str">
            <v>37</v>
          </cell>
          <cell r="CM304" t="str">
            <v>40</v>
          </cell>
          <cell r="CN304">
            <v>36</v>
          </cell>
          <cell r="CO304">
            <v>42160</v>
          </cell>
          <cell r="CP304">
            <v>42172</v>
          </cell>
          <cell r="CQ304" t="str">
            <v>M1: grid power + battery</v>
          </cell>
          <cell r="CR304">
            <v>1</v>
          </cell>
          <cell r="CS304">
            <v>42161</v>
          </cell>
          <cell r="CT304">
            <v>42173</v>
          </cell>
          <cell r="CU304" t="str">
            <v>MG0291</v>
          </cell>
          <cell r="DH304">
            <v>4</v>
          </cell>
          <cell r="DI304">
            <v>42159</v>
          </cell>
          <cell r="DJ304">
            <v>42177</v>
          </cell>
          <cell r="DK304">
            <v>42156</v>
          </cell>
          <cell r="DL304">
            <v>42163</v>
          </cell>
          <cell r="DM304">
            <v>42160</v>
          </cell>
          <cell r="DN304">
            <v>42166</v>
          </cell>
          <cell r="DO304">
            <v>0</v>
          </cell>
          <cell r="DP304">
            <v>42159</v>
          </cell>
          <cell r="DQ304">
            <v>42177</v>
          </cell>
          <cell r="DR304" t="str">
            <v>Tayat CDC</v>
          </cell>
          <cell r="DS304" t="str">
            <v>068-21019</v>
          </cell>
          <cell r="DT304">
            <v>56</v>
          </cell>
          <cell r="DU304">
            <v>42174</v>
          </cell>
          <cell r="DW304">
            <v>0</v>
          </cell>
          <cell r="DY304">
            <v>42160</v>
          </cell>
          <cell r="DZ304">
            <v>42166</v>
          </cell>
          <cell r="EA304" t="str">
            <v>Camusat</v>
          </cell>
          <cell r="ED304" t="str">
            <v xml:space="preserve">06Jul15 :SiThu.Moe: Tower foundation is ongoing.Tower materials arrived at site.Equipment part not start yet.
</v>
          </cell>
          <cell r="EE304" t="str">
            <v xml:space="preserve">10 Aug 15:Rain affected_Progress affected; 4-Aug-15: Awaiting tower EDA 8/15. Tower foundation and equipment slab casted								</v>
          </cell>
          <cell r="EI304" t="str">
            <v>M5: grid power + DG + battery      </v>
          </cell>
          <cell r="EJ304">
            <v>28</v>
          </cell>
          <cell r="EK304">
            <v>42175</v>
          </cell>
          <cell r="EL304">
            <v>42194</v>
          </cell>
          <cell r="EM304">
            <v>42176</v>
          </cell>
          <cell r="EN304">
            <v>42233</v>
          </cell>
          <cell r="EQ304">
            <v>42183</v>
          </cell>
          <cell r="ER304">
            <v>42237</v>
          </cell>
          <cell r="ES304">
            <v>42201</v>
          </cell>
          <cell r="ET304">
            <v>42240</v>
          </cell>
          <cell r="EU304">
            <v>42240</v>
          </cell>
          <cell r="EW304">
            <v>67</v>
          </cell>
          <cell r="EX304">
            <v>42197</v>
          </cell>
          <cell r="EZ304">
            <v>42193</v>
          </cell>
          <cell r="FA304">
            <v>42207</v>
          </cell>
          <cell r="FB304">
            <v>42195</v>
          </cell>
          <cell r="FC304">
            <v>42213</v>
          </cell>
          <cell r="FD304">
            <v>41934</v>
          </cell>
          <cell r="FF304">
            <v>41941</v>
          </cell>
          <cell r="FH304">
            <v>41943</v>
          </cell>
          <cell r="FJ304">
            <v>41946</v>
          </cell>
          <cell r="FN304">
            <v>41950</v>
          </cell>
          <cell r="FP304">
            <v>41952</v>
          </cell>
          <cell r="FR304">
            <v>41966</v>
          </cell>
          <cell r="FU304">
            <v>42197</v>
          </cell>
          <cell r="FV304">
            <v>42215</v>
          </cell>
          <cell r="FW304">
            <v>42197</v>
          </cell>
          <cell r="FX304">
            <v>42240</v>
          </cell>
          <cell r="FY304" t="str">
            <v>EM</v>
          </cell>
          <cell r="FZ304">
            <v>42209</v>
          </cell>
          <cell r="GA304">
            <v>42213</v>
          </cell>
          <cell r="GB304">
            <v>42242</v>
          </cell>
          <cell r="GC304">
            <v>42242</v>
          </cell>
          <cell r="GD304">
            <v>42242</v>
          </cell>
          <cell r="GE304">
            <v>42243</v>
          </cell>
          <cell r="GF304">
            <v>42243</v>
          </cell>
          <cell r="GG304">
            <v>42243</v>
          </cell>
          <cell r="GH304">
            <v>42243</v>
          </cell>
          <cell r="GI304">
            <v>42246</v>
          </cell>
          <cell r="GJ304" t="str">
            <v>36-2015</v>
          </cell>
          <cell r="GK304">
            <v>42243</v>
          </cell>
          <cell r="GL304" t="str">
            <v>Infra Dep.: Tower is not ready</v>
          </cell>
          <cell r="GN304" t="str">
            <v>ERICSSON</v>
          </cell>
          <cell r="GO304">
            <v>42149</v>
          </cell>
          <cell r="GP304">
            <v>42178</v>
          </cell>
          <cell r="GQ304" t="str">
            <v xml:space="preserve">Infra Issue; </v>
          </cell>
          <cell r="HD304">
            <v>1</v>
          </cell>
        </row>
        <row r="305">
          <cell r="A305" t="str">
            <v>MG0292</v>
          </cell>
          <cell r="B305" t="str">
            <v>ANMG_0097</v>
          </cell>
          <cell r="C305" t="str">
            <v>Apollo</v>
          </cell>
          <cell r="D305" t="str">
            <v>Adriaan Coetsee</v>
          </cell>
          <cell r="F305" t="str">
            <v>Mya Kyauk</v>
          </cell>
          <cell r="G305" t="str">
            <v>Si Thu Moe</v>
          </cell>
          <cell r="H305" t="str">
            <v>WHITE</v>
          </cell>
          <cell r="I305" t="str">
            <v>North</v>
          </cell>
          <cell r="J305" t="str">
            <v>94.8142</v>
          </cell>
          <cell r="K305" t="str">
            <v>20.8877</v>
          </cell>
          <cell r="L305" t="str">
            <v>SubUrban</v>
          </cell>
          <cell r="M305" t="str">
            <v>Magway</v>
          </cell>
          <cell r="N305" t="str">
            <v>Chauk</v>
          </cell>
          <cell r="O305" t="str">
            <v>Chauk</v>
          </cell>
          <cell r="P305" t="str">
            <v>Magway</v>
          </cell>
          <cell r="Q305" t="str">
            <v>7</v>
          </cell>
          <cell r="R305" t="str">
            <v>Chauk</v>
          </cell>
          <cell r="S305" t="str">
            <v>119</v>
          </cell>
          <cell r="T305" t="str">
            <v>GSM+UMTS</v>
          </cell>
          <cell r="W305" t="str">
            <v>Ph2-Priority</v>
          </cell>
          <cell r="X305" t="str">
            <v>35</v>
          </cell>
          <cell r="Y305" t="str">
            <v>37</v>
          </cell>
          <cell r="Z305" t="str">
            <v>GBT</v>
          </cell>
          <cell r="AA305" t="str">
            <v>100</v>
          </cell>
          <cell r="AB305" t="str">
            <v>Access</v>
          </cell>
          <cell r="AC305" t="str">
            <v>Class B</v>
          </cell>
          <cell r="BE305" t="str">
            <v>Kyauktaw-Kyaukpadaung</v>
          </cell>
          <cell r="BH305" t="str">
            <v>KTT</v>
          </cell>
          <cell r="BJ305">
            <v>42117</v>
          </cell>
          <cell r="BK305">
            <v>42121</v>
          </cell>
          <cell r="BL305">
            <v>42122</v>
          </cell>
          <cell r="BM305">
            <v>42122</v>
          </cell>
          <cell r="BT305">
            <v>11</v>
          </cell>
          <cell r="BU305">
            <v>42134</v>
          </cell>
          <cell r="BV305">
            <v>42132</v>
          </cell>
          <cell r="BW305" t="str">
            <v>94.8129</v>
          </cell>
          <cell r="BX305" t="str">
            <v>20.8869</v>
          </cell>
          <cell r="BY305" t="str">
            <v>C1</v>
          </cell>
          <cell r="BZ305" t="str">
            <v>No(31/216),No(14) Sit Kwin Yap.Chauk TSP.</v>
          </cell>
          <cell r="CA305" t="str">
            <v>Daw Khin Thaung;U Tun Aung;No(14),Block(31/216), Sit Kwin Street,Sit Kwin Yet, Chauk Township.Magway Division;09-440227371</v>
          </cell>
          <cell r="CB305" t="str">
            <v>8May15: C1 SAR Sub</v>
          </cell>
          <cell r="CE305">
            <v>4</v>
          </cell>
          <cell r="CF305">
            <v>42135</v>
          </cell>
          <cell r="CG305">
            <v>42136</v>
          </cell>
          <cell r="CH305">
            <v>42157</v>
          </cell>
          <cell r="CJ305">
            <v>42153</v>
          </cell>
          <cell r="CK305" t="str">
            <v>35</v>
          </cell>
          <cell r="CL305" t="str">
            <v>37</v>
          </cell>
          <cell r="CM305" t="str">
            <v>60</v>
          </cell>
          <cell r="CN305">
            <v>20</v>
          </cell>
          <cell r="CO305">
            <v>42160</v>
          </cell>
          <cell r="CP305">
            <v>42156</v>
          </cell>
          <cell r="CQ305" t="str">
            <v>M1: grid power + battery</v>
          </cell>
          <cell r="CR305">
            <v>1</v>
          </cell>
          <cell r="CS305">
            <v>42161</v>
          </cell>
          <cell r="CT305">
            <v>42157</v>
          </cell>
          <cell r="CU305" t="str">
            <v>MG0292</v>
          </cell>
          <cell r="DH305">
            <v>20</v>
          </cell>
          <cell r="DI305">
            <v>42159</v>
          </cell>
          <cell r="DJ305">
            <v>42177</v>
          </cell>
          <cell r="DK305">
            <v>42156</v>
          </cell>
          <cell r="DL305">
            <v>42160</v>
          </cell>
          <cell r="DM305">
            <v>42160</v>
          </cell>
          <cell r="DN305">
            <v>42165</v>
          </cell>
          <cell r="DO305">
            <v>0</v>
          </cell>
          <cell r="DP305">
            <v>42159</v>
          </cell>
          <cell r="DQ305">
            <v>42177</v>
          </cell>
          <cell r="DT305">
            <v>56</v>
          </cell>
          <cell r="DU305">
            <v>42174</v>
          </cell>
          <cell r="DW305">
            <v>0</v>
          </cell>
          <cell r="DY305">
            <v>42160</v>
          </cell>
          <cell r="DZ305">
            <v>42163</v>
          </cell>
          <cell r="EA305" t="str">
            <v>IENG</v>
          </cell>
          <cell r="ED305" t="str">
            <v xml:space="preserve">06Jul15 :SiThu.Moe: Tower foundation and backfilling are done.Equipment slab is ongoing.
</v>
          </cell>
          <cell r="EI305" t="str">
            <v>M5: grid power + DG + battery      </v>
          </cell>
          <cell r="EJ305">
            <v>24</v>
          </cell>
          <cell r="EK305">
            <v>42182</v>
          </cell>
          <cell r="EL305">
            <v>42187</v>
          </cell>
          <cell r="EM305">
            <v>42183</v>
          </cell>
          <cell r="EN305">
            <v>42187</v>
          </cell>
          <cell r="EQ305">
            <v>42195</v>
          </cell>
          <cell r="ER305">
            <v>42195</v>
          </cell>
          <cell r="ES305">
            <v>42189</v>
          </cell>
          <cell r="ET305">
            <v>42195</v>
          </cell>
          <cell r="EU305">
            <v>42195</v>
          </cell>
          <cell r="EW305">
            <v>70</v>
          </cell>
          <cell r="EX305">
            <v>42209</v>
          </cell>
          <cell r="EY305">
            <v>42242</v>
          </cell>
          <cell r="EZ305">
            <v>42205</v>
          </cell>
          <cell r="FA305">
            <v>42198</v>
          </cell>
          <cell r="FB305">
            <v>42207</v>
          </cell>
          <cell r="FC305">
            <v>42201</v>
          </cell>
          <cell r="FU305">
            <v>42209</v>
          </cell>
          <cell r="FV305">
            <v>42210</v>
          </cell>
          <cell r="FW305">
            <v>42209</v>
          </cell>
          <cell r="FX305">
            <v>42201</v>
          </cell>
          <cell r="FY305" t="str">
            <v>CFVL</v>
          </cell>
          <cell r="FZ305">
            <v>42205</v>
          </cell>
          <cell r="GA305">
            <v>42209</v>
          </cell>
          <cell r="GB305">
            <v>42209</v>
          </cell>
          <cell r="GC305">
            <v>42209</v>
          </cell>
          <cell r="GD305">
            <v>42215</v>
          </cell>
          <cell r="GE305">
            <v>42216</v>
          </cell>
          <cell r="GF305">
            <v>42193</v>
          </cell>
          <cell r="GG305">
            <v>42216</v>
          </cell>
          <cell r="GH305">
            <v>42216</v>
          </cell>
          <cell r="GI305">
            <v>42216</v>
          </cell>
          <cell r="GJ305" t="str">
            <v>31-2015</v>
          </cell>
          <cell r="GK305">
            <v>42216</v>
          </cell>
          <cell r="GL305" t="str">
            <v>Govt Issue</v>
          </cell>
          <cell r="GN305" t="str">
            <v>ERICSSON</v>
          </cell>
          <cell r="GO305">
            <v>42149</v>
          </cell>
          <cell r="GP305">
            <v>42178</v>
          </cell>
          <cell r="GQ305">
            <v>0</v>
          </cell>
          <cell r="HD305">
            <v>1</v>
          </cell>
        </row>
        <row r="306">
          <cell r="A306" t="str">
            <v>MG0293</v>
          </cell>
          <cell r="B306" t="str">
            <v>ANMG_0098</v>
          </cell>
          <cell r="C306" t="str">
            <v>Apollo</v>
          </cell>
          <cell r="D306" t="str">
            <v>Adriaan Coetsee</v>
          </cell>
          <cell r="F306" t="str">
            <v>Mya Kyauk</v>
          </cell>
          <cell r="G306" t="str">
            <v>Si Thu Moe</v>
          </cell>
          <cell r="H306" t="str">
            <v>YELLOW</v>
          </cell>
          <cell r="I306" t="str">
            <v>North</v>
          </cell>
          <cell r="J306" t="str">
            <v>94.8213</v>
          </cell>
          <cell r="K306" t="str">
            <v>20.8801</v>
          </cell>
          <cell r="L306" t="str">
            <v>SubUrban</v>
          </cell>
          <cell r="M306" t="str">
            <v>Magway</v>
          </cell>
          <cell r="N306" t="str">
            <v>Chauk</v>
          </cell>
          <cell r="O306" t="str">
            <v>Chauk</v>
          </cell>
          <cell r="P306" t="str">
            <v>Magway</v>
          </cell>
          <cell r="Q306" t="str">
            <v>7</v>
          </cell>
          <cell r="R306" t="str">
            <v>Chauk</v>
          </cell>
          <cell r="S306" t="str">
            <v>119</v>
          </cell>
          <cell r="T306" t="str">
            <v>GSM+UMTS</v>
          </cell>
          <cell r="W306" t="str">
            <v>Ph2-Priority</v>
          </cell>
          <cell r="X306" t="str">
            <v>35</v>
          </cell>
          <cell r="Y306" t="str">
            <v>37</v>
          </cell>
          <cell r="Z306" t="str">
            <v>GBT</v>
          </cell>
          <cell r="AA306" t="str">
            <v>250</v>
          </cell>
          <cell r="AB306" t="str">
            <v>Access</v>
          </cell>
          <cell r="AC306" t="str">
            <v>Class B</v>
          </cell>
          <cell r="BE306" t="str">
            <v>Kyauktaw-Kyaukpadaung</v>
          </cell>
          <cell r="BH306" t="str">
            <v>KTT</v>
          </cell>
          <cell r="BJ306">
            <v>42117</v>
          </cell>
          <cell r="BK306">
            <v>42121</v>
          </cell>
          <cell r="BL306">
            <v>42122</v>
          </cell>
          <cell r="BM306">
            <v>42122</v>
          </cell>
          <cell r="BT306">
            <v>11</v>
          </cell>
          <cell r="BU306">
            <v>42139</v>
          </cell>
          <cell r="BV306">
            <v>42132</v>
          </cell>
          <cell r="BW306" t="str">
            <v>94.8206</v>
          </cell>
          <cell r="BX306" t="str">
            <v>20.879</v>
          </cell>
          <cell r="BY306" t="str">
            <v>C1</v>
          </cell>
          <cell r="BZ306" t="str">
            <v>No (506),No(15) Quarter,Yadanar Aint.(Address taken from SAR).</v>
          </cell>
          <cell r="CA306" t="str">
            <v>U Than Swe;No (506),No(15)Quarter, Yadanar Aint.Chauk Township,Magway Division;09-794562274</v>
          </cell>
          <cell r="CB306" t="str">
            <v>8May15: C1 SAR Sub</v>
          </cell>
          <cell r="CC306" t="str">
            <v>Farmland</v>
          </cell>
          <cell r="CE306">
            <v>4</v>
          </cell>
          <cell r="CF306">
            <v>42140</v>
          </cell>
          <cell r="CG306">
            <v>42136</v>
          </cell>
          <cell r="CH306">
            <v>42157</v>
          </cell>
          <cell r="CJ306">
            <v>42170</v>
          </cell>
          <cell r="CK306" t="str">
            <v>35</v>
          </cell>
          <cell r="CL306" t="str">
            <v>37</v>
          </cell>
          <cell r="CM306" t="str">
            <v>40</v>
          </cell>
          <cell r="CN306">
            <v>36</v>
          </cell>
          <cell r="CO306">
            <v>42160</v>
          </cell>
          <cell r="CP306">
            <v>42172</v>
          </cell>
          <cell r="CQ306" t="str">
            <v>M1: grid power + battery</v>
          </cell>
          <cell r="CR306">
            <v>1</v>
          </cell>
          <cell r="CS306">
            <v>42161</v>
          </cell>
          <cell r="CT306">
            <v>42173</v>
          </cell>
          <cell r="CU306" t="str">
            <v>MG0293</v>
          </cell>
          <cell r="DH306">
            <v>-23</v>
          </cell>
          <cell r="DI306">
            <v>42159</v>
          </cell>
          <cell r="DJ306">
            <v>42150</v>
          </cell>
          <cell r="DK306">
            <v>42156</v>
          </cell>
          <cell r="DL306">
            <v>42160</v>
          </cell>
          <cell r="DM306">
            <v>42160</v>
          </cell>
          <cell r="DN306">
            <v>42185</v>
          </cell>
          <cell r="DO306">
            <v>0</v>
          </cell>
          <cell r="DP306">
            <v>42159</v>
          </cell>
          <cell r="DQ306">
            <v>42150</v>
          </cell>
          <cell r="DT306">
            <v>83</v>
          </cell>
          <cell r="DU306">
            <v>42174</v>
          </cell>
          <cell r="DW306">
            <v>0</v>
          </cell>
          <cell r="DY306">
            <v>42160</v>
          </cell>
          <cell r="DZ306">
            <v>42185</v>
          </cell>
          <cell r="EA306" t="str">
            <v>Camusat</v>
          </cell>
          <cell r="EE306" t="str">
            <v xml:space="preserve">10 Aug 15:Rain affected_Progress affected; 4-Aug-15: Awaiting tower EDA 8/15.  Tower foundation casted. Equipment Slab to start								</v>
          </cell>
          <cell r="EJ306">
            <v>31</v>
          </cell>
          <cell r="EK306">
            <v>42175</v>
          </cell>
          <cell r="EL306">
            <v>42216</v>
          </cell>
          <cell r="EM306">
            <v>42176</v>
          </cell>
          <cell r="EN306">
            <v>42234</v>
          </cell>
          <cell r="EQ306">
            <v>42183</v>
          </cell>
          <cell r="ER306">
            <v>42240</v>
          </cell>
          <cell r="ES306">
            <v>42227</v>
          </cell>
          <cell r="ET306">
            <v>42241</v>
          </cell>
          <cell r="EU306">
            <v>42241</v>
          </cell>
          <cell r="EW306">
            <v>48</v>
          </cell>
          <cell r="EX306">
            <v>42197</v>
          </cell>
          <cell r="EZ306">
            <v>42193</v>
          </cell>
          <cell r="FA306">
            <v>42242</v>
          </cell>
          <cell r="FB306">
            <v>42195</v>
          </cell>
          <cell r="FC306">
            <v>42244</v>
          </cell>
          <cell r="FU306">
            <v>42197</v>
          </cell>
          <cell r="FW306">
            <v>42197</v>
          </cell>
          <cell r="FX306">
            <v>42244</v>
          </cell>
          <cell r="FY306" t="str">
            <v>UT</v>
          </cell>
          <cell r="FZ306">
            <v>42236</v>
          </cell>
          <cell r="GA306">
            <v>42239</v>
          </cell>
          <cell r="GB306">
            <v>42245</v>
          </cell>
          <cell r="GC306">
            <v>42245</v>
          </cell>
          <cell r="GD306">
            <v>42245</v>
          </cell>
          <cell r="GE306">
            <v>42245</v>
          </cell>
          <cell r="GF306">
            <v>42245</v>
          </cell>
          <cell r="GG306">
            <v>42245</v>
          </cell>
          <cell r="GH306">
            <v>42245</v>
          </cell>
          <cell r="GI306">
            <v>42246</v>
          </cell>
          <cell r="GJ306" t="str">
            <v>36-2015</v>
          </cell>
          <cell r="GK306">
            <v>42246</v>
          </cell>
          <cell r="GN306" t="str">
            <v>ERICSSON</v>
          </cell>
          <cell r="GO306">
            <v>42149</v>
          </cell>
          <cell r="HD306">
            <v>1</v>
          </cell>
        </row>
        <row r="307">
          <cell r="A307" t="str">
            <v>MG0294</v>
          </cell>
          <cell r="B307" t="str">
            <v>ANMG_0099</v>
          </cell>
          <cell r="C307" t="str">
            <v>Apollo</v>
          </cell>
          <cell r="D307" t="str">
            <v>Adriaan Coetsee</v>
          </cell>
          <cell r="F307" t="str">
            <v>Mya Kyauk</v>
          </cell>
          <cell r="G307" t="str">
            <v>Si Thu Moe</v>
          </cell>
          <cell r="H307" t="str">
            <v>WHITE</v>
          </cell>
          <cell r="I307" t="str">
            <v>North</v>
          </cell>
          <cell r="J307" t="str">
            <v>94.8228</v>
          </cell>
          <cell r="K307" t="str">
            <v>20.9034</v>
          </cell>
          <cell r="L307" t="str">
            <v>SubUrban</v>
          </cell>
          <cell r="M307" t="str">
            <v>Magway</v>
          </cell>
          <cell r="N307" t="str">
            <v>Chauk</v>
          </cell>
          <cell r="O307" t="str">
            <v>Chauk</v>
          </cell>
          <cell r="P307" t="str">
            <v>Magway</v>
          </cell>
          <cell r="Q307" t="str">
            <v>7</v>
          </cell>
          <cell r="R307" t="str">
            <v>Chauk</v>
          </cell>
          <cell r="S307" t="str">
            <v>119</v>
          </cell>
          <cell r="T307" t="str">
            <v>GSM+UMTS</v>
          </cell>
          <cell r="W307" t="str">
            <v>Ph2-Priority</v>
          </cell>
          <cell r="X307" t="str">
            <v>35</v>
          </cell>
          <cell r="Y307" t="str">
            <v>37</v>
          </cell>
          <cell r="Z307" t="str">
            <v>GBT</v>
          </cell>
          <cell r="AA307" t="str">
            <v>100</v>
          </cell>
          <cell r="AB307" t="str">
            <v>Access</v>
          </cell>
          <cell r="AC307" t="str">
            <v>Class B</v>
          </cell>
          <cell r="BE307" t="str">
            <v>Kyauktaw-Kyaukpadaung</v>
          </cell>
          <cell r="BH307" t="str">
            <v>KTT</v>
          </cell>
          <cell r="BJ307">
            <v>42120</v>
          </cell>
          <cell r="BK307">
            <v>42121</v>
          </cell>
          <cell r="BL307">
            <v>42125</v>
          </cell>
          <cell r="BM307">
            <v>42125</v>
          </cell>
          <cell r="BT307">
            <v>14</v>
          </cell>
          <cell r="BU307">
            <v>42134</v>
          </cell>
          <cell r="BV307">
            <v>42135</v>
          </cell>
          <cell r="BW307" t="str">
            <v>94.822765</v>
          </cell>
          <cell r="BX307" t="str">
            <v>20.903145</v>
          </cell>
          <cell r="BY307" t="str">
            <v>C2</v>
          </cell>
          <cell r="BZ307" t="str">
            <v>No (574),No (4)Quarter,Loot Lat Yae,Chauk Township,Magway Division.(Address taken from SAR because didn't mention in TSSR )</v>
          </cell>
          <cell r="CA307" t="str">
            <v>U Kyi Lin;No (574),No(4)Quarter,Loot Lat Yae.ChaukTownship, Magway Division,09-43188457</v>
          </cell>
          <cell r="CB307" t="str">
            <v>22May15: C2 TSSR Submitted. C1 Rejected during TSS by Apollo CW.12 May 15: C1 SAR approved as an option 1 and C2 SAR approved as an option 2 ;11May15: C2 SAR Sub as redundancy. 8May15: C1 SAR Sub</v>
          </cell>
          <cell r="CE307">
            <v>1</v>
          </cell>
          <cell r="CF307">
            <v>42135</v>
          </cell>
          <cell r="CG307">
            <v>42136</v>
          </cell>
          <cell r="CH307">
            <v>42137</v>
          </cell>
          <cell r="CJ307">
            <v>42144</v>
          </cell>
          <cell r="CK307" t="str">
            <v>35</v>
          </cell>
          <cell r="CL307" t="str">
            <v>37</v>
          </cell>
          <cell r="CM307" t="str">
            <v>45</v>
          </cell>
          <cell r="CN307">
            <v>10</v>
          </cell>
          <cell r="CO307">
            <v>42140</v>
          </cell>
          <cell r="CP307">
            <v>42146</v>
          </cell>
          <cell r="CQ307" t="str">
            <v>M1: grid power + battery</v>
          </cell>
          <cell r="CR307">
            <v>3</v>
          </cell>
          <cell r="CS307">
            <v>42141</v>
          </cell>
          <cell r="CT307">
            <v>42149</v>
          </cell>
          <cell r="CU307" t="str">
            <v>MG0294</v>
          </cell>
          <cell r="DH307">
            <v>23</v>
          </cell>
          <cell r="DI307">
            <v>42163</v>
          </cell>
          <cell r="DJ307">
            <v>42172</v>
          </cell>
          <cell r="DK307">
            <v>42160</v>
          </cell>
          <cell r="DL307">
            <v>42159</v>
          </cell>
          <cell r="DM307">
            <v>42164</v>
          </cell>
          <cell r="DN307">
            <v>42159</v>
          </cell>
          <cell r="DO307">
            <v>0</v>
          </cell>
          <cell r="DP307">
            <v>42163</v>
          </cell>
          <cell r="DQ307">
            <v>42172</v>
          </cell>
          <cell r="DT307">
            <v>61</v>
          </cell>
          <cell r="DU307">
            <v>42178</v>
          </cell>
          <cell r="DW307">
            <v>0</v>
          </cell>
          <cell r="DY307">
            <v>42164</v>
          </cell>
          <cell r="DZ307">
            <v>42158</v>
          </cell>
          <cell r="EA307" t="str">
            <v>Camusat</v>
          </cell>
          <cell r="ED307" t="str">
            <v xml:space="preserve">06Jul15 :SiThu.Moe: Ready for TI.NE are not arrive at site.
</v>
          </cell>
          <cell r="EI307" t="str">
            <v>M5: grid power + DG + battery      </v>
          </cell>
          <cell r="EJ307">
            <v>20</v>
          </cell>
          <cell r="EK307">
            <v>42181</v>
          </cell>
          <cell r="EL307">
            <v>42178</v>
          </cell>
          <cell r="EM307">
            <v>42182</v>
          </cell>
          <cell r="EN307">
            <v>42172</v>
          </cell>
          <cell r="EQ307">
            <v>42191</v>
          </cell>
          <cell r="ER307">
            <v>42185</v>
          </cell>
          <cell r="ES307">
            <v>42184</v>
          </cell>
          <cell r="ET307">
            <v>42185</v>
          </cell>
          <cell r="EU307">
            <v>42185</v>
          </cell>
          <cell r="EW307">
            <v>75</v>
          </cell>
          <cell r="EX307">
            <v>42205</v>
          </cell>
          <cell r="EZ307">
            <v>42201</v>
          </cell>
          <cell r="FA307">
            <v>42184</v>
          </cell>
          <cell r="FB307">
            <v>42203</v>
          </cell>
          <cell r="FC307">
            <v>42185</v>
          </cell>
          <cell r="FU307">
            <v>42205</v>
          </cell>
          <cell r="FV307">
            <v>42196</v>
          </cell>
          <cell r="FW307">
            <v>42205</v>
          </cell>
          <cell r="FX307">
            <v>42185</v>
          </cell>
          <cell r="FY307" t="str">
            <v>AZM</v>
          </cell>
          <cell r="FZ307">
            <v>42187</v>
          </cell>
          <cell r="GA307">
            <v>42189</v>
          </cell>
          <cell r="GB307">
            <v>42193</v>
          </cell>
          <cell r="GC307">
            <v>42193</v>
          </cell>
          <cell r="GD307">
            <v>42193</v>
          </cell>
          <cell r="GE307">
            <v>42193</v>
          </cell>
          <cell r="GF307">
            <v>42193</v>
          </cell>
          <cell r="GG307">
            <v>42193</v>
          </cell>
          <cell r="GH307">
            <v>42193</v>
          </cell>
          <cell r="GI307">
            <v>42193</v>
          </cell>
          <cell r="GJ307" t="str">
            <v>28-2015</v>
          </cell>
          <cell r="GK307">
            <v>42193</v>
          </cell>
          <cell r="GN307" t="str">
            <v>ERICSSON</v>
          </cell>
          <cell r="GO307">
            <v>42149</v>
          </cell>
          <cell r="GP307">
            <v>42178</v>
          </cell>
          <cell r="HD307">
            <v>1</v>
          </cell>
        </row>
        <row r="308">
          <cell r="A308" t="str">
            <v>MG0295</v>
          </cell>
          <cell r="B308" t="str">
            <v>ANMG_0100</v>
          </cell>
          <cell r="C308" t="str">
            <v>Apollo</v>
          </cell>
          <cell r="D308" t="str">
            <v>Adriaan Coetsee</v>
          </cell>
          <cell r="F308" t="str">
            <v>Mya Kyauk</v>
          </cell>
          <cell r="G308" t="str">
            <v>Si Thu Moe</v>
          </cell>
          <cell r="H308" t="str">
            <v>YELLOW</v>
          </cell>
          <cell r="I308" t="str">
            <v>North</v>
          </cell>
          <cell r="J308" t="str">
            <v>94.825</v>
          </cell>
          <cell r="K308" t="str">
            <v>20.9138</v>
          </cell>
          <cell r="L308" t="str">
            <v>SubUrban</v>
          </cell>
          <cell r="M308" t="str">
            <v>Magway</v>
          </cell>
          <cell r="N308" t="str">
            <v>Chauk</v>
          </cell>
          <cell r="O308" t="str">
            <v>Chauk</v>
          </cell>
          <cell r="P308" t="str">
            <v>Magway</v>
          </cell>
          <cell r="Q308" t="str">
            <v>7</v>
          </cell>
          <cell r="R308" t="str">
            <v>Chauk</v>
          </cell>
          <cell r="S308" t="str">
            <v>119</v>
          </cell>
          <cell r="T308" t="str">
            <v>GSM+UMTS</v>
          </cell>
          <cell r="W308" t="str">
            <v>Ph2-Priority</v>
          </cell>
          <cell r="X308" t="str">
            <v>35</v>
          </cell>
          <cell r="Y308" t="str">
            <v>37</v>
          </cell>
          <cell r="Z308" t="str">
            <v>GBT</v>
          </cell>
          <cell r="AA308" t="str">
            <v>100</v>
          </cell>
          <cell r="AB308" t="str">
            <v>Access</v>
          </cell>
          <cell r="AC308" t="str">
            <v>Class B</v>
          </cell>
          <cell r="BE308" t="str">
            <v>Kyauktaw-Kyaukpadaung</v>
          </cell>
          <cell r="BH308" t="str">
            <v>Camusat</v>
          </cell>
          <cell r="BJ308">
            <v>42166</v>
          </cell>
          <cell r="BK308">
            <v>42156</v>
          </cell>
          <cell r="BL308">
            <v>42171</v>
          </cell>
          <cell r="BM308">
            <v>42163</v>
          </cell>
          <cell r="BT308">
            <v>17</v>
          </cell>
          <cell r="BU308">
            <v>42231</v>
          </cell>
          <cell r="BV308">
            <v>42173</v>
          </cell>
          <cell r="BW308" t="str">
            <v>94.82482</v>
          </cell>
          <cell r="BX308" t="str">
            <v>20.91323</v>
          </cell>
          <cell r="BY308" t="str">
            <v>C1</v>
          </cell>
          <cell r="BZ308" t="str">
            <v>No.1 Ward , Yay Oe San Street , Chauk Township;Magway Division.</v>
          </cell>
          <cell r="CA308" t="str">
            <v>Daw Aye Mi San;9253819170</v>
          </cell>
          <cell r="CB308" t="str">
            <v>18Jun15: C1 SAR Sub</v>
          </cell>
          <cell r="CC308" t="str">
            <v>Village</v>
          </cell>
          <cell r="CE308">
            <v>1</v>
          </cell>
          <cell r="CF308">
            <v>42232</v>
          </cell>
          <cell r="CG308">
            <v>42174</v>
          </cell>
          <cell r="CH308">
            <v>42234</v>
          </cell>
          <cell r="CJ308">
            <v>42180</v>
          </cell>
          <cell r="CK308" t="str">
            <v>35</v>
          </cell>
          <cell r="CL308" t="str">
            <v>37</v>
          </cell>
          <cell r="CM308" t="str">
            <v>40</v>
          </cell>
          <cell r="CN308">
            <v>8</v>
          </cell>
          <cell r="CO308">
            <v>42237</v>
          </cell>
          <cell r="CP308">
            <v>42182</v>
          </cell>
          <cell r="CQ308" t="str">
            <v>M1: grid power + battery</v>
          </cell>
          <cell r="CR308">
            <v>5</v>
          </cell>
          <cell r="CS308">
            <v>42238</v>
          </cell>
          <cell r="CT308">
            <v>42187</v>
          </cell>
          <cell r="CU308" t="str">
            <v>MG0295</v>
          </cell>
          <cell r="DH308">
            <v>46</v>
          </cell>
          <cell r="DI308">
            <v>42248</v>
          </cell>
          <cell r="DJ308">
            <v>42179</v>
          </cell>
          <cell r="DK308">
            <v>42245</v>
          </cell>
          <cell r="DL308">
            <v>42199</v>
          </cell>
          <cell r="DM308">
            <v>42249</v>
          </cell>
          <cell r="DN308">
            <v>42199</v>
          </cell>
          <cell r="DO308">
            <v>0</v>
          </cell>
          <cell r="DP308">
            <v>42248</v>
          </cell>
          <cell r="DQ308">
            <v>42179</v>
          </cell>
          <cell r="DT308">
            <v>0</v>
          </cell>
          <cell r="DU308">
            <v>42263</v>
          </cell>
          <cell r="DW308">
            <v>0</v>
          </cell>
          <cell r="DY308">
            <v>42249</v>
          </cell>
          <cell r="DZ308">
            <v>42199</v>
          </cell>
          <cell r="EA308" t="str">
            <v>Camusat</v>
          </cell>
          <cell r="EE308" t="str">
            <v xml:space="preserve">10 Aug 15:Rain affected_Progress affected; 2-Aug-15: CW started and excavation IP								</v>
          </cell>
          <cell r="EJ308">
            <v>30</v>
          </cell>
          <cell r="EK308">
            <v>42264</v>
          </cell>
          <cell r="EL308">
            <v>42229</v>
          </cell>
          <cell r="EM308">
            <v>42265</v>
          </cell>
          <cell r="EN308">
            <v>42233</v>
          </cell>
          <cell r="EQ308">
            <v>42272</v>
          </cell>
          <cell r="ER308">
            <v>42237</v>
          </cell>
          <cell r="ES308">
            <v>42240</v>
          </cell>
          <cell r="ET308">
            <v>42242</v>
          </cell>
          <cell r="EU308">
            <v>42242</v>
          </cell>
          <cell r="EW308">
            <v>34</v>
          </cell>
          <cell r="EX308">
            <v>42250</v>
          </cell>
          <cell r="EZ308">
            <v>42282</v>
          </cell>
          <cell r="FA308">
            <v>42244</v>
          </cell>
          <cell r="FB308">
            <v>42284</v>
          </cell>
          <cell r="FC308">
            <v>42246</v>
          </cell>
          <cell r="FU308">
            <v>42286</v>
          </cell>
          <cell r="FW308">
            <v>42286</v>
          </cell>
          <cell r="FX308">
            <v>42246</v>
          </cell>
          <cell r="FY308" t="str">
            <v>AZM</v>
          </cell>
          <cell r="FZ308">
            <v>42245</v>
          </cell>
          <cell r="GA308">
            <v>42250</v>
          </cell>
          <cell r="GF308">
            <v>42090</v>
          </cell>
          <cell r="GI308">
            <v>42307</v>
          </cell>
          <cell r="GJ308" t="str">
            <v>44-2015</v>
          </cell>
          <cell r="GN308" t="str">
            <v>ERICSSON</v>
          </cell>
          <cell r="HD308">
            <v>1</v>
          </cell>
        </row>
        <row r="309">
          <cell r="A309" t="str">
            <v>MG0296</v>
          </cell>
          <cell r="B309" t="str">
            <v>ANMG_0101</v>
          </cell>
          <cell r="C309" t="str">
            <v>Apollo</v>
          </cell>
          <cell r="D309" t="str">
            <v>Adriaan Coetsee</v>
          </cell>
          <cell r="F309" t="str">
            <v>Mya Kyauk</v>
          </cell>
          <cell r="G309" t="str">
            <v>Si Thu Moe</v>
          </cell>
          <cell r="H309" t="str">
            <v>RED</v>
          </cell>
          <cell r="I309" t="str">
            <v>North</v>
          </cell>
          <cell r="J309" t="str">
            <v>94.778</v>
          </cell>
          <cell r="K309" t="str">
            <v>20.8998</v>
          </cell>
          <cell r="L309" t="str">
            <v>SubUrban</v>
          </cell>
          <cell r="M309" t="str">
            <v>Magway</v>
          </cell>
          <cell r="N309" t="str">
            <v>Seikphyu</v>
          </cell>
          <cell r="O309" t="str">
            <v>Seikphyu</v>
          </cell>
          <cell r="P309" t="str">
            <v>Magway</v>
          </cell>
          <cell r="Q309" t="str">
            <v>7</v>
          </cell>
          <cell r="R309" t="str">
            <v>Seikphyu</v>
          </cell>
          <cell r="S309" t="str">
            <v>138</v>
          </cell>
          <cell r="T309" t="str">
            <v>GSM+UMTS</v>
          </cell>
          <cell r="W309" t="str">
            <v>Ph2-Priority</v>
          </cell>
          <cell r="X309" t="str">
            <v>35</v>
          </cell>
          <cell r="Y309" t="str">
            <v>37</v>
          </cell>
          <cell r="Z309" t="str">
            <v>GBT</v>
          </cell>
          <cell r="AA309" t="str">
            <v>250</v>
          </cell>
          <cell r="AB309" t="str">
            <v>Access</v>
          </cell>
          <cell r="AC309" t="str">
            <v>Class B</v>
          </cell>
          <cell r="BE309" t="str">
            <v>Kyauktaw-Kyaukpadaung</v>
          </cell>
          <cell r="BH309" t="str">
            <v>Camusat</v>
          </cell>
          <cell r="BJ309">
            <v>42153</v>
          </cell>
          <cell r="BK309">
            <v>42130</v>
          </cell>
          <cell r="BL309">
            <v>42158</v>
          </cell>
          <cell r="BM309">
            <v>42178</v>
          </cell>
          <cell r="BT309">
            <v>97</v>
          </cell>
          <cell r="BU309">
            <v>42212</v>
          </cell>
          <cell r="BV309">
            <v>42227</v>
          </cell>
          <cell r="BW309" t="str">
            <v>94.776012</v>
          </cell>
          <cell r="BX309" t="str">
            <v>20.897545</v>
          </cell>
          <cell r="BY309" t="str">
            <v>C2</v>
          </cell>
          <cell r="BZ309" t="str">
            <v>Yay Lel Kyun Village, Seik Phyu Township, Magway Division.</v>
          </cell>
          <cell r="CA309" t="str">
            <v>U Kyaw Htun Hsaung</v>
          </cell>
          <cell r="CB309" t="str">
            <v>11 Aug 15 : C2 SAR sub(C1-NOC issue);17 Jun 15 : C1 TSSR app;15 Jun 15 : C1 TSSR sub;9 Jun 15 : C1 SAR app;5June15: C1 SAR Sub</v>
          </cell>
          <cell r="CC309" t="str">
            <v>Farmland</v>
          </cell>
          <cell r="CE309">
            <v>1</v>
          </cell>
          <cell r="CF309">
            <v>42213</v>
          </cell>
          <cell r="CG309">
            <v>42228</v>
          </cell>
          <cell r="CH309">
            <v>42215</v>
          </cell>
          <cell r="CJ309">
            <v>42232</v>
          </cell>
          <cell r="CK309" t="str">
            <v>35</v>
          </cell>
          <cell r="CL309" t="str">
            <v>37</v>
          </cell>
          <cell r="CM309" t="str">
            <v>45</v>
          </cell>
          <cell r="CN309">
            <v>5</v>
          </cell>
          <cell r="CO309">
            <v>42218</v>
          </cell>
          <cell r="CP309">
            <v>42234</v>
          </cell>
          <cell r="CQ309" t="str">
            <v>M4: solar + DG + battery</v>
          </cell>
          <cell r="CR309">
            <v>0</v>
          </cell>
          <cell r="CS309">
            <v>42219</v>
          </cell>
          <cell r="CT309">
            <v>42237</v>
          </cell>
          <cell r="CU309" t="str">
            <v>MG0296</v>
          </cell>
          <cell r="DH309">
            <v>0</v>
          </cell>
          <cell r="DI309">
            <v>42229</v>
          </cell>
          <cell r="DJ309">
            <v>42202</v>
          </cell>
          <cell r="DK309">
            <v>42226</v>
          </cell>
          <cell r="DL309">
            <v>42175</v>
          </cell>
          <cell r="DM309">
            <v>42230</v>
          </cell>
          <cell r="DO309">
            <v>0</v>
          </cell>
          <cell r="DP309">
            <v>42229</v>
          </cell>
          <cell r="DQ309">
            <v>42201</v>
          </cell>
          <cell r="DT309">
            <v>0</v>
          </cell>
          <cell r="DU309">
            <v>42244</v>
          </cell>
          <cell r="DW309">
            <v>0</v>
          </cell>
          <cell r="DY309">
            <v>42230</v>
          </cell>
          <cell r="DZ309">
            <v>42202</v>
          </cell>
          <cell r="EA309" t="str">
            <v>EDYCOM</v>
          </cell>
          <cell r="ED309" t="str">
            <v xml:space="preserve">17Aug15 :SiThu.Moe: 4/8/15:Excavation is done. Nobody at site.
</v>
          </cell>
          <cell r="EJ309">
            <v>0</v>
          </cell>
          <cell r="EK309">
            <v>42247</v>
          </cell>
          <cell r="EM309">
            <v>42248</v>
          </cell>
          <cell r="EQ309">
            <v>42257</v>
          </cell>
          <cell r="EW309">
            <v>0</v>
          </cell>
          <cell r="EX309">
            <v>42215</v>
          </cell>
          <cell r="EZ309">
            <v>42267</v>
          </cell>
          <cell r="FB309">
            <v>42269</v>
          </cell>
          <cell r="FU309">
            <v>42271</v>
          </cell>
          <cell r="FW309">
            <v>42271</v>
          </cell>
          <cell r="GI309">
            <v>42307</v>
          </cell>
          <cell r="GJ309" t="str">
            <v>44-2015</v>
          </cell>
          <cell r="GN309" t="str">
            <v>ERICSSON</v>
          </cell>
          <cell r="HD309">
            <v>1</v>
          </cell>
        </row>
        <row r="310">
          <cell r="A310" t="str">
            <v>MG0297</v>
          </cell>
          <cell r="B310" t="str">
            <v>ANMG_0127</v>
          </cell>
          <cell r="C310" t="str">
            <v>Apollo</v>
          </cell>
          <cell r="D310" t="str">
            <v>Adriaan Coetsee</v>
          </cell>
          <cell r="F310" t="str">
            <v>Mya Kyauk</v>
          </cell>
          <cell r="G310" t="str">
            <v>Si Thu Moe</v>
          </cell>
          <cell r="H310" t="str">
            <v>YELLOW</v>
          </cell>
          <cell r="I310" t="str">
            <v>North</v>
          </cell>
          <cell r="J310" t="str">
            <v>94.79602</v>
          </cell>
          <cell r="K310" t="str">
            <v>20.90979</v>
          </cell>
          <cell r="L310" t="str">
            <v>SubUrban</v>
          </cell>
          <cell r="M310" t="str">
            <v>Magway</v>
          </cell>
          <cell r="N310" t="str">
            <v>Seikphyu</v>
          </cell>
          <cell r="O310" t="str">
            <v>Seikphyu</v>
          </cell>
          <cell r="P310" t="str">
            <v>Magway</v>
          </cell>
          <cell r="Q310" t="str">
            <v>7</v>
          </cell>
          <cell r="R310" t="str">
            <v>Seikphyu</v>
          </cell>
          <cell r="S310" t="str">
            <v>138</v>
          </cell>
          <cell r="T310" t="str">
            <v>GSM+UMTS</v>
          </cell>
          <cell r="W310" t="str">
            <v>Ph2-Priority</v>
          </cell>
          <cell r="X310" t="str">
            <v>35</v>
          </cell>
          <cell r="Y310" t="str">
            <v>37</v>
          </cell>
          <cell r="Z310" t="str">
            <v>GBT</v>
          </cell>
          <cell r="AA310" t="str">
            <v>250</v>
          </cell>
          <cell r="AB310" t="str">
            <v>Access</v>
          </cell>
          <cell r="AC310" t="str">
            <v>Class B</v>
          </cell>
          <cell r="BE310" t="str">
            <v>Kyauktaw-Kyaukpadaung</v>
          </cell>
          <cell r="BH310" t="str">
            <v>Camusat</v>
          </cell>
          <cell r="BJ310">
            <v>42151</v>
          </cell>
          <cell r="BK310">
            <v>42130</v>
          </cell>
          <cell r="BL310">
            <v>42156</v>
          </cell>
          <cell r="BM310">
            <v>42150</v>
          </cell>
          <cell r="BT310">
            <v>30</v>
          </cell>
          <cell r="BU310">
            <v>42212</v>
          </cell>
          <cell r="BV310">
            <v>42160</v>
          </cell>
          <cell r="BW310" t="str">
            <v>94.79579</v>
          </cell>
          <cell r="BX310" t="str">
            <v>20.91126</v>
          </cell>
          <cell r="BY310" t="str">
            <v>C1</v>
          </cell>
          <cell r="BZ310" t="str">
            <v>Yaw Wa Quarter, Seik Phyu Town, Seik Phyu Township, Magway Division.</v>
          </cell>
          <cell r="CA310" t="str">
            <v>U Maung Nyo;Yaw Wa Quarter, Seik Phyu Town, Seik Phyu Township, Magway Division;09-256080342</v>
          </cell>
          <cell r="CB310" t="str">
            <v>24 June 15 :C01-TSSR_REV1 submission(Correction of antenna height); delete earlier TSSR submission date(21 June 15); 5June15: C1 SAR Sub</v>
          </cell>
          <cell r="CC310" t="str">
            <v>Town</v>
          </cell>
          <cell r="CE310">
            <v>4</v>
          </cell>
          <cell r="CF310">
            <v>42213</v>
          </cell>
          <cell r="CG310">
            <v>42164</v>
          </cell>
          <cell r="CH310">
            <v>42215</v>
          </cell>
          <cell r="CJ310">
            <v>42174</v>
          </cell>
          <cell r="CK310" t="str">
            <v>34</v>
          </cell>
          <cell r="CL310" t="str">
            <v>37</v>
          </cell>
          <cell r="CM310" t="str">
            <v>35</v>
          </cell>
          <cell r="CN310">
            <v>15</v>
          </cell>
          <cell r="CO310">
            <v>42218</v>
          </cell>
          <cell r="CP310">
            <v>42179</v>
          </cell>
          <cell r="CQ310" t="str">
            <v>M1: grid power + battery</v>
          </cell>
          <cell r="CR310">
            <v>1</v>
          </cell>
          <cell r="CS310">
            <v>42219</v>
          </cell>
          <cell r="CT310">
            <v>42180</v>
          </cell>
          <cell r="CU310" t="str">
            <v>MG0297</v>
          </cell>
          <cell r="DH310">
            <v>14</v>
          </cell>
          <cell r="DI310">
            <v>42229</v>
          </cell>
          <cell r="DJ310">
            <v>42194</v>
          </cell>
          <cell r="DK310">
            <v>42226</v>
          </cell>
          <cell r="DL310">
            <v>42178</v>
          </cell>
          <cell r="DM310">
            <v>42230</v>
          </cell>
          <cell r="DN310">
            <v>42178</v>
          </cell>
          <cell r="DO310">
            <v>0</v>
          </cell>
          <cell r="DP310">
            <v>42229</v>
          </cell>
          <cell r="DQ310">
            <v>42194</v>
          </cell>
          <cell r="DT310">
            <v>39</v>
          </cell>
          <cell r="DU310">
            <v>42244</v>
          </cell>
          <cell r="DW310">
            <v>0</v>
          </cell>
          <cell r="DY310">
            <v>42230</v>
          </cell>
          <cell r="DZ310">
            <v>42178</v>
          </cell>
          <cell r="EA310" t="str">
            <v>Camusat</v>
          </cell>
          <cell r="ED310" t="str">
            <v xml:space="preserve">17Aug15 :SiThu.Moe: 4/8/15:Tower foundation is ongoing.Tower materials are at site.
</v>
          </cell>
          <cell r="EE310" t="str">
            <v xml:space="preserve">10 Aug 15:Rain affected_Progress affected; 3-Aug-15: Foundation casted. Equipment slab to proceed. 2. Rain affected_ Site is progressing but rain is affecting the work every day.								</v>
          </cell>
          <cell r="EJ310">
            <v>49</v>
          </cell>
          <cell r="EK310">
            <v>42247</v>
          </cell>
          <cell r="EL310">
            <v>42227</v>
          </cell>
          <cell r="EM310">
            <v>42248</v>
          </cell>
          <cell r="EN310">
            <v>42206</v>
          </cell>
          <cell r="EQ310">
            <v>42257</v>
          </cell>
          <cell r="ER310">
            <v>42234</v>
          </cell>
          <cell r="ES310">
            <v>42227</v>
          </cell>
          <cell r="ET310">
            <v>42234</v>
          </cell>
          <cell r="EU310">
            <v>42234</v>
          </cell>
          <cell r="EW310">
            <v>55</v>
          </cell>
          <cell r="EX310">
            <v>42215</v>
          </cell>
          <cell r="EZ310">
            <v>42267</v>
          </cell>
          <cell r="FA310">
            <v>42233</v>
          </cell>
          <cell r="FB310">
            <v>42269</v>
          </cell>
          <cell r="FC310">
            <v>42234</v>
          </cell>
          <cell r="FU310">
            <v>42271</v>
          </cell>
          <cell r="FW310">
            <v>42271</v>
          </cell>
          <cell r="FX310">
            <v>42234</v>
          </cell>
          <cell r="FY310" t="str">
            <v>UT</v>
          </cell>
          <cell r="FZ310">
            <v>42230</v>
          </cell>
          <cell r="GA310">
            <v>42236</v>
          </cell>
          <cell r="GB310">
            <v>42243</v>
          </cell>
          <cell r="GC310">
            <v>42243</v>
          </cell>
          <cell r="GD310">
            <v>42243</v>
          </cell>
          <cell r="GE310">
            <v>42244</v>
          </cell>
          <cell r="GF310">
            <v>42244</v>
          </cell>
          <cell r="GG310">
            <v>42244</v>
          </cell>
          <cell r="GH310">
            <v>42244</v>
          </cell>
          <cell r="GI310">
            <v>42277</v>
          </cell>
          <cell r="GJ310" t="str">
            <v>40-2015</v>
          </cell>
          <cell r="GK310">
            <v>42244</v>
          </cell>
          <cell r="GN310" t="str">
            <v>ERICSSON</v>
          </cell>
          <cell r="HD310">
            <v>1</v>
          </cell>
        </row>
        <row r="311">
          <cell r="A311" t="str">
            <v>MG0308</v>
          </cell>
          <cell r="B311" t="str">
            <v>ANMG_0128</v>
          </cell>
          <cell r="C311" t="str">
            <v>Apollo</v>
          </cell>
          <cell r="D311" t="str">
            <v>Adriaan Coetsee</v>
          </cell>
          <cell r="F311" t="str">
            <v>Mya Kyauk</v>
          </cell>
          <cell r="G311" t="str">
            <v>Si Thu Moe</v>
          </cell>
          <cell r="H311" t="str">
            <v>AMBER</v>
          </cell>
          <cell r="I311" t="str">
            <v>North</v>
          </cell>
          <cell r="J311" t="str">
            <v>94.84846</v>
          </cell>
          <cell r="K311" t="str">
            <v>21.618141</v>
          </cell>
          <cell r="L311" t="str">
            <v>SubUrban</v>
          </cell>
          <cell r="M311" t="str">
            <v>Magway</v>
          </cell>
          <cell r="N311" t="str">
            <v>Myaing</v>
          </cell>
          <cell r="O311" t="str">
            <v>Myaing</v>
          </cell>
          <cell r="P311" t="str">
            <v>Magway</v>
          </cell>
          <cell r="Q311" t="str">
            <v>7</v>
          </cell>
          <cell r="R311" t="str">
            <v>Myaing</v>
          </cell>
          <cell r="S311" t="str">
            <v>136</v>
          </cell>
          <cell r="T311" t="str">
            <v>GSM+UMTS</v>
          </cell>
          <cell r="W311" t="str">
            <v>Ph2-Priority</v>
          </cell>
          <cell r="X311" t="str">
            <v>35</v>
          </cell>
          <cell r="Y311" t="str">
            <v>37</v>
          </cell>
          <cell r="Z311" t="str">
            <v>GBT</v>
          </cell>
          <cell r="AA311" t="str">
            <v>100</v>
          </cell>
          <cell r="AB311" t="str">
            <v>Access</v>
          </cell>
          <cell r="AC311" t="str">
            <v>Class B</v>
          </cell>
          <cell r="BE311" t="str">
            <v>Route 8 Mandalay - Magwe</v>
          </cell>
          <cell r="BH311" t="str">
            <v>Camusat</v>
          </cell>
          <cell r="BJ311">
            <v>42166</v>
          </cell>
          <cell r="BK311">
            <v>42174</v>
          </cell>
          <cell r="BL311">
            <v>42171</v>
          </cell>
          <cell r="BM311">
            <v>42174</v>
          </cell>
          <cell r="BT311">
            <v>4</v>
          </cell>
          <cell r="BU311">
            <v>42231</v>
          </cell>
          <cell r="BV311">
            <v>42178</v>
          </cell>
          <cell r="BW311" t="str">
            <v>94.8493</v>
          </cell>
          <cell r="BX311" t="str">
            <v>21.61554</v>
          </cell>
          <cell r="BY311" t="str">
            <v>C1</v>
          </cell>
          <cell r="BZ311" t="str">
            <v>No (1) Ward, Myaing Town,PAKOKKU DISTRICT,MAGWAY DIVISION.</v>
          </cell>
          <cell r="CA311" t="str">
            <v>U Aung Naing Oo;9401660497</v>
          </cell>
          <cell r="CB311" t="str">
            <v>11 Aug 15 : C6 SAR sub</v>
          </cell>
          <cell r="CC311" t="str">
            <v>GARDEN LAND</v>
          </cell>
          <cell r="CE311">
            <v>1</v>
          </cell>
          <cell r="CF311">
            <v>42232</v>
          </cell>
          <cell r="CG311">
            <v>42179</v>
          </cell>
          <cell r="CH311">
            <v>42234</v>
          </cell>
          <cell r="CJ311">
            <v>42190</v>
          </cell>
          <cell r="CK311" t="str">
            <v>35</v>
          </cell>
          <cell r="CL311" t="str">
            <v>37</v>
          </cell>
          <cell r="CM311" t="str">
            <v>40</v>
          </cell>
          <cell r="CN311">
            <v>13</v>
          </cell>
          <cell r="CO311">
            <v>42237</v>
          </cell>
          <cell r="CP311">
            <v>42192</v>
          </cell>
          <cell r="CQ311" t="str">
            <v>M1: grid power + battery</v>
          </cell>
          <cell r="CR311">
            <v>1</v>
          </cell>
          <cell r="CS311">
            <v>42238</v>
          </cell>
          <cell r="CT311">
            <v>42193</v>
          </cell>
          <cell r="CU311" t="str">
            <v>MG0308</v>
          </cell>
          <cell r="DH311">
            <v>24</v>
          </cell>
          <cell r="DI311">
            <v>42248</v>
          </cell>
          <cell r="DJ311">
            <v>42217</v>
          </cell>
          <cell r="DK311">
            <v>42245</v>
          </cell>
          <cell r="DL311">
            <v>42198</v>
          </cell>
          <cell r="DM311">
            <v>42249</v>
          </cell>
          <cell r="DN311">
            <v>42198</v>
          </cell>
          <cell r="DO311">
            <v>0</v>
          </cell>
          <cell r="DP311">
            <v>42248</v>
          </cell>
          <cell r="DQ311">
            <v>42217</v>
          </cell>
          <cell r="DT311">
            <v>16</v>
          </cell>
          <cell r="DU311">
            <v>42263</v>
          </cell>
          <cell r="DW311">
            <v>0</v>
          </cell>
          <cell r="DY311">
            <v>42249</v>
          </cell>
          <cell r="DZ311">
            <v>42213</v>
          </cell>
          <cell r="EA311" t="str">
            <v>Camusat</v>
          </cell>
          <cell r="EE311" t="str">
            <v xml:space="preserve">10 Aug 15:Rain affected_Progress affected; 3-Aug-15: Rain affected_ Site is progressing but rain is affecting the work every day. Excavation to start								</v>
          </cell>
          <cell r="EJ311">
            <v>20</v>
          </cell>
          <cell r="EK311">
            <v>42264</v>
          </cell>
          <cell r="EL311">
            <v>42238</v>
          </cell>
          <cell r="EM311">
            <v>42265</v>
          </cell>
          <cell r="EN311">
            <v>42237</v>
          </cell>
          <cell r="EQ311">
            <v>42272</v>
          </cell>
          <cell r="ER311">
            <v>42247</v>
          </cell>
          <cell r="ES311">
            <v>42245</v>
          </cell>
          <cell r="ET311">
            <v>42247</v>
          </cell>
          <cell r="EU311">
            <v>42247</v>
          </cell>
          <cell r="EW311">
            <v>20</v>
          </cell>
          <cell r="EX311">
            <v>42249</v>
          </cell>
          <cell r="EZ311">
            <v>42282</v>
          </cell>
          <cell r="FB311">
            <v>42284</v>
          </cell>
          <cell r="FU311">
            <v>42286</v>
          </cell>
          <cell r="FW311">
            <v>42286</v>
          </cell>
          <cell r="FY311" t="str">
            <v>AZM</v>
          </cell>
          <cell r="FZ311">
            <v>42249</v>
          </cell>
          <cell r="GF311">
            <v>42214</v>
          </cell>
          <cell r="GI311">
            <v>42307</v>
          </cell>
          <cell r="GJ311" t="str">
            <v>44-2015</v>
          </cell>
          <cell r="GN311" t="str">
            <v>ERICSSON</v>
          </cell>
          <cell r="GU311" t="str">
            <v xml:space="preserve">		</v>
          </cell>
          <cell r="HD311">
            <v>1</v>
          </cell>
        </row>
        <row r="312">
          <cell r="A312" t="str">
            <v>MG0309</v>
          </cell>
          <cell r="B312" t="str">
            <v>ANMG_0129</v>
          </cell>
          <cell r="C312" t="str">
            <v>Apollo</v>
          </cell>
          <cell r="D312" t="str">
            <v>Adriaan Coetsee</v>
          </cell>
          <cell r="F312" t="str">
            <v>Mya Kyauk</v>
          </cell>
          <cell r="G312" t="str">
            <v>Si Thu Moe</v>
          </cell>
          <cell r="H312" t="str">
            <v>WHITE</v>
          </cell>
          <cell r="I312" t="str">
            <v>North</v>
          </cell>
          <cell r="J312" t="str">
            <v>94.8629</v>
          </cell>
          <cell r="K312" t="str">
            <v>21.6056</v>
          </cell>
          <cell r="L312" t="str">
            <v>SubUrban</v>
          </cell>
          <cell r="M312" t="str">
            <v>Magway</v>
          </cell>
          <cell r="N312" t="str">
            <v>Myaing</v>
          </cell>
          <cell r="O312" t="str">
            <v>Myaing</v>
          </cell>
          <cell r="P312" t="str">
            <v>Magway</v>
          </cell>
          <cell r="Q312" t="str">
            <v>7</v>
          </cell>
          <cell r="R312" t="str">
            <v>Myaing</v>
          </cell>
          <cell r="S312" t="str">
            <v>136</v>
          </cell>
          <cell r="T312" t="str">
            <v>GSM+UMTS</v>
          </cell>
          <cell r="W312" t="str">
            <v>Ph2-Priority</v>
          </cell>
          <cell r="X312" t="str">
            <v>35</v>
          </cell>
          <cell r="Y312" t="str">
            <v>37</v>
          </cell>
          <cell r="Z312" t="str">
            <v>GBT</v>
          </cell>
          <cell r="AA312" t="str">
            <v>250</v>
          </cell>
          <cell r="AB312" t="str">
            <v>Access</v>
          </cell>
          <cell r="AC312" t="str">
            <v>Class B</v>
          </cell>
          <cell r="BE312" t="str">
            <v>Route 8 Mandalay - Magwe</v>
          </cell>
          <cell r="BH312" t="str">
            <v>IENG</v>
          </cell>
          <cell r="BJ312">
            <v>42129</v>
          </cell>
          <cell r="BK312">
            <v>42121</v>
          </cell>
          <cell r="BL312">
            <v>42134</v>
          </cell>
          <cell r="BM312">
            <v>42124</v>
          </cell>
          <cell r="BT312">
            <v>13</v>
          </cell>
          <cell r="BU312">
            <v>42134</v>
          </cell>
          <cell r="BV312">
            <v>42134</v>
          </cell>
          <cell r="BW312" t="str">
            <v>94.86216</v>
          </cell>
          <cell r="BX312" t="str">
            <v>21.60579</v>
          </cell>
          <cell r="BY312" t="str">
            <v>C1</v>
          </cell>
          <cell r="BZ312" t="str">
            <v>No,430-D,404,B Pakakku to MMyaing Street no 3 Quarter.Myaing Township Magway.</v>
          </cell>
          <cell r="CA312" t="str">
            <v>Daw Khin Win Yee;No.430-D,404-B,Pakokku to Myaing Street,No.3 Quarter,Myaing Township,Magway;O62-40429,09252114767</v>
          </cell>
          <cell r="CB312" t="str">
            <v>10May15: C1 SAR Sub.</v>
          </cell>
          <cell r="CC312" t="str">
            <v>Residential land</v>
          </cell>
          <cell r="CE312">
            <v>2</v>
          </cell>
          <cell r="CF312">
            <v>42135</v>
          </cell>
          <cell r="CG312">
            <v>42136</v>
          </cell>
          <cell r="CH312">
            <v>42163</v>
          </cell>
          <cell r="CJ312">
            <v>42153</v>
          </cell>
          <cell r="CK312" t="str">
            <v>35</v>
          </cell>
          <cell r="CL312" t="str">
            <v>37</v>
          </cell>
          <cell r="CM312" t="str">
            <v>45</v>
          </cell>
          <cell r="CN312">
            <v>20</v>
          </cell>
          <cell r="CO312">
            <v>42166</v>
          </cell>
          <cell r="CP312">
            <v>42156</v>
          </cell>
          <cell r="CQ312" t="str">
            <v>M1: grid power + battery</v>
          </cell>
          <cell r="CR312">
            <v>0</v>
          </cell>
          <cell r="CS312">
            <v>42167</v>
          </cell>
          <cell r="CT312">
            <v>42156</v>
          </cell>
          <cell r="CU312" t="str">
            <v>MG0309</v>
          </cell>
          <cell r="DH312">
            <v>46</v>
          </cell>
          <cell r="DI312">
            <v>42177</v>
          </cell>
          <cell r="DJ312">
            <v>42202</v>
          </cell>
          <cell r="DK312">
            <v>42174</v>
          </cell>
          <cell r="DL312">
            <v>42159</v>
          </cell>
          <cell r="DM312">
            <v>42178</v>
          </cell>
          <cell r="DN312">
            <v>42171</v>
          </cell>
          <cell r="DO312">
            <v>-1</v>
          </cell>
          <cell r="DP312">
            <v>42177</v>
          </cell>
          <cell r="DQ312">
            <v>42201</v>
          </cell>
          <cell r="DT312">
            <v>32</v>
          </cell>
          <cell r="DU312">
            <v>42192</v>
          </cell>
          <cell r="DW312">
            <v>0</v>
          </cell>
          <cell r="DY312">
            <v>42178</v>
          </cell>
          <cell r="DZ312">
            <v>42168</v>
          </cell>
          <cell r="EA312" t="str">
            <v>EDYCOM</v>
          </cell>
          <cell r="ED312" t="str">
            <v xml:space="preserve">06Jul15 :SiThu.Moe: Tower foundation is done.Equipment part is ongoing.
</v>
          </cell>
          <cell r="EI312" t="str">
            <v>M5: grid power + DG + battery      </v>
          </cell>
          <cell r="EJ312">
            <v>17</v>
          </cell>
          <cell r="EK312">
            <v>42195</v>
          </cell>
          <cell r="EL312">
            <v>42185</v>
          </cell>
          <cell r="EM312">
            <v>42196</v>
          </cell>
          <cell r="EN312">
            <v>42187</v>
          </cell>
          <cell r="EQ312">
            <v>42205</v>
          </cell>
          <cell r="ER312">
            <v>42198</v>
          </cell>
          <cell r="ES312">
            <v>42197</v>
          </cell>
          <cell r="ET312">
            <v>42198</v>
          </cell>
          <cell r="EU312">
            <v>42198</v>
          </cell>
          <cell r="EW312">
            <v>65</v>
          </cell>
          <cell r="EX312">
            <v>42219</v>
          </cell>
          <cell r="EZ312">
            <v>42215</v>
          </cell>
          <cell r="FA312">
            <v>42201</v>
          </cell>
          <cell r="FB312">
            <v>42217</v>
          </cell>
          <cell r="FC312">
            <v>42202</v>
          </cell>
          <cell r="FU312">
            <v>42219</v>
          </cell>
          <cell r="FV312">
            <v>42210</v>
          </cell>
          <cell r="FW312">
            <v>42219</v>
          </cell>
          <cell r="FX312">
            <v>42202</v>
          </cell>
          <cell r="FY312" t="str">
            <v>UT</v>
          </cell>
          <cell r="FZ312">
            <v>42199</v>
          </cell>
          <cell r="GA312">
            <v>42203</v>
          </cell>
          <cell r="GB312">
            <v>42211</v>
          </cell>
          <cell r="GC312">
            <v>42211</v>
          </cell>
          <cell r="GD312">
            <v>42211</v>
          </cell>
          <cell r="GE312">
            <v>42212</v>
          </cell>
          <cell r="GF312">
            <v>42213</v>
          </cell>
          <cell r="GG312">
            <v>42213</v>
          </cell>
          <cell r="GH312">
            <v>42213</v>
          </cell>
          <cell r="GI312">
            <v>42213</v>
          </cell>
          <cell r="GJ312" t="str">
            <v>31-2015</v>
          </cell>
          <cell r="GK312">
            <v>42213</v>
          </cell>
          <cell r="GN312" t="str">
            <v>ERICSSON</v>
          </cell>
          <cell r="GU312" t="str">
            <v xml:space="preserve">		</v>
          </cell>
          <cell r="HD312">
            <v>1</v>
          </cell>
        </row>
        <row r="313">
          <cell r="A313" t="str">
            <v>MG0310</v>
          </cell>
          <cell r="B313" t="str">
            <v>ANMG_0130</v>
          </cell>
          <cell r="C313" t="str">
            <v>Apollo</v>
          </cell>
          <cell r="D313" t="str">
            <v>Adriaan Coetsee</v>
          </cell>
          <cell r="F313" t="str">
            <v>Mya Kyauk</v>
          </cell>
          <cell r="G313" t="str">
            <v>Si Thu Moe</v>
          </cell>
          <cell r="H313" t="str">
            <v>WHITE</v>
          </cell>
          <cell r="I313" t="str">
            <v>North</v>
          </cell>
          <cell r="J313" t="str">
            <v>94.861</v>
          </cell>
          <cell r="K313" t="str">
            <v>21.6135</v>
          </cell>
          <cell r="L313" t="str">
            <v>SubUrban</v>
          </cell>
          <cell r="M313" t="str">
            <v>Magway</v>
          </cell>
          <cell r="N313" t="str">
            <v>Myaing</v>
          </cell>
          <cell r="O313" t="str">
            <v>Myaing</v>
          </cell>
          <cell r="P313" t="str">
            <v>Magway</v>
          </cell>
          <cell r="Q313" t="str">
            <v>7</v>
          </cell>
          <cell r="R313" t="str">
            <v>Myaing</v>
          </cell>
          <cell r="S313" t="str">
            <v>136</v>
          </cell>
          <cell r="T313" t="str">
            <v>GSM+UMTS</v>
          </cell>
          <cell r="W313" t="str">
            <v>Ph2-Priority</v>
          </cell>
          <cell r="X313" t="str">
            <v>35</v>
          </cell>
          <cell r="Y313" t="str">
            <v>37</v>
          </cell>
          <cell r="Z313" t="str">
            <v>GBT</v>
          </cell>
          <cell r="AA313" t="str">
            <v>100</v>
          </cell>
          <cell r="AB313" t="str">
            <v>Access</v>
          </cell>
          <cell r="AC313" t="str">
            <v>Class B</v>
          </cell>
          <cell r="BE313" t="str">
            <v>Route 8 Mandalay - Magwe</v>
          </cell>
          <cell r="BH313" t="str">
            <v>IENG</v>
          </cell>
          <cell r="BJ313">
            <v>42124</v>
          </cell>
          <cell r="BK313">
            <v>42121</v>
          </cell>
          <cell r="BL313">
            <v>42129</v>
          </cell>
          <cell r="BM313">
            <v>42121</v>
          </cell>
          <cell r="BT313">
            <v>10</v>
          </cell>
          <cell r="BU313">
            <v>42134</v>
          </cell>
          <cell r="BV313">
            <v>42131</v>
          </cell>
          <cell r="BW313" t="str">
            <v>94.86289</v>
          </cell>
          <cell r="BX313" t="str">
            <v>21.61318</v>
          </cell>
          <cell r="BY313" t="str">
            <v>C1</v>
          </cell>
          <cell r="BZ313" t="str">
            <v>No 11,Myoe Pat Street ,Myaing Township Magway Myanmar.</v>
          </cell>
          <cell r="CA313" t="str">
            <v>U ZAW MIN;No.11,Myoe Pat Street,No .2 Quarter,Myaing Township,Magway;O9401619109</v>
          </cell>
          <cell r="CB313" t="str">
            <v>7May15: C1 SAR Sub</v>
          </cell>
          <cell r="CE313">
            <v>5</v>
          </cell>
          <cell r="CF313">
            <v>42135</v>
          </cell>
          <cell r="CG313">
            <v>42136</v>
          </cell>
          <cell r="CH313">
            <v>42163</v>
          </cell>
          <cell r="CJ313">
            <v>42153</v>
          </cell>
          <cell r="CK313" t="str">
            <v>35</v>
          </cell>
          <cell r="CL313" t="str">
            <v>37</v>
          </cell>
          <cell r="CM313" t="str">
            <v>45</v>
          </cell>
          <cell r="CN313">
            <v>20</v>
          </cell>
          <cell r="CO313">
            <v>42166</v>
          </cell>
          <cell r="CP313">
            <v>42156</v>
          </cell>
          <cell r="CQ313" t="str">
            <v>M1: grid power + battery</v>
          </cell>
          <cell r="CR313">
            <v>1</v>
          </cell>
          <cell r="CS313">
            <v>42167</v>
          </cell>
          <cell r="CT313">
            <v>42157</v>
          </cell>
          <cell r="CU313" t="str">
            <v>MG0310</v>
          </cell>
          <cell r="DH313">
            <v>45</v>
          </cell>
          <cell r="DI313">
            <v>42177</v>
          </cell>
          <cell r="DJ313">
            <v>42202</v>
          </cell>
          <cell r="DK313">
            <v>42174</v>
          </cell>
          <cell r="DL313">
            <v>42159</v>
          </cell>
          <cell r="DM313">
            <v>42178</v>
          </cell>
          <cell r="DN313">
            <v>42171</v>
          </cell>
          <cell r="DO313">
            <v>-1</v>
          </cell>
          <cell r="DP313">
            <v>42177</v>
          </cell>
          <cell r="DQ313">
            <v>42201</v>
          </cell>
          <cell r="DT313">
            <v>32</v>
          </cell>
          <cell r="DU313">
            <v>42192</v>
          </cell>
          <cell r="DW313">
            <v>0</v>
          </cell>
          <cell r="DY313">
            <v>42178</v>
          </cell>
          <cell r="DZ313">
            <v>42168</v>
          </cell>
          <cell r="EA313" t="str">
            <v>EDYCOM</v>
          </cell>
          <cell r="ED313" t="str">
            <v xml:space="preserve">06Jul15 :SiThu.Moe: 40% of the total height have been erected.Equipment slab is not stare yet.
</v>
          </cell>
          <cell r="EI313" t="str">
            <v>M5: grid power + DG + battery      </v>
          </cell>
          <cell r="EJ313">
            <v>17</v>
          </cell>
          <cell r="EK313">
            <v>42195</v>
          </cell>
          <cell r="EL313">
            <v>42185</v>
          </cell>
          <cell r="EM313">
            <v>42196</v>
          </cell>
          <cell r="EN313">
            <v>42187</v>
          </cell>
          <cell r="EQ313">
            <v>42205</v>
          </cell>
          <cell r="ER313">
            <v>42195</v>
          </cell>
          <cell r="ES313">
            <v>42198</v>
          </cell>
          <cell r="ET313">
            <v>42198</v>
          </cell>
          <cell r="EU313">
            <v>42198</v>
          </cell>
          <cell r="EW313">
            <v>65</v>
          </cell>
          <cell r="EX313">
            <v>42219</v>
          </cell>
          <cell r="EZ313">
            <v>42215</v>
          </cell>
          <cell r="FA313">
            <v>42201</v>
          </cell>
          <cell r="FB313">
            <v>42217</v>
          </cell>
          <cell r="FC313">
            <v>42202</v>
          </cell>
          <cell r="FU313">
            <v>42219</v>
          </cell>
          <cell r="FV313">
            <v>42210</v>
          </cell>
          <cell r="FW313">
            <v>42219</v>
          </cell>
          <cell r="FX313">
            <v>42202</v>
          </cell>
          <cell r="FY313" t="str">
            <v>EM</v>
          </cell>
          <cell r="FZ313">
            <v>42208</v>
          </cell>
          <cell r="GA313">
            <v>42212</v>
          </cell>
          <cell r="GB313">
            <v>42213</v>
          </cell>
          <cell r="GC313">
            <v>42213</v>
          </cell>
          <cell r="GD313">
            <v>42213</v>
          </cell>
          <cell r="GE313">
            <v>42214</v>
          </cell>
          <cell r="GF313">
            <v>42214</v>
          </cell>
          <cell r="GG313">
            <v>42214</v>
          </cell>
          <cell r="GH313">
            <v>42215</v>
          </cell>
          <cell r="GI313">
            <v>42215</v>
          </cell>
          <cell r="GJ313" t="str">
            <v>31-2015</v>
          </cell>
          <cell r="GK313">
            <v>42215</v>
          </cell>
          <cell r="GL313" t="str">
            <v>TRX Ready</v>
          </cell>
          <cell r="GN313" t="str">
            <v>ERICSSON</v>
          </cell>
          <cell r="GQ313">
            <v>0</v>
          </cell>
          <cell r="GU313" t="str">
            <v xml:space="preserve">		</v>
          </cell>
          <cell r="HD313">
            <v>1</v>
          </cell>
        </row>
        <row r="314">
          <cell r="A314" t="str">
            <v>MG0311</v>
          </cell>
          <cell r="B314" t="str">
            <v>ANMG_0102</v>
          </cell>
          <cell r="C314" t="str">
            <v>Apollo</v>
          </cell>
          <cell r="D314" t="str">
            <v>Adriaan Coetsee</v>
          </cell>
          <cell r="F314" t="str">
            <v>Mya Kyauk</v>
          </cell>
          <cell r="G314" t="str">
            <v>Si Thu Moe</v>
          </cell>
          <cell r="H314" t="str">
            <v>RED</v>
          </cell>
          <cell r="I314" t="str">
            <v>North</v>
          </cell>
          <cell r="J314" t="str">
            <v>95.2459</v>
          </cell>
          <cell r="K314" t="str">
            <v>21.635</v>
          </cell>
          <cell r="L314" t="str">
            <v>SubUrban</v>
          </cell>
          <cell r="M314" t="str">
            <v>Magway</v>
          </cell>
          <cell r="N314" t="str">
            <v>Yesagyo</v>
          </cell>
          <cell r="O314" t="str">
            <v>Yesagyo</v>
          </cell>
          <cell r="P314" t="str">
            <v>Magway</v>
          </cell>
          <cell r="Q314" t="str">
            <v>7</v>
          </cell>
          <cell r="R314" t="str">
            <v>Yesagyo</v>
          </cell>
          <cell r="S314" t="str">
            <v>135</v>
          </cell>
          <cell r="T314" t="str">
            <v>GSM+UMTS</v>
          </cell>
          <cell r="W314" t="str">
            <v>Ph2-Priority</v>
          </cell>
          <cell r="X314" t="str">
            <v>35</v>
          </cell>
          <cell r="Y314" t="str">
            <v>37</v>
          </cell>
          <cell r="Z314" t="str">
            <v>GBT</v>
          </cell>
          <cell r="AA314" t="str">
            <v>100</v>
          </cell>
          <cell r="AB314" t="str">
            <v>Access</v>
          </cell>
          <cell r="AC314" t="str">
            <v>Class B</v>
          </cell>
          <cell r="BE314" t="str">
            <v>Route 8 Mandalay - Magwe</v>
          </cell>
          <cell r="BH314" t="str">
            <v>Camusat</v>
          </cell>
          <cell r="BJ314">
            <v>42167</v>
          </cell>
          <cell r="BK314">
            <v>42130</v>
          </cell>
          <cell r="BL314">
            <v>42172</v>
          </cell>
          <cell r="BM314">
            <v>42146</v>
          </cell>
          <cell r="BT314">
            <v>26</v>
          </cell>
          <cell r="BU314">
            <v>42170</v>
          </cell>
          <cell r="BV314">
            <v>42156</v>
          </cell>
          <cell r="BW314" t="str">
            <v>95.246637</v>
          </cell>
          <cell r="BX314" t="str">
            <v>21.635446</v>
          </cell>
          <cell r="BY314" t="str">
            <v>C1</v>
          </cell>
          <cell r="BZ314" t="str">
            <v>No (5), Ywar Boe Quarter, Yesagyo Town Pakokku District.</v>
          </cell>
          <cell r="CA314" t="str">
            <v>U Pan Aung;No.(5), Ywar Boe Quarter, Yesagyo Town, Yesagyo Township, Magway Division;062-30737</v>
          </cell>
          <cell r="CB314" t="str">
            <v>1May15: C1 SAR Sub</v>
          </cell>
          <cell r="CC314" t="str">
            <v>Town</v>
          </cell>
          <cell r="CE314">
            <v>0</v>
          </cell>
          <cell r="CF314">
            <v>42171</v>
          </cell>
          <cell r="CG314">
            <v>42156</v>
          </cell>
          <cell r="CH314">
            <v>42173</v>
          </cell>
          <cell r="CJ314">
            <v>42165</v>
          </cell>
          <cell r="CK314" t="str">
            <v>35</v>
          </cell>
          <cell r="CL314" t="str">
            <v>37</v>
          </cell>
          <cell r="CM314" t="str">
            <v>60</v>
          </cell>
          <cell r="CN314">
            <v>11</v>
          </cell>
          <cell r="CO314">
            <v>42176</v>
          </cell>
          <cell r="CP314">
            <v>42167</v>
          </cell>
          <cell r="CQ314" t="str">
            <v>M1: grid power + battery</v>
          </cell>
          <cell r="CR314">
            <v>3</v>
          </cell>
          <cell r="CS314">
            <v>42177</v>
          </cell>
          <cell r="CT314">
            <v>42170</v>
          </cell>
          <cell r="CU314" t="str">
            <v>MG0311</v>
          </cell>
          <cell r="DH314">
            <v>32</v>
          </cell>
          <cell r="DI314">
            <v>42187</v>
          </cell>
          <cell r="DJ314">
            <v>42202</v>
          </cell>
          <cell r="DK314">
            <v>42184</v>
          </cell>
          <cell r="DL314">
            <v>42172</v>
          </cell>
          <cell r="DM314">
            <v>42188</v>
          </cell>
          <cell r="DO314">
            <v>-1</v>
          </cell>
          <cell r="DP314">
            <v>42187</v>
          </cell>
          <cell r="DQ314">
            <v>42201</v>
          </cell>
          <cell r="DT314">
            <v>32</v>
          </cell>
          <cell r="DU314">
            <v>42202</v>
          </cell>
          <cell r="DW314">
            <v>0</v>
          </cell>
          <cell r="DY314">
            <v>42188</v>
          </cell>
          <cell r="EA314" t="str">
            <v>EDYCOM</v>
          </cell>
          <cell r="EJ314">
            <v>0</v>
          </cell>
          <cell r="EK314">
            <v>42210</v>
          </cell>
          <cell r="EM314">
            <v>42211</v>
          </cell>
          <cell r="EQ314">
            <v>42223</v>
          </cell>
          <cell r="EW314">
            <v>0</v>
          </cell>
          <cell r="EX314">
            <v>42237</v>
          </cell>
          <cell r="EZ314">
            <v>42233</v>
          </cell>
          <cell r="FB314">
            <v>42235</v>
          </cell>
          <cell r="FU314">
            <v>42237</v>
          </cell>
          <cell r="FW314">
            <v>42237</v>
          </cell>
          <cell r="FY314" t="str">
            <v>EM</v>
          </cell>
          <cell r="GI314">
            <v>42088</v>
          </cell>
          <cell r="GJ314">
            <v>0</v>
          </cell>
          <cell r="GN314" t="str">
            <v>ERICSSON</v>
          </cell>
          <cell r="HD314">
            <v>1</v>
          </cell>
        </row>
        <row r="315">
          <cell r="A315" t="str">
            <v>MG0312</v>
          </cell>
          <cell r="B315" t="str">
            <v>ANMG_0103</v>
          </cell>
          <cell r="C315" t="str">
            <v>Apollo</v>
          </cell>
          <cell r="D315" t="str">
            <v>Adriaan Coetsee</v>
          </cell>
          <cell r="F315" t="str">
            <v>Mya Kyauk</v>
          </cell>
          <cell r="G315" t="str">
            <v>Si Thu Moe</v>
          </cell>
          <cell r="H315" t="str">
            <v>RED</v>
          </cell>
          <cell r="I315" t="str">
            <v>North</v>
          </cell>
          <cell r="J315" t="str">
            <v>95.2408</v>
          </cell>
          <cell r="K315" t="str">
            <v>21.625</v>
          </cell>
          <cell r="L315" t="str">
            <v>SubUrban</v>
          </cell>
          <cell r="M315" t="str">
            <v>Magway</v>
          </cell>
          <cell r="N315" t="str">
            <v>Yesagyo</v>
          </cell>
          <cell r="O315" t="str">
            <v>Yesagyo</v>
          </cell>
          <cell r="P315" t="str">
            <v>Magway</v>
          </cell>
          <cell r="Q315" t="str">
            <v>7</v>
          </cell>
          <cell r="R315" t="str">
            <v>Yesagyo</v>
          </cell>
          <cell r="S315" t="str">
            <v>135</v>
          </cell>
          <cell r="T315" t="str">
            <v>GSM+UMTS</v>
          </cell>
          <cell r="W315" t="str">
            <v>Ph2-Priority</v>
          </cell>
          <cell r="X315" t="str">
            <v>35</v>
          </cell>
          <cell r="Y315" t="str">
            <v>37</v>
          </cell>
          <cell r="Z315" t="str">
            <v>GBT</v>
          </cell>
          <cell r="AA315" t="str">
            <v>100</v>
          </cell>
          <cell r="AB315" t="str">
            <v>Access</v>
          </cell>
          <cell r="AC315" t="str">
            <v>Class B</v>
          </cell>
          <cell r="BE315" t="str">
            <v>Route 8 Mandalay - Magwe</v>
          </cell>
          <cell r="BH315" t="str">
            <v>Camusat</v>
          </cell>
          <cell r="BJ315">
            <v>42151</v>
          </cell>
          <cell r="BK315">
            <v>42130</v>
          </cell>
          <cell r="BL315">
            <v>42156</v>
          </cell>
          <cell r="BM315">
            <v>42146</v>
          </cell>
          <cell r="BT315">
            <v>26</v>
          </cell>
          <cell r="BU315">
            <v>42156</v>
          </cell>
          <cell r="BV315">
            <v>42156</v>
          </cell>
          <cell r="BW315" t="str">
            <v>95.240542</v>
          </cell>
          <cell r="BX315" t="str">
            <v>21.624726</v>
          </cell>
          <cell r="BY315" t="str">
            <v>C1</v>
          </cell>
          <cell r="BZ315" t="str">
            <v>No (7), 500 Pyae Quarter, Yesagyo Town Pakokku District.</v>
          </cell>
          <cell r="CA315" t="str">
            <v>(In TSSR -Land Owner was :Daw Tin Tin Soe);U San Myint;House no.(207), Ngar Yar Pyae Quarter no.(7), Yesagyo Town, Yesagyo Township, Magway Division;09-259860314</v>
          </cell>
          <cell r="CB315" t="str">
            <v>1May15: C1 SAR Sub</v>
          </cell>
          <cell r="CE315">
            <v>1</v>
          </cell>
          <cell r="CF315">
            <v>42157</v>
          </cell>
          <cell r="CG315">
            <v>42157</v>
          </cell>
          <cell r="CH315">
            <v>42165</v>
          </cell>
          <cell r="CJ315">
            <v>42165</v>
          </cell>
          <cell r="CK315" t="str">
            <v>36</v>
          </cell>
          <cell r="CL315" t="str">
            <v>37</v>
          </cell>
          <cell r="CM315" t="str">
            <v>45</v>
          </cell>
          <cell r="CN315">
            <v>10</v>
          </cell>
          <cell r="CO315">
            <v>42168</v>
          </cell>
          <cell r="CP315">
            <v>42167</v>
          </cell>
          <cell r="CQ315" t="str">
            <v>M1: grid power + battery</v>
          </cell>
          <cell r="CR315">
            <v>3</v>
          </cell>
          <cell r="CS315">
            <v>42169</v>
          </cell>
          <cell r="CT315">
            <v>42170</v>
          </cell>
          <cell r="CU315" t="str">
            <v>MG0312</v>
          </cell>
          <cell r="DH315">
            <v>32</v>
          </cell>
          <cell r="DI315">
            <v>42179</v>
          </cell>
          <cell r="DJ315">
            <v>42202</v>
          </cell>
          <cell r="DK315">
            <v>42176</v>
          </cell>
          <cell r="DL315">
            <v>42179</v>
          </cell>
          <cell r="DM315">
            <v>42180</v>
          </cell>
          <cell r="DO315">
            <v>-1</v>
          </cell>
          <cell r="DP315">
            <v>42179</v>
          </cell>
          <cell r="DQ315">
            <v>42201</v>
          </cell>
          <cell r="DT315">
            <v>32</v>
          </cell>
          <cell r="DU315">
            <v>42194</v>
          </cell>
          <cell r="DW315">
            <v>0</v>
          </cell>
          <cell r="DY315">
            <v>42180</v>
          </cell>
          <cell r="DZ315">
            <v>42203</v>
          </cell>
          <cell r="EA315" t="str">
            <v>EDYCOM</v>
          </cell>
          <cell r="EB315">
            <v>42208</v>
          </cell>
          <cell r="EE315" t="str">
            <v xml:space="preserve">10 Aug 15:Flood affected_Hold-No access; 23-Jul-15: Flooded access or site is flooded_ Tower materials got stock on road(Myin chan town.								</v>
          </cell>
          <cell r="EJ315">
            <v>0</v>
          </cell>
          <cell r="EK315">
            <v>42197</v>
          </cell>
          <cell r="EM315">
            <v>42198</v>
          </cell>
          <cell r="EQ315">
            <v>42207</v>
          </cell>
          <cell r="EW315">
            <v>0</v>
          </cell>
          <cell r="EX315">
            <v>42215</v>
          </cell>
          <cell r="EZ315">
            <v>42217</v>
          </cell>
          <cell r="FB315">
            <v>42219</v>
          </cell>
          <cell r="FU315">
            <v>42221</v>
          </cell>
          <cell r="FW315">
            <v>42221</v>
          </cell>
          <cell r="FY315" t="str">
            <v>CFVL</v>
          </cell>
          <cell r="GF315">
            <v>42170</v>
          </cell>
          <cell r="GJ315">
            <v>0</v>
          </cell>
          <cell r="GN315" t="str">
            <v>ERICSSON</v>
          </cell>
          <cell r="HD315">
            <v>1</v>
          </cell>
        </row>
        <row r="316">
          <cell r="A316" t="str">
            <v>MG0313</v>
          </cell>
          <cell r="B316" t="str">
            <v>ANMG_0104</v>
          </cell>
          <cell r="C316" t="str">
            <v>Apollo</v>
          </cell>
          <cell r="D316" t="str">
            <v>Adriaan Coetsee</v>
          </cell>
          <cell r="F316" t="str">
            <v>Mya Kyauk</v>
          </cell>
          <cell r="G316" t="str">
            <v>Si Thu Moe</v>
          </cell>
          <cell r="H316" t="str">
            <v>RED</v>
          </cell>
          <cell r="I316" t="str">
            <v>North</v>
          </cell>
          <cell r="J316" t="str">
            <v>95.2457</v>
          </cell>
          <cell r="K316" t="str">
            <v>21.6219</v>
          </cell>
          <cell r="L316" t="str">
            <v>SubUrban</v>
          </cell>
          <cell r="M316" t="str">
            <v>Magway</v>
          </cell>
          <cell r="N316" t="str">
            <v>Yesagyo</v>
          </cell>
          <cell r="O316" t="str">
            <v>Yesagyo</v>
          </cell>
          <cell r="P316" t="str">
            <v>Magway</v>
          </cell>
          <cell r="Q316" t="str">
            <v>7</v>
          </cell>
          <cell r="R316" t="str">
            <v>Yesagyo</v>
          </cell>
          <cell r="S316" t="str">
            <v>135</v>
          </cell>
          <cell r="T316" t="str">
            <v>GSM+UMTS</v>
          </cell>
          <cell r="W316" t="str">
            <v>Ph2-Priority</v>
          </cell>
          <cell r="X316" t="str">
            <v>35</v>
          </cell>
          <cell r="Y316" t="str">
            <v>37</v>
          </cell>
          <cell r="Z316" t="str">
            <v>GBT</v>
          </cell>
          <cell r="AA316" t="str">
            <v>100</v>
          </cell>
          <cell r="AB316" t="str">
            <v>Access</v>
          </cell>
          <cell r="AC316" t="str">
            <v>Class B</v>
          </cell>
          <cell r="BE316" t="str">
            <v>Route 8 Mandalay - Magwe</v>
          </cell>
          <cell r="BH316" t="str">
            <v>Camusat</v>
          </cell>
          <cell r="BJ316">
            <v>42151</v>
          </cell>
          <cell r="BK316">
            <v>42130</v>
          </cell>
          <cell r="BL316">
            <v>42156</v>
          </cell>
          <cell r="BM316">
            <v>42119</v>
          </cell>
          <cell r="BT316">
            <v>23</v>
          </cell>
          <cell r="BU316">
            <v>42156</v>
          </cell>
          <cell r="BV316">
            <v>42234</v>
          </cell>
          <cell r="BW316" t="str">
            <v>95.245869</v>
          </cell>
          <cell r="BX316" t="str">
            <v>21.620962</v>
          </cell>
          <cell r="BY316" t="str">
            <v>C2</v>
          </cell>
          <cell r="BZ316" t="str">
            <v>No (5) Ward, Yay Sa Kyo Town, Magway Division.</v>
          </cell>
          <cell r="CA316" t="str">
            <v>U Kyaw Myint</v>
          </cell>
          <cell r="CB316" t="str">
            <v>18 Aug 15:C2- SAR submission + justification; C1-NOC issue;15 Jun 15 : C1 TSSR app;12 Jun 15 : C1 TSSR sub;1 Jun 15 : C1 SAR app;29May15: C1 SAR Sub</v>
          </cell>
          <cell r="CC316" t="str">
            <v>Town</v>
          </cell>
          <cell r="CE316">
            <v>3</v>
          </cell>
          <cell r="CF316">
            <v>42157</v>
          </cell>
          <cell r="CG316">
            <v>42235</v>
          </cell>
          <cell r="CH316">
            <v>42165</v>
          </cell>
          <cell r="CJ316">
            <v>42245</v>
          </cell>
          <cell r="CK316" t="str">
            <v>35</v>
          </cell>
          <cell r="CL316" t="str">
            <v>37</v>
          </cell>
          <cell r="CM316" t="str">
            <v>45</v>
          </cell>
          <cell r="CN316">
            <v>11</v>
          </cell>
          <cell r="CO316">
            <v>42168</v>
          </cell>
          <cell r="CP316">
            <v>42247</v>
          </cell>
          <cell r="CQ316" t="str">
            <v>M1: grid power + battery</v>
          </cell>
          <cell r="CR316">
            <v>3</v>
          </cell>
          <cell r="CS316">
            <v>42169</v>
          </cell>
          <cell r="CT316">
            <v>42248</v>
          </cell>
          <cell r="CU316" t="str">
            <v>MG0313</v>
          </cell>
          <cell r="DH316">
            <v>32</v>
          </cell>
          <cell r="DI316">
            <v>42179</v>
          </cell>
          <cell r="DJ316">
            <v>42202</v>
          </cell>
          <cell r="DK316">
            <v>42176</v>
          </cell>
          <cell r="DL316">
            <v>42242</v>
          </cell>
          <cell r="DM316">
            <v>42180</v>
          </cell>
          <cell r="DO316">
            <v>-1</v>
          </cell>
          <cell r="DP316">
            <v>42179</v>
          </cell>
          <cell r="DQ316">
            <v>42201</v>
          </cell>
          <cell r="DT316">
            <v>32</v>
          </cell>
          <cell r="DU316">
            <v>42194</v>
          </cell>
          <cell r="DW316">
            <v>0</v>
          </cell>
          <cell r="DY316">
            <v>42180</v>
          </cell>
          <cell r="EA316" t="str">
            <v>EDYCOM</v>
          </cell>
          <cell r="EJ316">
            <v>0</v>
          </cell>
          <cell r="EK316">
            <v>42197</v>
          </cell>
          <cell r="EM316">
            <v>42198</v>
          </cell>
          <cell r="EQ316">
            <v>42207</v>
          </cell>
          <cell r="EW316">
            <v>0</v>
          </cell>
          <cell r="EX316">
            <v>42215</v>
          </cell>
          <cell r="EZ316">
            <v>42217</v>
          </cell>
          <cell r="FB316">
            <v>42219</v>
          </cell>
          <cell r="FU316">
            <v>42221</v>
          </cell>
          <cell r="FW316">
            <v>42221</v>
          </cell>
          <cell r="GI316">
            <v>42246</v>
          </cell>
          <cell r="GJ316">
            <v>0</v>
          </cell>
          <cell r="GN316" t="str">
            <v>ERICSSON</v>
          </cell>
          <cell r="GO316">
            <v>42150</v>
          </cell>
          <cell r="HD316">
            <v>1</v>
          </cell>
        </row>
        <row r="317">
          <cell r="A317" t="str">
            <v>MG0314</v>
          </cell>
          <cell r="B317" t="str">
            <v>ANMG_0105</v>
          </cell>
          <cell r="C317" t="str">
            <v>Apollo</v>
          </cell>
          <cell r="D317" t="str">
            <v>Adriaan Coetsee</v>
          </cell>
          <cell r="F317" t="str">
            <v>Mya Kyauk</v>
          </cell>
          <cell r="G317" t="str">
            <v>Si Thu Moe</v>
          </cell>
          <cell r="H317" t="str">
            <v>YELLOW</v>
          </cell>
          <cell r="I317" t="str">
            <v>North</v>
          </cell>
          <cell r="J317" t="str">
            <v>95.2559</v>
          </cell>
          <cell r="K317" t="str">
            <v>21.6093</v>
          </cell>
          <cell r="L317" t="str">
            <v>SubUrban</v>
          </cell>
          <cell r="M317" t="str">
            <v>Magway</v>
          </cell>
          <cell r="N317" t="str">
            <v>Yesagyo</v>
          </cell>
          <cell r="O317" t="str">
            <v>Yesagyo</v>
          </cell>
          <cell r="P317" t="str">
            <v>Magway</v>
          </cell>
          <cell r="Q317" t="str">
            <v>7</v>
          </cell>
          <cell r="R317" t="str">
            <v>Yesagyo</v>
          </cell>
          <cell r="S317" t="str">
            <v>135</v>
          </cell>
          <cell r="T317" t="str">
            <v>GSM+UMTS</v>
          </cell>
          <cell r="W317" t="str">
            <v>Ph2-Priority</v>
          </cell>
          <cell r="X317" t="str">
            <v>35</v>
          </cell>
          <cell r="Y317" t="str">
            <v>37</v>
          </cell>
          <cell r="Z317" t="str">
            <v>GBT</v>
          </cell>
          <cell r="AA317" t="str">
            <v>250</v>
          </cell>
          <cell r="AB317" t="str">
            <v>Access</v>
          </cell>
          <cell r="AC317" t="str">
            <v>Class B</v>
          </cell>
          <cell r="BE317" t="str">
            <v>Route 8 Mandalay - Magwe</v>
          </cell>
          <cell r="BH317" t="str">
            <v>Camusat</v>
          </cell>
          <cell r="BJ317">
            <v>42151</v>
          </cell>
          <cell r="BK317">
            <v>42130</v>
          </cell>
          <cell r="BL317">
            <v>42156</v>
          </cell>
          <cell r="BM317">
            <v>42150</v>
          </cell>
          <cell r="BT317">
            <v>30</v>
          </cell>
          <cell r="BU317">
            <v>42212</v>
          </cell>
          <cell r="BV317">
            <v>42160</v>
          </cell>
          <cell r="BW317" t="str">
            <v>95.254833</v>
          </cell>
          <cell r="BX317" t="str">
            <v>21.608662</v>
          </cell>
          <cell r="BY317" t="str">
            <v>C1</v>
          </cell>
          <cell r="BZ317" t="str">
            <v>Shwe Kyaung Village, Yesagyo Township, Pdkokku District.</v>
          </cell>
          <cell r="CA317" t="str">
            <v>(In TSSR ,Owner Name -Daw Noe Tun);U Tint Swe;House no.(127), Shwe Kyaung Village, Yesagyo Township, Magway Division;09-47227019</v>
          </cell>
          <cell r="CB317" t="str">
            <v>5June15: C1 SAR Sub</v>
          </cell>
          <cell r="CC317" t="str">
            <v>Village</v>
          </cell>
          <cell r="CE317">
            <v>4</v>
          </cell>
          <cell r="CF317">
            <v>42213</v>
          </cell>
          <cell r="CG317">
            <v>42164</v>
          </cell>
          <cell r="CH317">
            <v>42215</v>
          </cell>
          <cell r="CJ317">
            <v>42168</v>
          </cell>
          <cell r="CK317" t="str">
            <v>35</v>
          </cell>
          <cell r="CL317" t="str">
            <v>37</v>
          </cell>
          <cell r="CM317" t="str">
            <v>45</v>
          </cell>
          <cell r="CN317">
            <v>6</v>
          </cell>
          <cell r="CO317">
            <v>42218</v>
          </cell>
          <cell r="CP317">
            <v>42170</v>
          </cell>
          <cell r="CQ317" t="str">
            <v>M1: grid power + battery</v>
          </cell>
          <cell r="CR317">
            <v>2</v>
          </cell>
          <cell r="CS317">
            <v>42219</v>
          </cell>
          <cell r="CT317">
            <v>42172</v>
          </cell>
          <cell r="CU317" t="str">
            <v>MG0314</v>
          </cell>
          <cell r="DH317">
            <v>30</v>
          </cell>
          <cell r="DI317">
            <v>42229</v>
          </cell>
          <cell r="DJ317">
            <v>42202</v>
          </cell>
          <cell r="DK317">
            <v>42226</v>
          </cell>
          <cell r="DL317">
            <v>42199</v>
          </cell>
          <cell r="DM317">
            <v>42230</v>
          </cell>
          <cell r="DN317">
            <v>42199</v>
          </cell>
          <cell r="DO317">
            <v>-1</v>
          </cell>
          <cell r="DP317">
            <v>42229</v>
          </cell>
          <cell r="DQ317">
            <v>42201</v>
          </cell>
          <cell r="DT317">
            <v>32</v>
          </cell>
          <cell r="DU317">
            <v>42244</v>
          </cell>
          <cell r="DW317">
            <v>0</v>
          </cell>
          <cell r="DY317">
            <v>42230</v>
          </cell>
          <cell r="DZ317">
            <v>42198</v>
          </cell>
          <cell r="EA317" t="str">
            <v>EDYCOM</v>
          </cell>
          <cell r="EB317">
            <v>42213</v>
          </cell>
          <cell r="ED317" t="str">
            <v xml:space="preserve">17Aug15 :SiThu.Moe: 11/8/15:Excavation is ongoing.
</v>
          </cell>
          <cell r="EE317" t="str">
            <v xml:space="preserve">10 Aug 15:Flood affected_Hold-No access; 28-Jul-15: Site Flooded and site access. Tower pedestal casted. Will monitor if water subsides								</v>
          </cell>
          <cell r="EJ317">
            <v>18</v>
          </cell>
          <cell r="EK317">
            <v>42247</v>
          </cell>
          <cell r="EL317">
            <v>42216</v>
          </cell>
          <cell r="EM317">
            <v>42248</v>
          </cell>
          <cell r="EN317">
            <v>42241</v>
          </cell>
          <cell r="EQ317">
            <v>42257</v>
          </cell>
          <cell r="ES317">
            <v>42242</v>
          </cell>
          <cell r="EW317">
            <v>35</v>
          </cell>
          <cell r="EX317">
            <v>42215</v>
          </cell>
          <cell r="EZ317">
            <v>42267</v>
          </cell>
          <cell r="FA317">
            <v>42249</v>
          </cell>
          <cell r="FB317">
            <v>42269</v>
          </cell>
          <cell r="FC317">
            <v>42250</v>
          </cell>
          <cell r="FU317">
            <v>42271</v>
          </cell>
          <cell r="FW317">
            <v>42271</v>
          </cell>
          <cell r="FY317" t="str">
            <v>RT</v>
          </cell>
          <cell r="FZ317">
            <v>42245</v>
          </cell>
          <cell r="GI317">
            <v>42170</v>
          </cell>
          <cell r="GJ317" t="str">
            <v>40-2015</v>
          </cell>
          <cell r="GN317" t="str">
            <v>ERICSSON</v>
          </cell>
          <cell r="HD317">
            <v>1</v>
          </cell>
        </row>
        <row r="318">
          <cell r="A318" t="str">
            <v>MG0315</v>
          </cell>
          <cell r="B318" t="str">
            <v>ANMG_0131</v>
          </cell>
          <cell r="C318" t="str">
            <v>Apollo</v>
          </cell>
          <cell r="D318" t="str">
            <v>Adriaan Coetsee</v>
          </cell>
          <cell r="F318" t="str">
            <v>Mya Kyauk</v>
          </cell>
          <cell r="G318" t="str">
            <v>Si Thu Moe</v>
          </cell>
          <cell r="H318" t="str">
            <v>RED</v>
          </cell>
          <cell r="I318" t="str">
            <v>North</v>
          </cell>
          <cell r="J318" t="str">
            <v>95.2463</v>
          </cell>
          <cell r="K318" t="str">
            <v>21.5969</v>
          </cell>
          <cell r="L318" t="str">
            <v>SubUrban</v>
          </cell>
          <cell r="M318" t="str">
            <v>Magway</v>
          </cell>
          <cell r="N318" t="str">
            <v>Yesagyo</v>
          </cell>
          <cell r="O318" t="str">
            <v>Yesagyo</v>
          </cell>
          <cell r="P318" t="str">
            <v>Magway</v>
          </cell>
          <cell r="Q318" t="str">
            <v>7</v>
          </cell>
          <cell r="R318" t="str">
            <v>Yesagyo</v>
          </cell>
          <cell r="S318" t="str">
            <v>135</v>
          </cell>
          <cell r="T318" t="str">
            <v>GSM+UMTS</v>
          </cell>
          <cell r="W318" t="str">
            <v>Ph2-Priority</v>
          </cell>
          <cell r="X318" t="str">
            <v>35</v>
          </cell>
          <cell r="Y318" t="str">
            <v>35</v>
          </cell>
          <cell r="Z318" t="str">
            <v>GBT</v>
          </cell>
          <cell r="AA318" t="str">
            <v>250</v>
          </cell>
          <cell r="AB318" t="str">
            <v>Access</v>
          </cell>
          <cell r="AC318" t="str">
            <v>Class B</v>
          </cell>
          <cell r="BE318" t="str">
            <v>Route 8 Mandalay - Magwe</v>
          </cell>
          <cell r="BH318" t="str">
            <v>Camusat</v>
          </cell>
          <cell r="BJ318">
            <v>42133</v>
          </cell>
          <cell r="BK318">
            <v>42130</v>
          </cell>
          <cell r="BL318">
            <v>42138</v>
          </cell>
          <cell r="BM318">
            <v>42177</v>
          </cell>
          <cell r="BT318">
            <v>16</v>
          </cell>
          <cell r="BU318">
            <v>42139</v>
          </cell>
          <cell r="BV318">
            <v>42233</v>
          </cell>
          <cell r="BW318" t="str">
            <v>95.24706</v>
          </cell>
          <cell r="BX318" t="str">
            <v>21.597331</v>
          </cell>
          <cell r="BY318" t="str">
            <v>C2</v>
          </cell>
          <cell r="BZ318" t="str">
            <v>No(28) Dant Dalun Pin Village, Nat Mouk Township.</v>
          </cell>
          <cell r="CA318" t="str">
            <v>U Naing Win @ U Naing Min;Nyaung Saut Village, Yasegyo Township, Magway Division;09-256463372,09-792637282</v>
          </cell>
          <cell r="CB318" t="str">
            <v>17 Aug 15 : C2 SAR sub(C1 -NOC issue);10 Jun 15 : C1 TSSR app;5 June 15: C1 TSSR sub;25 May 15 :C1 SAR app;22May15: C1 SAR sub</v>
          </cell>
          <cell r="CC318" t="str">
            <v>Village</v>
          </cell>
          <cell r="CE318">
            <v>3</v>
          </cell>
          <cell r="CF318">
            <v>42140</v>
          </cell>
          <cell r="CG318">
            <v>42240</v>
          </cell>
          <cell r="CH318">
            <v>42160</v>
          </cell>
          <cell r="CJ318">
            <v>42158</v>
          </cell>
          <cell r="CK318" t="str">
            <v>35</v>
          </cell>
          <cell r="CL318" t="str">
            <v>37</v>
          </cell>
          <cell r="CM318" t="str">
            <v>35</v>
          </cell>
          <cell r="CN318">
            <v>11</v>
          </cell>
          <cell r="CO318">
            <v>42163</v>
          </cell>
          <cell r="CP318">
            <v>42160</v>
          </cell>
          <cell r="CQ318" t="str">
            <v>M1: grid power + battery</v>
          </cell>
          <cell r="CR318">
            <v>5</v>
          </cell>
          <cell r="CS318">
            <v>42164</v>
          </cell>
          <cell r="CT318">
            <v>42165</v>
          </cell>
          <cell r="CU318" t="str">
            <v>MG0315</v>
          </cell>
          <cell r="DH318">
            <v>68</v>
          </cell>
          <cell r="DI318">
            <v>42174</v>
          </cell>
          <cell r="DK318">
            <v>42171</v>
          </cell>
          <cell r="DL318">
            <v>42242</v>
          </cell>
          <cell r="DM318">
            <v>42175</v>
          </cell>
          <cell r="DO318">
            <v>0</v>
          </cell>
          <cell r="DP318">
            <v>42174</v>
          </cell>
          <cell r="DT318">
            <v>0</v>
          </cell>
          <cell r="DU318">
            <v>42189</v>
          </cell>
          <cell r="DW318">
            <v>0</v>
          </cell>
          <cell r="DY318">
            <v>42175</v>
          </cell>
          <cell r="EA318" t="str">
            <v>Camusat</v>
          </cell>
          <cell r="EJ318">
            <v>0</v>
          </cell>
          <cell r="EK318">
            <v>42190</v>
          </cell>
          <cell r="EM318">
            <v>42191</v>
          </cell>
          <cell r="EQ318">
            <v>42198</v>
          </cell>
          <cell r="EW318">
            <v>0</v>
          </cell>
          <cell r="EX318">
            <v>42212</v>
          </cell>
          <cell r="EZ318">
            <v>42208</v>
          </cell>
          <cell r="FB318">
            <v>42210</v>
          </cell>
          <cell r="FU318">
            <v>42212</v>
          </cell>
          <cell r="FW318">
            <v>42212</v>
          </cell>
          <cell r="GI318">
            <v>42088</v>
          </cell>
          <cell r="GJ318">
            <v>0</v>
          </cell>
          <cell r="GN318" t="str">
            <v>ERICSSON</v>
          </cell>
          <cell r="GU318" t="str">
            <v xml:space="preserve">		</v>
          </cell>
          <cell r="HD318">
            <v>1</v>
          </cell>
        </row>
        <row r="319">
          <cell r="A319" t="str">
            <v>MG0316</v>
          </cell>
          <cell r="B319" t="str">
            <v>ANMG_0106</v>
          </cell>
          <cell r="C319" t="str">
            <v>Apollo</v>
          </cell>
          <cell r="D319" t="str">
            <v>Adriaan Coetsee</v>
          </cell>
          <cell r="F319" t="str">
            <v>Mya Kyauk</v>
          </cell>
          <cell r="G319" t="str">
            <v>Si Thu Moe</v>
          </cell>
          <cell r="H319" t="str">
            <v>RED</v>
          </cell>
          <cell r="I319" t="str">
            <v>North</v>
          </cell>
          <cell r="J319" t="str">
            <v>94.1384</v>
          </cell>
          <cell r="K319" t="str">
            <v>22.1813</v>
          </cell>
          <cell r="L319" t="str">
            <v>SubUrban</v>
          </cell>
          <cell r="M319" t="str">
            <v>Magway</v>
          </cell>
          <cell r="N319" t="str">
            <v>Gangaw</v>
          </cell>
          <cell r="O319" t="str">
            <v>Gangaw</v>
          </cell>
          <cell r="P319" t="str">
            <v>Magway</v>
          </cell>
          <cell r="Q319" t="str">
            <v>7</v>
          </cell>
          <cell r="R319" t="str">
            <v>Gangaw</v>
          </cell>
          <cell r="S319" t="str">
            <v>139</v>
          </cell>
          <cell r="T319" t="str">
            <v>GSM+UMTS</v>
          </cell>
          <cell r="W319" t="str">
            <v>Ph2-Priority</v>
          </cell>
          <cell r="X319" t="str">
            <v>35</v>
          </cell>
          <cell r="Y319" t="str">
            <v>37</v>
          </cell>
          <cell r="Z319" t="str">
            <v>GBT</v>
          </cell>
          <cell r="AA319" t="str">
            <v>100</v>
          </cell>
          <cell r="AB319" t="str">
            <v>Access</v>
          </cell>
          <cell r="AC319" t="str">
            <v>Class B</v>
          </cell>
          <cell r="BE319" t="str">
            <v>Monywa - Tamu</v>
          </cell>
          <cell r="BH319" t="str">
            <v>Camusat</v>
          </cell>
          <cell r="BJ319">
            <v>42166</v>
          </cell>
          <cell r="BK319">
            <v>42130</v>
          </cell>
          <cell r="BL319">
            <v>42171</v>
          </cell>
          <cell r="BM319">
            <v>42119</v>
          </cell>
          <cell r="BT319">
            <v>83</v>
          </cell>
          <cell r="BU319">
            <v>42225</v>
          </cell>
          <cell r="BV319">
            <v>42213</v>
          </cell>
          <cell r="BW319" t="str">
            <v>97.18887</v>
          </cell>
          <cell r="BX319" t="str">
            <v>19.70555</v>
          </cell>
          <cell r="BY319" t="str">
            <v>C2</v>
          </cell>
          <cell r="BZ319" t="str">
            <v>Yay Yo Village , Noe Koe Village Group,Loikaw Township.</v>
          </cell>
          <cell r="CA319" t="str">
            <v>U La Khay;No-221/B, Noe Koe Village Group, Yay Yo Village, Loikaw Township;09 36181897.</v>
          </cell>
          <cell r="CB319" t="str">
            <v>3 Aug 15 : RND team request the 50 M Tower height for C2 SAR and Apollo need to check to get  CAA approval ;28 July 15:C2-SAR submission following new nominal; C1-original nominal location is airport area and not allowed to build a tower as per township leader, CAA - zero tower height;26 June 15:C1 SAR app; 24 June 15 : C1-SAR submission</v>
          </cell>
          <cell r="CC319" t="str">
            <v>Village</v>
          </cell>
          <cell r="CE319">
            <v>20</v>
          </cell>
          <cell r="CF319">
            <v>42226</v>
          </cell>
          <cell r="CG319">
            <v>42130</v>
          </cell>
          <cell r="CH319">
            <v>42228</v>
          </cell>
          <cell r="CJ319">
            <v>42144</v>
          </cell>
          <cell r="CK319" t="str">
            <v>35</v>
          </cell>
          <cell r="CL319" t="str">
            <v>37</v>
          </cell>
          <cell r="CM319" t="str">
            <v>35</v>
          </cell>
          <cell r="CN319">
            <v>0</v>
          </cell>
          <cell r="CO319">
            <v>42231</v>
          </cell>
          <cell r="CP319">
            <v>42146</v>
          </cell>
          <cell r="CQ319" t="str">
            <v>M1: grid power + battery</v>
          </cell>
          <cell r="CR319">
            <v>0</v>
          </cell>
          <cell r="CS319">
            <v>42232</v>
          </cell>
          <cell r="CT319">
            <v>42149</v>
          </cell>
          <cell r="CU319" t="str">
            <v>MG0316</v>
          </cell>
          <cell r="DH319">
            <v>0</v>
          </cell>
          <cell r="DI319">
            <v>42242</v>
          </cell>
          <cell r="DK319">
            <v>42239</v>
          </cell>
          <cell r="DL319">
            <v>42172</v>
          </cell>
          <cell r="DM319">
            <v>42243</v>
          </cell>
          <cell r="DN319">
            <v>42172</v>
          </cell>
          <cell r="DO319">
            <v>0</v>
          </cell>
          <cell r="DP319">
            <v>42242</v>
          </cell>
          <cell r="DT319">
            <v>0</v>
          </cell>
          <cell r="DU319">
            <v>42257</v>
          </cell>
          <cell r="DW319">
            <v>0</v>
          </cell>
          <cell r="DY319">
            <v>42243</v>
          </cell>
          <cell r="DZ319">
            <v>42166</v>
          </cell>
          <cell r="EA319" t="str">
            <v>Camusat</v>
          </cell>
          <cell r="ED319" t="str">
            <v>10Aug15 :PaingThu.Soe: 7-8-15 Site On Air at 15.7.15.Fencing making in progress.
03Aug15 :PaingThu.Soe: 29-7-15 Site On Air at 15.7.15.
13Jul15 :PaingThu.Soe: 13-7-15 Tower erection done.Equipment pad done.
06Jul15 :PaingThu.Soe: Equipment pad making in progress.Backfilling done and waiting tower material.
29Jun15 :PaingThu.Soe: Column pedestal done.Backfilling done.Waiting tower material.
22Jun15 :PaingThu.Soe: 18-6-15 Footing casting ongoing.Anchor bolt available in site.</v>
          </cell>
          <cell r="EJ319">
            <v>0</v>
          </cell>
          <cell r="EK319">
            <v>42258</v>
          </cell>
          <cell r="EL319">
            <v>42175</v>
          </cell>
          <cell r="EM319">
            <v>42259</v>
          </cell>
          <cell r="EN319">
            <v>42189</v>
          </cell>
          <cell r="EQ319">
            <v>42266</v>
          </cell>
          <cell r="ER319">
            <v>42198</v>
          </cell>
          <cell r="ES319">
            <v>42197</v>
          </cell>
          <cell r="ET319">
            <v>42198</v>
          </cell>
          <cell r="EU319">
            <v>42198</v>
          </cell>
          <cell r="EW319">
            <v>0</v>
          </cell>
          <cell r="EX319">
            <v>42225</v>
          </cell>
          <cell r="EZ319">
            <v>42276</v>
          </cell>
          <cell r="FA319">
            <v>42199</v>
          </cell>
          <cell r="FB319">
            <v>42278</v>
          </cell>
          <cell r="FC319">
            <v>42201</v>
          </cell>
          <cell r="FE319">
            <v>42193</v>
          </cell>
          <cell r="FU319">
            <v>42280</v>
          </cell>
          <cell r="FW319">
            <v>42280</v>
          </cell>
          <cell r="FX319">
            <v>42201</v>
          </cell>
          <cell r="FY319" t="str">
            <v>AZM</v>
          </cell>
          <cell r="FZ319">
            <v>42191</v>
          </cell>
          <cell r="GA319">
            <v>42194</v>
          </cell>
          <cell r="GB319">
            <v>42194</v>
          </cell>
          <cell r="GC319">
            <v>42198</v>
          </cell>
          <cell r="GD319">
            <v>42198</v>
          </cell>
          <cell r="GE319">
            <v>42194</v>
          </cell>
          <cell r="GF319">
            <v>42199</v>
          </cell>
          <cell r="GG319">
            <v>42200</v>
          </cell>
          <cell r="GH319">
            <v>42200</v>
          </cell>
          <cell r="GI319">
            <v>42246</v>
          </cell>
          <cell r="GJ319">
            <v>0</v>
          </cell>
          <cell r="GK319">
            <v>42200</v>
          </cell>
          <cell r="GN319" t="str">
            <v xml:space="preserve">ERICSSON </v>
          </cell>
          <cell r="GP319">
            <v>42186</v>
          </cell>
          <cell r="GU319" t="str">
            <v xml:space="preserve">		</v>
          </cell>
          <cell r="HD319">
            <v>1</v>
          </cell>
        </row>
        <row r="320">
          <cell r="A320" t="str">
            <v>MG0317</v>
          </cell>
          <cell r="B320" t="str">
            <v>ANMG_0132</v>
          </cell>
          <cell r="C320" t="str">
            <v>Apollo</v>
          </cell>
          <cell r="D320" t="str">
            <v>Adriaan Coetsee</v>
          </cell>
          <cell r="F320" t="str">
            <v>Mya Kyauk</v>
          </cell>
          <cell r="G320" t="str">
            <v>Si Thu Moe</v>
          </cell>
          <cell r="H320" t="str">
            <v>RED</v>
          </cell>
          <cell r="I320" t="str">
            <v>North</v>
          </cell>
          <cell r="J320" t="str">
            <v>94.1324</v>
          </cell>
          <cell r="K320" t="str">
            <v>22.1778</v>
          </cell>
          <cell r="L320" t="str">
            <v>SubUrban</v>
          </cell>
          <cell r="M320" t="str">
            <v>Magway</v>
          </cell>
          <cell r="N320" t="str">
            <v>Gangaw</v>
          </cell>
          <cell r="O320" t="str">
            <v>Gangaw</v>
          </cell>
          <cell r="P320" t="str">
            <v>Magway</v>
          </cell>
          <cell r="Q320" t="str">
            <v>7</v>
          </cell>
          <cell r="R320" t="str">
            <v>Gangaw</v>
          </cell>
          <cell r="S320" t="str">
            <v>139</v>
          </cell>
          <cell r="T320" t="str">
            <v>GSM+UMTS</v>
          </cell>
          <cell r="W320" t="str">
            <v>Ph2-Priority</v>
          </cell>
          <cell r="X320" t="str">
            <v>35</v>
          </cell>
          <cell r="Y320" t="str">
            <v>37</v>
          </cell>
          <cell r="Z320" t="str">
            <v>GBT</v>
          </cell>
          <cell r="AA320" t="str">
            <v>100</v>
          </cell>
          <cell r="AB320" t="str">
            <v>Access</v>
          </cell>
          <cell r="AC320" t="str">
            <v>Class B</v>
          </cell>
          <cell r="BE320" t="str">
            <v>Monywa - Tamu</v>
          </cell>
          <cell r="BH320" t="str">
            <v>IENG</v>
          </cell>
          <cell r="BJ320">
            <v>42129</v>
          </cell>
          <cell r="BK320">
            <v>42121</v>
          </cell>
          <cell r="BL320">
            <v>42134</v>
          </cell>
          <cell r="BM320">
            <v>42150</v>
          </cell>
          <cell r="BT320">
            <v>88</v>
          </cell>
          <cell r="BU320">
            <v>42134</v>
          </cell>
          <cell r="BV320">
            <v>42209</v>
          </cell>
          <cell r="BW320" t="str">
            <v>94.129</v>
          </cell>
          <cell r="BX320" t="str">
            <v>22.17509</v>
          </cell>
          <cell r="BY320" t="str">
            <v>C2</v>
          </cell>
          <cell r="BZ320" t="str">
            <v>Dhannar Thana Quarter,Pann Aing Village, Mahlaing Township, Mandalay Division</v>
          </cell>
          <cell r="CA320" t="str">
            <v>Daw Khin San Myint;Dhannar Thana Quarter,Pann Aing Village, Mahlaing Township, Mandalay Division;09 402614329, 09 47140065</v>
          </cell>
          <cell r="CB320" t="str">
            <v>24 July 15 :C2-SAR submission; C1-ZERO tower height from Civil Aviation;22 July 15 : CW start date and payment to owner date deleted because C1 has cancelled due to Aviation's  rejection ;2 June 15 : C1 TSSR app; 12 May 15 : C1 SAR app;10May15: C1 SAR Sub.</v>
          </cell>
          <cell r="CC320" t="str">
            <v>Village</v>
          </cell>
          <cell r="CE320">
            <v>3</v>
          </cell>
          <cell r="CF320">
            <v>42135</v>
          </cell>
          <cell r="CG320">
            <v>42212</v>
          </cell>
          <cell r="CH320">
            <v>42163</v>
          </cell>
          <cell r="CJ320">
            <v>42179</v>
          </cell>
          <cell r="CK320" t="str">
            <v>45</v>
          </cell>
          <cell r="CL320" t="str">
            <v>47</v>
          </cell>
          <cell r="CM320" t="str">
            <v>60</v>
          </cell>
          <cell r="CN320">
            <v>21</v>
          </cell>
          <cell r="CO320">
            <v>42166</v>
          </cell>
          <cell r="CP320">
            <v>42181</v>
          </cell>
          <cell r="CQ320" t="str">
            <v>M1: grid power + battery</v>
          </cell>
          <cell r="CR320">
            <v>0</v>
          </cell>
          <cell r="CS320">
            <v>42167</v>
          </cell>
          <cell r="CT320">
            <v>42185</v>
          </cell>
          <cell r="CU320" t="str">
            <v>MG0317</v>
          </cell>
          <cell r="DH320">
            <v>0</v>
          </cell>
          <cell r="DI320">
            <v>42177</v>
          </cell>
          <cell r="DJ320">
            <v>42217</v>
          </cell>
          <cell r="DK320">
            <v>42174</v>
          </cell>
          <cell r="DL320">
            <v>42159</v>
          </cell>
          <cell r="DM320">
            <v>42178</v>
          </cell>
          <cell r="DN320">
            <v>42171</v>
          </cell>
          <cell r="DO320">
            <v>0</v>
          </cell>
          <cell r="DP320">
            <v>42177</v>
          </cell>
          <cell r="DQ320">
            <v>42217</v>
          </cell>
          <cell r="DT320">
            <v>0</v>
          </cell>
          <cell r="DU320">
            <v>42192</v>
          </cell>
          <cell r="DW320">
            <v>0</v>
          </cell>
          <cell r="DY320">
            <v>42178</v>
          </cell>
          <cell r="DZ320">
            <v>42207</v>
          </cell>
          <cell r="EA320" t="str">
            <v>EDYCOM</v>
          </cell>
          <cell r="EE320" t="str">
            <v xml:space="preserve">10 Aug 15:Rain affected_Progress affected; 3-Aug-15: Rain affected_ Site is progressing but rain is affecting the work every day. Tower foundation rebars IP								</v>
          </cell>
          <cell r="EJ320">
            <v>0</v>
          </cell>
          <cell r="EK320">
            <v>42195</v>
          </cell>
          <cell r="EL320">
            <v>42230</v>
          </cell>
          <cell r="EM320">
            <v>42196</v>
          </cell>
          <cell r="EQ320">
            <v>42205</v>
          </cell>
          <cell r="ES320">
            <v>42233</v>
          </cell>
          <cell r="EW320">
            <v>0</v>
          </cell>
          <cell r="EX320">
            <v>42219</v>
          </cell>
          <cell r="EZ320">
            <v>42215</v>
          </cell>
          <cell r="FB320">
            <v>42217</v>
          </cell>
          <cell r="FU320">
            <v>42219</v>
          </cell>
          <cell r="FW320">
            <v>42219</v>
          </cell>
          <cell r="GI320">
            <v>42277</v>
          </cell>
          <cell r="GJ320" t="str">
            <v>40-2015</v>
          </cell>
          <cell r="GN320" t="str">
            <v>ERICSSON</v>
          </cell>
          <cell r="GO320">
            <v>42185</v>
          </cell>
          <cell r="HD320">
            <v>1</v>
          </cell>
        </row>
        <row r="321">
          <cell r="A321" t="str">
            <v>MG0318</v>
          </cell>
          <cell r="B321" t="str">
            <v>ANMG_0133</v>
          </cell>
          <cell r="C321" t="str">
            <v>Apollo</v>
          </cell>
          <cell r="D321" t="str">
            <v>Adriaan Coetsee</v>
          </cell>
          <cell r="E321" t="str">
            <v>Joselito Mapuyan : 9254374794</v>
          </cell>
          <cell r="F321" t="str">
            <v>Mya Kyauk</v>
          </cell>
          <cell r="G321" t="str">
            <v>Si Thu Moe</v>
          </cell>
          <cell r="H321" t="str">
            <v>RED</v>
          </cell>
          <cell r="I321" t="str">
            <v>North</v>
          </cell>
          <cell r="J321" t="str">
            <v>94.1262</v>
          </cell>
          <cell r="K321" t="str">
            <v>22.1694</v>
          </cell>
          <cell r="L321" t="str">
            <v>SubUrban</v>
          </cell>
          <cell r="M321" t="str">
            <v>Magway</v>
          </cell>
          <cell r="N321" t="str">
            <v>Gangaw</v>
          </cell>
          <cell r="O321" t="str">
            <v>Gangaw</v>
          </cell>
          <cell r="P321" t="str">
            <v>Magway</v>
          </cell>
          <cell r="Q321" t="str">
            <v>7</v>
          </cell>
          <cell r="R321" t="str">
            <v>Gangaw</v>
          </cell>
          <cell r="S321" t="str">
            <v>139</v>
          </cell>
          <cell r="T321" t="str">
            <v>GSM+UMTS</v>
          </cell>
          <cell r="U321" t="str">
            <v>BAG-N027</v>
          </cell>
          <cell r="V321" t="str">
            <v>4.1</v>
          </cell>
          <cell r="W321" t="str">
            <v>Ph2-Priority</v>
          </cell>
          <cell r="X321" t="str">
            <v>35</v>
          </cell>
          <cell r="Y321" t="str">
            <v>37</v>
          </cell>
          <cell r="Z321" t="str">
            <v>GBT</v>
          </cell>
          <cell r="AA321" t="str">
            <v>250</v>
          </cell>
          <cell r="AB321" t="str">
            <v>Access</v>
          </cell>
          <cell r="AC321" t="str">
            <v>Class B</v>
          </cell>
          <cell r="AD321" t="str">
            <v>1430</v>
          </cell>
          <cell r="AE321" t="str">
            <v>1610</v>
          </cell>
          <cell r="AF321" t="str">
            <v>2</v>
          </cell>
          <cell r="AG321" t="str">
            <v>BA0580</v>
          </cell>
          <cell r="AH321" t="str">
            <v>BA0582</v>
          </cell>
          <cell r="AI321" t="str">
            <v>BA0594</v>
          </cell>
          <cell r="BC321" t="str">
            <v>BA0594</v>
          </cell>
          <cell r="BD321" t="str">
            <v>2</v>
          </cell>
          <cell r="BE321" t="str">
            <v>Monywa - Tamu</v>
          </cell>
          <cell r="BF321">
            <v>41973</v>
          </cell>
          <cell r="BG321">
            <v>42049</v>
          </cell>
          <cell r="BH321" t="str">
            <v>IENG</v>
          </cell>
          <cell r="BJ321">
            <v>42129</v>
          </cell>
          <cell r="BK321">
            <v>42121</v>
          </cell>
          <cell r="BL321">
            <v>42134</v>
          </cell>
          <cell r="BM321">
            <v>42023</v>
          </cell>
          <cell r="BR321" t="str">
            <v>Huawei SAR</v>
          </cell>
          <cell r="BT321">
            <v>88</v>
          </cell>
          <cell r="BU321">
            <v>42134</v>
          </cell>
          <cell r="BV321">
            <v>42209</v>
          </cell>
          <cell r="BW321" t="str">
            <v>94.1267</v>
          </cell>
          <cell r="BX321" t="str">
            <v>22.16484</v>
          </cell>
          <cell r="BY321" t="str">
            <v>C2</v>
          </cell>
          <cell r="BZ321" t="str">
            <v>Min Dha Ma Monastry,Oak Thar Myo Thit (1)ward,Theit,Bago Division.</v>
          </cell>
          <cell r="CA321" t="str">
            <v>U War Ra Na;Min Dha Ma Monastry,oak Thar Myo Thit(1)Ward,Theit Tha ,Bsgo Tsp,Bago Division;09-428135120</v>
          </cell>
          <cell r="CB321" t="str">
            <v>24 July 15 :C2-SAR submission; C1  rejected-ZERO tower height from Civil Aviation;2 June  15 :C1 TSSR app;12 May 15 :C1 SAR app;10May15: C1 SAR Sub.</v>
          </cell>
          <cell r="CE321">
            <v>3</v>
          </cell>
          <cell r="CF321">
            <v>42135</v>
          </cell>
          <cell r="CG321">
            <v>42212</v>
          </cell>
          <cell r="CH321">
            <v>42163</v>
          </cell>
          <cell r="CJ321">
            <v>42122</v>
          </cell>
          <cell r="CK321" t="str">
            <v>29</v>
          </cell>
          <cell r="CL321" t="str">
            <v>32</v>
          </cell>
          <cell r="CM321" t="str">
            <v>30</v>
          </cell>
          <cell r="CN321">
            <v>21</v>
          </cell>
          <cell r="CO321">
            <v>42166</v>
          </cell>
          <cell r="CP321">
            <v>42131</v>
          </cell>
          <cell r="CQ321" t="str">
            <v>M1: grid power + battery</v>
          </cell>
          <cell r="CR321">
            <v>0</v>
          </cell>
          <cell r="CS321">
            <v>42167</v>
          </cell>
          <cell r="CT321">
            <v>42132</v>
          </cell>
          <cell r="CU321" t="str">
            <v>MG0318</v>
          </cell>
          <cell r="DH321">
            <v>0</v>
          </cell>
          <cell r="DI321">
            <v>42177</v>
          </cell>
          <cell r="DJ321">
            <v>42147</v>
          </cell>
          <cell r="DK321">
            <v>42174</v>
          </cell>
          <cell r="DL321">
            <v>42138</v>
          </cell>
          <cell r="DM321">
            <v>42178</v>
          </cell>
          <cell r="DN321">
            <v>42138</v>
          </cell>
          <cell r="DO321">
            <v>0</v>
          </cell>
          <cell r="DP321">
            <v>42177</v>
          </cell>
          <cell r="DQ321">
            <v>42146</v>
          </cell>
          <cell r="DR321" t="str">
            <v>Bago CDC</v>
          </cell>
          <cell r="DS321" t="str">
            <v>052-22903</v>
          </cell>
          <cell r="DT321">
            <v>0</v>
          </cell>
          <cell r="DU321">
            <v>42192</v>
          </cell>
          <cell r="DV321">
            <v>42146</v>
          </cell>
          <cell r="DW321">
            <v>0</v>
          </cell>
          <cell r="DY321">
            <v>42178</v>
          </cell>
          <cell r="DZ321">
            <v>42138</v>
          </cell>
          <cell r="EA321" t="str">
            <v>Edycom</v>
          </cell>
          <cell r="ED321" t="str">
            <v xml:space="preserve">01Jun15 :PaingThu.Soe: 29-5-15 Equipment pad done.Fencing making in progress.Erection making in progress.
</v>
          </cell>
          <cell r="EI321" t="str">
            <v>M5: grid power + DG + battery      </v>
          </cell>
          <cell r="EJ321">
            <v>0</v>
          </cell>
          <cell r="EK321">
            <v>42195</v>
          </cell>
          <cell r="EL321">
            <v>42147</v>
          </cell>
          <cell r="EM321">
            <v>42196</v>
          </cell>
          <cell r="EN321">
            <v>42151</v>
          </cell>
          <cell r="EQ321">
            <v>42205</v>
          </cell>
          <cell r="ER321">
            <v>42157</v>
          </cell>
          <cell r="ES321">
            <v>42150</v>
          </cell>
          <cell r="ET321">
            <v>42160</v>
          </cell>
          <cell r="EU321">
            <v>42160</v>
          </cell>
          <cell r="EW321">
            <v>0</v>
          </cell>
          <cell r="EX321">
            <v>42219</v>
          </cell>
          <cell r="EY321">
            <v>42162</v>
          </cell>
          <cell r="EZ321">
            <v>42215</v>
          </cell>
          <cell r="FA321">
            <v>42160</v>
          </cell>
          <cell r="FB321">
            <v>42217</v>
          </cell>
          <cell r="FC321">
            <v>42162</v>
          </cell>
          <cell r="FD321">
            <v>41936</v>
          </cell>
          <cell r="FF321">
            <v>41943</v>
          </cell>
          <cell r="FG321">
            <v>42152</v>
          </cell>
          <cell r="FH321">
            <v>41945</v>
          </cell>
          <cell r="FI321">
            <v>42160</v>
          </cell>
          <cell r="FJ321">
            <v>41948</v>
          </cell>
          <cell r="FN321">
            <v>41952</v>
          </cell>
          <cell r="FP321">
            <v>41954</v>
          </cell>
          <cell r="FR321">
            <v>41968</v>
          </cell>
          <cell r="FU321">
            <v>42219</v>
          </cell>
          <cell r="FV321">
            <v>42161</v>
          </cell>
          <cell r="FW321">
            <v>42219</v>
          </cell>
          <cell r="FX321">
            <v>42162</v>
          </cell>
          <cell r="FY321" t="str">
            <v>UT</v>
          </cell>
          <cell r="FZ321">
            <v>42153</v>
          </cell>
          <cell r="GA321">
            <v>42157</v>
          </cell>
          <cell r="GB321">
            <v>42162</v>
          </cell>
          <cell r="GC321">
            <v>42162</v>
          </cell>
          <cell r="GD321">
            <v>42163</v>
          </cell>
          <cell r="GE321">
            <v>42164</v>
          </cell>
          <cell r="GF321">
            <v>42090</v>
          </cell>
          <cell r="GG321">
            <v>42164</v>
          </cell>
          <cell r="GH321">
            <v>42164</v>
          </cell>
          <cell r="GI321">
            <v>42277</v>
          </cell>
          <cell r="GJ321">
            <v>0</v>
          </cell>
          <cell r="GK321">
            <v>42164</v>
          </cell>
          <cell r="GN321" t="str">
            <v>ERICSSON</v>
          </cell>
          <cell r="GO321">
            <v>41709</v>
          </cell>
          <cell r="GS321" t="str">
            <v>4/4/4</v>
          </cell>
          <cell r="GU321" t="str">
            <v xml:space="preserve">		</v>
          </cell>
          <cell r="HD321">
            <v>1</v>
          </cell>
        </row>
        <row r="322">
          <cell r="A322" t="str">
            <v>MG0319</v>
          </cell>
          <cell r="B322" t="str">
            <v>ANMG_0134</v>
          </cell>
          <cell r="C322" t="str">
            <v>Apollo</v>
          </cell>
          <cell r="D322" t="str">
            <v>Adriaan Coetsee</v>
          </cell>
          <cell r="F322" t="str">
            <v>Mya Kyauk</v>
          </cell>
          <cell r="G322" t="str">
            <v>Si Thu Moe</v>
          </cell>
          <cell r="H322" t="str">
            <v>RED</v>
          </cell>
          <cell r="I322" t="str">
            <v>North</v>
          </cell>
          <cell r="J322" t="str">
            <v>94.1295</v>
          </cell>
          <cell r="K322" t="str">
            <v>22.1602</v>
          </cell>
          <cell r="L322" t="str">
            <v>SubUrban</v>
          </cell>
          <cell r="M322" t="str">
            <v>Magway</v>
          </cell>
          <cell r="N322" t="str">
            <v>Gangaw</v>
          </cell>
          <cell r="O322" t="str">
            <v>Gangaw</v>
          </cell>
          <cell r="P322" t="str">
            <v>Magway</v>
          </cell>
          <cell r="Q322" t="str">
            <v>7</v>
          </cell>
          <cell r="R322" t="str">
            <v>Gangaw</v>
          </cell>
          <cell r="S322" t="str">
            <v>139</v>
          </cell>
          <cell r="T322" t="str">
            <v>GSM+UMTS</v>
          </cell>
          <cell r="W322" t="str">
            <v>Ph2-Priority</v>
          </cell>
          <cell r="X322" t="str">
            <v>35</v>
          </cell>
          <cell r="Y322" t="str">
            <v>37</v>
          </cell>
          <cell r="Z322" t="str">
            <v>GBT</v>
          </cell>
          <cell r="AA322" t="str">
            <v>250</v>
          </cell>
          <cell r="AB322" t="str">
            <v>Access</v>
          </cell>
          <cell r="AC322" t="str">
            <v>Class B</v>
          </cell>
          <cell r="BE322" t="str">
            <v>Monywa - Tamu</v>
          </cell>
          <cell r="BH322" t="str">
            <v>IENG</v>
          </cell>
          <cell r="BJ322">
            <v>42129</v>
          </cell>
          <cell r="BK322">
            <v>42121</v>
          </cell>
          <cell r="BL322">
            <v>42134</v>
          </cell>
          <cell r="BM322">
            <v>42175</v>
          </cell>
          <cell r="BT322">
            <v>112</v>
          </cell>
          <cell r="BU322">
            <v>42134</v>
          </cell>
          <cell r="BV322">
            <v>42193</v>
          </cell>
          <cell r="BW322" t="str">
            <v>96.5827</v>
          </cell>
          <cell r="BX322" t="str">
            <v>17.28427</v>
          </cell>
          <cell r="BY322" t="str">
            <v>Reject</v>
          </cell>
          <cell r="BZ322" t="str">
            <v>No (181), Yay Kyaw Village, Kyot Pyat Kwat Thit, (4) Street, Thanatpin Township, Bago West Division</v>
          </cell>
          <cell r="CA322" t="str">
            <v>Daw Than Yee,09-250543354</v>
          </cell>
          <cell r="CB322" t="str">
            <v>13 Aug 15: C1 deactivate because of Civil avaition issue; 5 Aug 15 :As per Gurwinder 's mail CW Start date deleted as CAA didn’t give approval of site and Allowed ht 0m, But as per information from Frank( DEADSAM (needs to transfer the nominal point outside Gangaw Township) – CAA approved but not allowed to build);2 Jun 15 : C1 TSSR app;1 Jun 15 : C1 TSSR sub;12 May 15 : C1 SAR app;10May15: C1 SAR Sub.</v>
          </cell>
          <cell r="CC322" t="str">
            <v>RESIDENTIAL</v>
          </cell>
          <cell r="CE322">
            <v>0</v>
          </cell>
          <cell r="CF322">
            <v>42135</v>
          </cell>
          <cell r="CG322">
            <v>42194</v>
          </cell>
          <cell r="CH322">
            <v>42163</v>
          </cell>
          <cell r="CJ322">
            <v>42200</v>
          </cell>
          <cell r="CK322" t="str">
            <v>35</v>
          </cell>
          <cell r="CL322" t="str">
            <v>37</v>
          </cell>
          <cell r="CM322" t="str">
            <v>35</v>
          </cell>
          <cell r="CN322">
            <v>0</v>
          </cell>
          <cell r="CO322">
            <v>42166</v>
          </cell>
          <cell r="CP322">
            <v>42202</v>
          </cell>
          <cell r="CQ322" t="str">
            <v>M1: grid power + battery</v>
          </cell>
          <cell r="CR322">
            <v>0</v>
          </cell>
          <cell r="CS322">
            <v>42167</v>
          </cell>
          <cell r="CT322">
            <v>42205</v>
          </cell>
          <cell r="CU322" t="str">
            <v>MG0319</v>
          </cell>
          <cell r="DH322">
            <v>0</v>
          </cell>
          <cell r="DI322">
            <v>42177</v>
          </cell>
          <cell r="DJ322">
            <v>42202</v>
          </cell>
          <cell r="DK322">
            <v>42174</v>
          </cell>
          <cell r="DL322">
            <v>42242</v>
          </cell>
          <cell r="DM322">
            <v>42178</v>
          </cell>
          <cell r="DN322">
            <v>42171</v>
          </cell>
          <cell r="DO322">
            <v>0</v>
          </cell>
          <cell r="DP322">
            <v>42177</v>
          </cell>
          <cell r="DQ322">
            <v>42201</v>
          </cell>
          <cell r="DT322">
            <v>0</v>
          </cell>
          <cell r="DU322">
            <v>42192</v>
          </cell>
          <cell r="DW322">
            <v>0</v>
          </cell>
          <cell r="DY322">
            <v>42178</v>
          </cell>
          <cell r="EA322" t="str">
            <v>EDYCOM</v>
          </cell>
          <cell r="EJ322">
            <v>0</v>
          </cell>
          <cell r="EK322">
            <v>42195</v>
          </cell>
          <cell r="EM322">
            <v>42196</v>
          </cell>
          <cell r="EQ322">
            <v>42205</v>
          </cell>
          <cell r="EW322">
            <v>0</v>
          </cell>
          <cell r="EX322">
            <v>42219</v>
          </cell>
          <cell r="EZ322">
            <v>42215</v>
          </cell>
          <cell r="FB322">
            <v>42217</v>
          </cell>
          <cell r="FU322">
            <v>42219</v>
          </cell>
          <cell r="FW322">
            <v>42219</v>
          </cell>
          <cell r="GI322">
            <v>42277</v>
          </cell>
          <cell r="GJ322" t="str">
            <v>40-2015</v>
          </cell>
          <cell r="GN322" t="str">
            <v>ERICSSON</v>
          </cell>
          <cell r="GS322" t="str">
            <v>4/4/4</v>
          </cell>
          <cell r="GU322" t="str">
            <v xml:space="preserve">		</v>
          </cell>
          <cell r="HD322">
            <v>1</v>
          </cell>
        </row>
        <row r="323">
          <cell r="A323" t="str">
            <v>MG0323</v>
          </cell>
          <cell r="B323" t="str">
            <v>ANMG_0107</v>
          </cell>
          <cell r="C323" t="str">
            <v>Apollo</v>
          </cell>
          <cell r="D323" t="str">
            <v>Adriaan Coetsee</v>
          </cell>
          <cell r="F323" t="str">
            <v>Mya Kyauk</v>
          </cell>
          <cell r="G323" t="str">
            <v>Si Thu Moe</v>
          </cell>
          <cell r="H323" t="str">
            <v>YELLOW</v>
          </cell>
          <cell r="I323" t="str">
            <v>North</v>
          </cell>
          <cell r="J323" t="str">
            <v>95.4452</v>
          </cell>
          <cell r="K323" t="str">
            <v>20.2093</v>
          </cell>
          <cell r="L323" t="str">
            <v>SubUrban</v>
          </cell>
          <cell r="M323" t="str">
            <v>Magway</v>
          </cell>
          <cell r="N323" t="str">
            <v>Myothit</v>
          </cell>
          <cell r="O323" t="str">
            <v>Myothit</v>
          </cell>
          <cell r="P323" t="str">
            <v>Magway</v>
          </cell>
          <cell r="Q323" t="str">
            <v>7</v>
          </cell>
          <cell r="R323" t="str">
            <v>Myothit</v>
          </cell>
          <cell r="S323" t="str">
            <v>121</v>
          </cell>
          <cell r="T323" t="str">
            <v>GSM+UMTS</v>
          </cell>
          <cell r="W323" t="str">
            <v>Ph2-Priority</v>
          </cell>
          <cell r="X323" t="str">
            <v>35</v>
          </cell>
          <cell r="Y323" t="str">
            <v>37</v>
          </cell>
          <cell r="Z323" t="str">
            <v>GBT</v>
          </cell>
          <cell r="AA323" t="str">
            <v>250</v>
          </cell>
          <cell r="AB323" t="str">
            <v>Access</v>
          </cell>
          <cell r="AC323" t="str">
            <v>Class B</v>
          </cell>
          <cell r="BE323" t="str">
            <v>Route 1 Yangon - Mandalay</v>
          </cell>
          <cell r="BH323" t="str">
            <v>Camusat</v>
          </cell>
          <cell r="BJ323">
            <v>42166</v>
          </cell>
          <cell r="BK323">
            <v>42141</v>
          </cell>
          <cell r="BL323">
            <v>42171</v>
          </cell>
          <cell r="BM323">
            <v>42148</v>
          </cell>
          <cell r="BT323">
            <v>17</v>
          </cell>
          <cell r="BU323">
            <v>42170</v>
          </cell>
          <cell r="BV323">
            <v>42158</v>
          </cell>
          <cell r="BW323" t="str">
            <v>95.44664</v>
          </cell>
          <cell r="BX323" t="str">
            <v>20.209161</v>
          </cell>
          <cell r="BY323" t="str">
            <v>C1</v>
          </cell>
          <cell r="BZ323" t="str">
            <v>South of Shwe Inn Taw Ya, Kwat Thit Quarter, Myo Thit Town, Magway Division.</v>
          </cell>
          <cell r="CA323" t="str">
            <v>U Aung Soe;South of Shwe Inn Taw Ya, Kwat Thit Quarter, Myo Thit Town, Magway Division;09-259690362</v>
          </cell>
          <cell r="CB323" t="str">
            <v>3Jun15: C1 SAR Sub</v>
          </cell>
          <cell r="CC323" t="str">
            <v>Town</v>
          </cell>
          <cell r="CE323">
            <v>1</v>
          </cell>
          <cell r="CF323">
            <v>42171</v>
          </cell>
          <cell r="CG323">
            <v>42159</v>
          </cell>
          <cell r="CH323">
            <v>42173</v>
          </cell>
          <cell r="CJ323">
            <v>42163</v>
          </cell>
          <cell r="CK323" t="str">
            <v>35</v>
          </cell>
          <cell r="CL323" t="str">
            <v>37</v>
          </cell>
          <cell r="CM323" t="str">
            <v>40</v>
          </cell>
          <cell r="CN323">
            <v>6</v>
          </cell>
          <cell r="CO323">
            <v>42176</v>
          </cell>
          <cell r="CP323">
            <v>42165</v>
          </cell>
          <cell r="CQ323" t="str">
            <v>M1: grid power + battery</v>
          </cell>
          <cell r="CR323">
            <v>1</v>
          </cell>
          <cell r="CS323">
            <v>42177</v>
          </cell>
          <cell r="CT323">
            <v>42166</v>
          </cell>
          <cell r="CU323" t="str">
            <v>MG0323</v>
          </cell>
          <cell r="DH323">
            <v>13</v>
          </cell>
          <cell r="DI323">
            <v>42187</v>
          </cell>
          <cell r="DJ323">
            <v>42179</v>
          </cell>
          <cell r="DK323">
            <v>42184</v>
          </cell>
          <cell r="DL323">
            <v>42170</v>
          </cell>
          <cell r="DM323">
            <v>42188</v>
          </cell>
          <cell r="DN323">
            <v>42172</v>
          </cell>
          <cell r="DO323">
            <v>0</v>
          </cell>
          <cell r="DP323">
            <v>42187</v>
          </cell>
          <cell r="DQ323">
            <v>42179</v>
          </cell>
          <cell r="DT323">
            <v>54</v>
          </cell>
          <cell r="DU323">
            <v>42202</v>
          </cell>
          <cell r="DW323">
            <v>0</v>
          </cell>
          <cell r="DY323">
            <v>42188</v>
          </cell>
          <cell r="DZ323">
            <v>42172</v>
          </cell>
          <cell r="EA323" t="str">
            <v>Camusat</v>
          </cell>
          <cell r="ED323" t="str">
            <v xml:space="preserve">11Jul15 :SiThu.Moe: Tower foundation is done.
</v>
          </cell>
          <cell r="EE323" t="str">
            <v xml:space="preserve">10 Aug 15:Rain affected_Progress affected; 4-Aug-15: Awaiting tower EDA 8/15. Tower foundation and equipment slab casted								</v>
          </cell>
          <cell r="EJ323">
            <v>28</v>
          </cell>
          <cell r="EK323">
            <v>42203</v>
          </cell>
          <cell r="EL323">
            <v>42200</v>
          </cell>
          <cell r="EM323">
            <v>42204</v>
          </cell>
          <cell r="EN323">
            <v>42240</v>
          </cell>
          <cell r="EQ323">
            <v>42211</v>
          </cell>
          <cell r="ER323">
            <v>42243</v>
          </cell>
          <cell r="ES323">
            <v>42215</v>
          </cell>
          <cell r="ET323">
            <v>42243</v>
          </cell>
          <cell r="EU323">
            <v>42243</v>
          </cell>
          <cell r="EW323">
            <v>61</v>
          </cell>
          <cell r="EX323">
            <v>42225</v>
          </cell>
          <cell r="EZ323">
            <v>42221</v>
          </cell>
          <cell r="FA323">
            <v>42238</v>
          </cell>
          <cell r="FB323">
            <v>42223</v>
          </cell>
          <cell r="FC323">
            <v>42240</v>
          </cell>
          <cell r="FU323">
            <v>42225</v>
          </cell>
          <cell r="FW323">
            <v>42225</v>
          </cell>
          <cell r="FX323">
            <v>42243</v>
          </cell>
          <cell r="FY323" t="str">
            <v>UT</v>
          </cell>
          <cell r="FZ323">
            <v>42221</v>
          </cell>
          <cell r="GA323">
            <v>42223</v>
          </cell>
          <cell r="GB323">
            <v>42247</v>
          </cell>
          <cell r="GC323">
            <v>42247</v>
          </cell>
          <cell r="GD323">
            <v>42247</v>
          </cell>
          <cell r="GF323">
            <v>42219</v>
          </cell>
          <cell r="GI323">
            <v>42277</v>
          </cell>
          <cell r="GJ323" t="str">
            <v>36-2015</v>
          </cell>
          <cell r="GL323" t="str">
            <v>Power Dep.:: Power is not available,Need cran for lift the material to Roof, Tower is not ready</v>
          </cell>
          <cell r="GN323" t="str">
            <v>ERICSSON</v>
          </cell>
          <cell r="GQ323">
            <v>0</v>
          </cell>
          <cell r="HD323">
            <v>1</v>
          </cell>
        </row>
        <row r="324">
          <cell r="A324" t="str">
            <v>MG0324</v>
          </cell>
          <cell r="B324" t="str">
            <v>ANMG_0108</v>
          </cell>
          <cell r="C324" t="str">
            <v>Apollo</v>
          </cell>
          <cell r="D324" t="str">
            <v>Adriaan Coetsee</v>
          </cell>
          <cell r="F324" t="str">
            <v>Mya Kyauk</v>
          </cell>
          <cell r="G324" t="str">
            <v>Si Thu Moe</v>
          </cell>
          <cell r="H324" t="str">
            <v>WHITE</v>
          </cell>
          <cell r="I324" t="str">
            <v>North</v>
          </cell>
          <cell r="J324" t="str">
            <v>94.4674</v>
          </cell>
          <cell r="K324" t="str">
            <v>21.4533</v>
          </cell>
          <cell r="L324" t="str">
            <v>SubUrban</v>
          </cell>
          <cell r="M324" t="str">
            <v>Magway</v>
          </cell>
          <cell r="N324" t="str">
            <v>Pauk</v>
          </cell>
          <cell r="O324" t="str">
            <v>Pauk</v>
          </cell>
          <cell r="P324" t="str">
            <v>Magway</v>
          </cell>
          <cell r="Q324" t="str">
            <v>7</v>
          </cell>
          <cell r="R324" t="str">
            <v>Pauk</v>
          </cell>
          <cell r="S324" t="str">
            <v>137</v>
          </cell>
          <cell r="T324" t="str">
            <v>GSM+UMTS</v>
          </cell>
          <cell r="W324" t="str">
            <v>Ph2-Priority</v>
          </cell>
          <cell r="X324" t="str">
            <v>35</v>
          </cell>
          <cell r="Y324" t="str">
            <v>37</v>
          </cell>
          <cell r="Z324" t="str">
            <v>GBT</v>
          </cell>
          <cell r="AA324" t="str">
            <v>250</v>
          </cell>
          <cell r="AB324" t="str">
            <v>Access</v>
          </cell>
          <cell r="AC324" t="str">
            <v>Class B</v>
          </cell>
          <cell r="BE324" t="str">
            <v>Route 8 Mandalay - Magwe</v>
          </cell>
          <cell r="BH324" t="str">
            <v>Camusat</v>
          </cell>
          <cell r="BJ324">
            <v>42130</v>
          </cell>
          <cell r="BK324">
            <v>42130</v>
          </cell>
          <cell r="BL324">
            <v>42135</v>
          </cell>
          <cell r="BM324">
            <v>42136</v>
          </cell>
          <cell r="BT324">
            <v>16</v>
          </cell>
          <cell r="BU324">
            <v>42143</v>
          </cell>
          <cell r="BV324">
            <v>42146</v>
          </cell>
          <cell r="BW324" t="str">
            <v>94.46534721</v>
          </cell>
          <cell r="BX324" t="str">
            <v>21.453265</v>
          </cell>
          <cell r="BY324" t="str">
            <v>C1</v>
          </cell>
          <cell r="BZ324" t="str">
            <v>No(1037) Shwe Pauk Pin Quarter, Pauk Town, Pakkoku Township.</v>
          </cell>
          <cell r="CA324" t="str">
            <v>Daw Saw Thandar Htway;Shwe Pauk Pin Quarter, Pauk Town, Pakkoku Township, Magway Division;09-793346167</v>
          </cell>
          <cell r="CB324" t="str">
            <v>21 July 15 : C1 TSSR updated  again because TND team changes the antenna height and link up site( Aviation authority allow 25.6 M only for Tower height);22 June 15 : C1 TSSR updated checklist released because of  Tower height  reducing due to aviation issue;22May15: C1 SAR sub</v>
          </cell>
          <cell r="CC324" t="str">
            <v>Village</v>
          </cell>
          <cell r="CE324">
            <v>3</v>
          </cell>
          <cell r="CF324">
            <v>42144</v>
          </cell>
          <cell r="CG324">
            <v>42149</v>
          </cell>
          <cell r="CH324">
            <v>42160</v>
          </cell>
          <cell r="CJ324">
            <v>42158</v>
          </cell>
          <cell r="CK324" t="str">
            <v>25</v>
          </cell>
          <cell r="CL324" t="str">
            <v>25</v>
          </cell>
          <cell r="CM324" t="str">
            <v>25.6</v>
          </cell>
          <cell r="CN324">
            <v>11</v>
          </cell>
          <cell r="CO324">
            <v>42163</v>
          </cell>
          <cell r="CP324">
            <v>42160</v>
          </cell>
          <cell r="CQ324" t="str">
            <v>M1: grid power + battery</v>
          </cell>
          <cell r="CR324">
            <v>5</v>
          </cell>
          <cell r="CS324">
            <v>42164</v>
          </cell>
          <cell r="CT324">
            <v>42165</v>
          </cell>
          <cell r="CU324" t="str">
            <v>MG0324</v>
          </cell>
          <cell r="DH324">
            <v>37</v>
          </cell>
          <cell r="DI324">
            <v>42174</v>
          </cell>
          <cell r="DJ324">
            <v>42202</v>
          </cell>
          <cell r="DK324">
            <v>42171</v>
          </cell>
          <cell r="DL324">
            <v>42172</v>
          </cell>
          <cell r="DM324">
            <v>42175</v>
          </cell>
          <cell r="DN324">
            <v>42177</v>
          </cell>
          <cell r="DO324">
            <v>-1</v>
          </cell>
          <cell r="DP324">
            <v>42174</v>
          </cell>
          <cell r="DQ324">
            <v>42201</v>
          </cell>
          <cell r="DT324">
            <v>32</v>
          </cell>
          <cell r="DU324">
            <v>42189</v>
          </cell>
          <cell r="DW324">
            <v>0</v>
          </cell>
          <cell r="DY324">
            <v>42175</v>
          </cell>
          <cell r="DZ324">
            <v>42177</v>
          </cell>
          <cell r="EA324" t="str">
            <v>EDYCOM</v>
          </cell>
          <cell r="ED324" t="str">
            <v xml:space="preserve">13Aug15 :KyawZay.Yar: Excavation done.Footing rebar ongoing.
</v>
          </cell>
          <cell r="EI324" t="str">
            <v>M5: grid power + DG + battery      </v>
          </cell>
          <cell r="EJ324">
            <v>16</v>
          </cell>
          <cell r="EK324">
            <v>42192</v>
          </cell>
          <cell r="EL324">
            <v>42193</v>
          </cell>
          <cell r="EM324">
            <v>42193</v>
          </cell>
          <cell r="EN324">
            <v>42186</v>
          </cell>
          <cell r="EQ324">
            <v>42202</v>
          </cell>
          <cell r="ER324">
            <v>42198</v>
          </cell>
          <cell r="ES324">
            <v>42198</v>
          </cell>
          <cell r="ET324">
            <v>42198</v>
          </cell>
          <cell r="EU324">
            <v>42198</v>
          </cell>
          <cell r="EW324">
            <v>56</v>
          </cell>
          <cell r="EX324">
            <v>42216</v>
          </cell>
          <cell r="EZ324">
            <v>42212</v>
          </cell>
          <cell r="FA324">
            <v>42201</v>
          </cell>
          <cell r="FB324">
            <v>42214</v>
          </cell>
          <cell r="FC324">
            <v>42203</v>
          </cell>
          <cell r="FU324">
            <v>42216</v>
          </cell>
          <cell r="FV324">
            <v>42210</v>
          </cell>
          <cell r="FW324">
            <v>42216</v>
          </cell>
          <cell r="FX324">
            <v>42203</v>
          </cell>
          <cell r="FY324" t="str">
            <v>CFVL</v>
          </cell>
          <cell r="FZ324">
            <v>42205</v>
          </cell>
          <cell r="GA324">
            <v>42209</v>
          </cell>
          <cell r="GB324">
            <v>42211</v>
          </cell>
          <cell r="GC324">
            <v>42217</v>
          </cell>
          <cell r="GD324">
            <v>42217</v>
          </cell>
          <cell r="GE324">
            <v>42219</v>
          </cell>
          <cell r="GF324">
            <v>42219</v>
          </cell>
          <cell r="GG324">
            <v>42219</v>
          </cell>
          <cell r="GH324">
            <v>42219</v>
          </cell>
          <cell r="GI324">
            <v>42090</v>
          </cell>
          <cell r="GJ324" t="str">
            <v>36-2015</v>
          </cell>
          <cell r="GK324">
            <v>42219</v>
          </cell>
          <cell r="GN324" t="str">
            <v>ERICSSON</v>
          </cell>
          <cell r="HD324">
            <v>1</v>
          </cell>
        </row>
        <row r="325">
          <cell r="A325" t="str">
            <v>MG0326</v>
          </cell>
          <cell r="B325" t="str">
            <v>ANMG_0109</v>
          </cell>
          <cell r="C325" t="str">
            <v>Apollo</v>
          </cell>
          <cell r="D325" t="str">
            <v>Adriaan Coetsee</v>
          </cell>
          <cell r="F325" t="str">
            <v>Mya Kyauk</v>
          </cell>
          <cell r="G325" t="str">
            <v>Si Thu Moe</v>
          </cell>
          <cell r="H325" t="str">
            <v>YELLOW</v>
          </cell>
          <cell r="I325" t="str">
            <v>North</v>
          </cell>
          <cell r="J325" t="str">
            <v>94.731873</v>
          </cell>
          <cell r="K325" t="str">
            <v>20.877969</v>
          </cell>
          <cell r="L325" t="str">
            <v>Suburban</v>
          </cell>
          <cell r="M325" t="str">
            <v>Magway</v>
          </cell>
          <cell r="N325" t="str">
            <v>Seikphyu</v>
          </cell>
          <cell r="O325" t="str">
            <v>Seikphyu</v>
          </cell>
          <cell r="P325" t="str">
            <v>Magway</v>
          </cell>
          <cell r="Q325" t="str">
            <v>7</v>
          </cell>
          <cell r="R325" t="str">
            <v>Seikphyu</v>
          </cell>
          <cell r="S325" t="str">
            <v>138</v>
          </cell>
          <cell r="T325" t="str">
            <v>GSM+UMTS</v>
          </cell>
          <cell r="W325" t="str">
            <v>Ph2-Priority</v>
          </cell>
          <cell r="X325" t="str">
            <v>35</v>
          </cell>
          <cell r="Y325" t="str">
            <v>37</v>
          </cell>
          <cell r="Z325" t="str">
            <v>GBT</v>
          </cell>
          <cell r="AA325" t="str">
            <v>250</v>
          </cell>
          <cell r="AB325" t="str">
            <v>Access</v>
          </cell>
          <cell r="AC325" t="str">
            <v>Class B</v>
          </cell>
          <cell r="BE325" t="str">
            <v>Kyauktaw-Kyaukpadaung</v>
          </cell>
          <cell r="BH325" t="str">
            <v>Camusat</v>
          </cell>
          <cell r="BJ325">
            <v>42151</v>
          </cell>
          <cell r="BK325">
            <v>42130</v>
          </cell>
          <cell r="BL325">
            <v>42156</v>
          </cell>
          <cell r="BM325">
            <v>42142</v>
          </cell>
          <cell r="BT325">
            <v>22</v>
          </cell>
          <cell r="BU325">
            <v>42156</v>
          </cell>
          <cell r="BV325">
            <v>42152</v>
          </cell>
          <cell r="BW325" t="str">
            <v>94.73251</v>
          </cell>
          <cell r="BX325" t="str">
            <v>20.880812</v>
          </cell>
          <cell r="BY325" t="str">
            <v>C1</v>
          </cell>
          <cell r="BZ325" t="str">
            <v>Chin Taung Village, Seik Phyu Township;Pakokku District.</v>
          </cell>
          <cell r="CA325" t="str">
            <v>U Tin Soe;09-791227699</v>
          </cell>
          <cell r="CB325" t="str">
            <v>28May15: C1 SAR Sub</v>
          </cell>
          <cell r="CC325" t="str">
            <v>Farmland</v>
          </cell>
          <cell r="CE325">
            <v>1</v>
          </cell>
          <cell r="CF325">
            <v>42157</v>
          </cell>
          <cell r="CG325">
            <v>42153</v>
          </cell>
          <cell r="CH325">
            <v>42165</v>
          </cell>
          <cell r="CJ325">
            <v>42196</v>
          </cell>
          <cell r="CK325" t="str">
            <v>35</v>
          </cell>
          <cell r="CL325" t="str">
            <v>37</v>
          </cell>
          <cell r="CM325" t="str">
            <v>45</v>
          </cell>
          <cell r="CN325">
            <v>45</v>
          </cell>
          <cell r="CO325">
            <v>42168</v>
          </cell>
          <cell r="CP325">
            <v>42198</v>
          </cell>
          <cell r="CQ325" t="str">
            <v>M1: grid power + battery</v>
          </cell>
          <cell r="CR325">
            <v>3</v>
          </cell>
          <cell r="CS325">
            <v>42169</v>
          </cell>
          <cell r="CT325">
            <v>42201</v>
          </cell>
          <cell r="CU325" t="str">
            <v>MG0326</v>
          </cell>
          <cell r="DH325">
            <v>32</v>
          </cell>
          <cell r="DI325">
            <v>42179</v>
          </cell>
          <cell r="DK325">
            <v>42176</v>
          </cell>
          <cell r="DL325">
            <v>42215</v>
          </cell>
          <cell r="DM325">
            <v>42180</v>
          </cell>
          <cell r="DO325">
            <v>0</v>
          </cell>
          <cell r="DP325">
            <v>42179</v>
          </cell>
          <cell r="DT325">
            <v>0</v>
          </cell>
          <cell r="DU325">
            <v>42194</v>
          </cell>
          <cell r="DW325">
            <v>0</v>
          </cell>
          <cell r="DY325">
            <v>42180</v>
          </cell>
          <cell r="DZ325">
            <v>42215</v>
          </cell>
          <cell r="EA325" t="str">
            <v>EDYCOM</v>
          </cell>
          <cell r="ED325" t="str">
            <v xml:space="preserve">26Aug15 :SiThu.Moe: Ready for TI. Network equipment installation is ongoing.
</v>
          </cell>
          <cell r="EJ325">
            <v>12</v>
          </cell>
          <cell r="EK325">
            <v>42197</v>
          </cell>
          <cell r="EL325">
            <v>42227</v>
          </cell>
          <cell r="EM325">
            <v>42198</v>
          </cell>
          <cell r="EN325">
            <v>42228</v>
          </cell>
          <cell r="EQ325">
            <v>42207</v>
          </cell>
          <cell r="ER325">
            <v>42237</v>
          </cell>
          <cell r="ES325">
            <v>42231</v>
          </cell>
          <cell r="ET325">
            <v>42237</v>
          </cell>
          <cell r="EU325">
            <v>42237</v>
          </cell>
          <cell r="EW325">
            <v>18</v>
          </cell>
          <cell r="EX325">
            <v>42215</v>
          </cell>
          <cell r="EZ325">
            <v>42217</v>
          </cell>
          <cell r="FA325">
            <v>42238</v>
          </cell>
          <cell r="FB325">
            <v>42219</v>
          </cell>
          <cell r="FC325">
            <v>42238</v>
          </cell>
          <cell r="FU325">
            <v>42221</v>
          </cell>
          <cell r="FW325">
            <v>42221</v>
          </cell>
          <cell r="FX325">
            <v>42238</v>
          </cell>
          <cell r="FY325" t="str">
            <v>RT</v>
          </cell>
          <cell r="FZ325">
            <v>42235</v>
          </cell>
          <cell r="GA325">
            <v>42238</v>
          </cell>
          <cell r="GB325">
            <v>42242</v>
          </cell>
          <cell r="GC325">
            <v>42242</v>
          </cell>
          <cell r="GD325">
            <v>42245</v>
          </cell>
          <cell r="GE325">
            <v>42245</v>
          </cell>
          <cell r="GF325">
            <v>42246</v>
          </cell>
          <cell r="GG325">
            <v>42246</v>
          </cell>
          <cell r="GH325">
            <v>42246</v>
          </cell>
          <cell r="GI325">
            <v>42104</v>
          </cell>
          <cell r="GJ325" t="str">
            <v>44-2015</v>
          </cell>
          <cell r="GK325">
            <v>42246</v>
          </cell>
          <cell r="GN325" t="str">
            <v>ERICSSON</v>
          </cell>
          <cell r="GS325" t="str">
            <v>4/4/4</v>
          </cell>
          <cell r="GU325" t="str">
            <v xml:space="preserve">		</v>
          </cell>
          <cell r="HD325">
            <v>1</v>
          </cell>
        </row>
        <row r="326">
          <cell r="A326" t="str">
            <v>MG0327</v>
          </cell>
          <cell r="B326" t="str">
            <v>ANMG_0110</v>
          </cell>
          <cell r="C326" t="str">
            <v>Apollo</v>
          </cell>
          <cell r="D326" t="str">
            <v>Adriaan Coetsee</v>
          </cell>
          <cell r="F326" t="str">
            <v>Mya Kyauk</v>
          </cell>
          <cell r="G326" t="str">
            <v>Si Thu Moe</v>
          </cell>
          <cell r="H326" t="str">
            <v>AMBER</v>
          </cell>
          <cell r="I326" t="str">
            <v>North</v>
          </cell>
          <cell r="J326" t="str">
            <v>94.713</v>
          </cell>
          <cell r="K326" t="str">
            <v>20.8519</v>
          </cell>
          <cell r="L326" t="str">
            <v>Rural</v>
          </cell>
          <cell r="M326" t="str">
            <v>Magway</v>
          </cell>
          <cell r="N326" t="str">
            <v>Seikphyu</v>
          </cell>
          <cell r="O326" t="str">
            <v>Seikphyu</v>
          </cell>
          <cell r="P326" t="str">
            <v>Magway</v>
          </cell>
          <cell r="Q326" t="str">
            <v>7</v>
          </cell>
          <cell r="R326" t="str">
            <v>Seikphyu</v>
          </cell>
          <cell r="S326" t="str">
            <v>138</v>
          </cell>
          <cell r="T326" t="str">
            <v>GSM+UMTS</v>
          </cell>
          <cell r="W326" t="str">
            <v>Ph2-Priority</v>
          </cell>
          <cell r="X326" t="str">
            <v>45</v>
          </cell>
          <cell r="Y326" t="str">
            <v>47</v>
          </cell>
          <cell r="Z326" t="str">
            <v>GBT</v>
          </cell>
          <cell r="AA326" t="str">
            <v>500</v>
          </cell>
          <cell r="AB326" t="str">
            <v>Access</v>
          </cell>
          <cell r="AC326" t="str">
            <v>Class C</v>
          </cell>
          <cell r="BE326" t="str">
            <v>Kyauktaw-Kyaukpadaung</v>
          </cell>
          <cell r="BH326" t="str">
            <v>Camusat</v>
          </cell>
          <cell r="BJ326">
            <v>42166</v>
          </cell>
          <cell r="BK326">
            <v>42144</v>
          </cell>
          <cell r="BL326">
            <v>42171</v>
          </cell>
          <cell r="BM326">
            <v>42151</v>
          </cell>
          <cell r="BT326">
            <v>17</v>
          </cell>
          <cell r="BU326">
            <v>42201</v>
          </cell>
          <cell r="BV326">
            <v>42161</v>
          </cell>
          <cell r="BW326" t="str">
            <v>94.712739</v>
          </cell>
          <cell r="BX326" t="str">
            <v>20.854456</v>
          </cell>
          <cell r="BY326" t="str">
            <v>C1</v>
          </cell>
          <cell r="BZ326" t="str">
            <v>Myin Kawa Village,Seik Phyu Township,Magway Division.</v>
          </cell>
          <cell r="CA326" t="str">
            <v>U HLA OO;Myin Ka Wa Village, Seik Phyu Township, Magway Division;09-5232997</v>
          </cell>
          <cell r="CB326" t="str">
            <v>6Jun15: C1 SAR Sub</v>
          </cell>
          <cell r="CE326">
            <v>2</v>
          </cell>
          <cell r="CF326">
            <v>42202</v>
          </cell>
          <cell r="CG326">
            <v>42163</v>
          </cell>
          <cell r="CH326">
            <v>42204</v>
          </cell>
          <cell r="CJ326">
            <v>42169</v>
          </cell>
          <cell r="CK326" t="str">
            <v>45</v>
          </cell>
          <cell r="CL326" t="str">
            <v>47</v>
          </cell>
          <cell r="CM326" t="str">
            <v>50</v>
          </cell>
          <cell r="CN326">
            <v>8</v>
          </cell>
          <cell r="CO326">
            <v>42207</v>
          </cell>
          <cell r="CP326">
            <v>42171</v>
          </cell>
          <cell r="CQ326" t="str">
            <v>M1: grid power + battery</v>
          </cell>
          <cell r="CR326">
            <v>1</v>
          </cell>
          <cell r="CS326">
            <v>42208</v>
          </cell>
          <cell r="CT326">
            <v>42172</v>
          </cell>
          <cell r="CU326" t="str">
            <v>MG0327</v>
          </cell>
          <cell r="DH326">
            <v>22</v>
          </cell>
          <cell r="DI326">
            <v>42218</v>
          </cell>
          <cell r="DJ326">
            <v>42194</v>
          </cell>
          <cell r="DK326">
            <v>42215</v>
          </cell>
          <cell r="DL326">
            <v>42175</v>
          </cell>
          <cell r="DM326">
            <v>42219</v>
          </cell>
          <cell r="DN326">
            <v>42191</v>
          </cell>
          <cell r="DO326">
            <v>0</v>
          </cell>
          <cell r="DP326">
            <v>42218</v>
          </cell>
          <cell r="DQ326">
            <v>42194</v>
          </cell>
          <cell r="DT326">
            <v>39</v>
          </cell>
          <cell r="DU326">
            <v>42233</v>
          </cell>
          <cell r="DW326">
            <v>0</v>
          </cell>
          <cell r="DY326">
            <v>42219</v>
          </cell>
          <cell r="DZ326">
            <v>42191</v>
          </cell>
          <cell r="EA326" t="str">
            <v>Camusat</v>
          </cell>
          <cell r="ED326" t="str">
            <v xml:space="preserve">17Aug15 :SiThu.Moe: 4/8/15:Excavation is ongoing. Tower materials are not at site. They not wear PPE and have not Emergency Contacts No.
</v>
          </cell>
          <cell r="EE326" t="str">
            <v xml:space="preserve">10 Aug 15:Rain affected_Progress affected; 3-Aug-15: Rain affected_ Site is progressing but rain is affecting the work every day. Excavation IP								</v>
          </cell>
          <cell r="EJ326">
            <v>42</v>
          </cell>
          <cell r="EK326">
            <v>42236</v>
          </cell>
          <cell r="EL326">
            <v>42247</v>
          </cell>
          <cell r="EM326">
            <v>42237</v>
          </cell>
          <cell r="EQ326">
            <v>42246</v>
          </cell>
          <cell r="EW326">
            <v>42</v>
          </cell>
          <cell r="EX326">
            <v>42260</v>
          </cell>
          <cell r="EZ326">
            <v>42256</v>
          </cell>
          <cell r="FB326">
            <v>42258</v>
          </cell>
          <cell r="FU326">
            <v>42260</v>
          </cell>
          <cell r="FW326">
            <v>42260</v>
          </cell>
          <cell r="GI326">
            <v>42307</v>
          </cell>
          <cell r="GJ326" t="str">
            <v>44-2015</v>
          </cell>
          <cell r="GN326" t="str">
            <v>ERICSSON</v>
          </cell>
          <cell r="GS326" t="str">
            <v>4/4/4</v>
          </cell>
          <cell r="GU326" t="str">
            <v xml:space="preserve">		</v>
          </cell>
          <cell r="HD326">
            <v>1</v>
          </cell>
        </row>
        <row r="327">
          <cell r="A327" t="str">
            <v>MG0328</v>
          </cell>
          <cell r="B327" t="str">
            <v>ANMG_0135</v>
          </cell>
          <cell r="C327" t="str">
            <v>Apollo</v>
          </cell>
          <cell r="D327" t="str">
            <v>Adriaan Coetsee</v>
          </cell>
          <cell r="F327" t="str">
            <v>Mya Kyauk</v>
          </cell>
          <cell r="G327" t="str">
            <v>Si Thu Moe</v>
          </cell>
          <cell r="H327" t="str">
            <v>RED</v>
          </cell>
          <cell r="I327" t="str">
            <v>North</v>
          </cell>
          <cell r="J327" t="str">
            <v>95.1739</v>
          </cell>
          <cell r="K327" t="str">
            <v>21.6902</v>
          </cell>
          <cell r="L327" t="str">
            <v>Rural</v>
          </cell>
          <cell r="M327" t="str">
            <v>Magway</v>
          </cell>
          <cell r="N327" t="str">
            <v>Yesagyo</v>
          </cell>
          <cell r="O327" t="str">
            <v>Yesagyo</v>
          </cell>
          <cell r="P327" t="str">
            <v>Magway</v>
          </cell>
          <cell r="Q327" t="str">
            <v>7</v>
          </cell>
          <cell r="R327" t="str">
            <v>Yesagyo</v>
          </cell>
          <cell r="S327" t="str">
            <v>135</v>
          </cell>
          <cell r="T327" t="str">
            <v>GSM+UMTS</v>
          </cell>
          <cell r="W327" t="str">
            <v>Ph2-Priority</v>
          </cell>
          <cell r="X327" t="str">
            <v>45</v>
          </cell>
          <cell r="Y327" t="str">
            <v>47</v>
          </cell>
          <cell r="Z327" t="str">
            <v>GBT</v>
          </cell>
          <cell r="AA327" t="str">
            <v>500</v>
          </cell>
          <cell r="AB327" t="str">
            <v>Access</v>
          </cell>
          <cell r="AC327" t="str">
            <v>Class C</v>
          </cell>
          <cell r="BE327" t="str">
            <v>Route 8 Mandalay - Magwe</v>
          </cell>
          <cell r="BH327" t="str">
            <v>Camusat</v>
          </cell>
          <cell r="BJ327">
            <v>42156</v>
          </cell>
          <cell r="BK327">
            <v>42171</v>
          </cell>
          <cell r="BL327">
            <v>42161</v>
          </cell>
          <cell r="BM327">
            <v>42178</v>
          </cell>
          <cell r="BT327">
            <v>30</v>
          </cell>
          <cell r="BU327">
            <v>42269</v>
          </cell>
          <cell r="BV327">
            <v>42201</v>
          </cell>
          <cell r="BW327" t="str">
            <v>95.171916</v>
          </cell>
          <cell r="BX327" t="str">
            <v>21.68899</v>
          </cell>
          <cell r="BY327" t="str">
            <v>C2</v>
          </cell>
          <cell r="CB327" t="str">
            <v>16 July 15: C2-SAR submission(C1 NOC issue and lessor no longer interested);8 Jul 15 : C1 TSSR app;29 Jun 15 : C1 SAR app</v>
          </cell>
          <cell r="CC327" t="str">
            <v>Village</v>
          </cell>
          <cell r="CE327">
            <v>4</v>
          </cell>
          <cell r="CF327">
            <v>42270</v>
          </cell>
          <cell r="CG327">
            <v>42205</v>
          </cell>
          <cell r="CH327">
            <v>42272</v>
          </cell>
          <cell r="CJ327">
            <v>42189</v>
          </cell>
          <cell r="CK327" t="str">
            <v>45</v>
          </cell>
          <cell r="CL327" t="str">
            <v>47</v>
          </cell>
          <cell r="CM327" t="str">
            <v>50</v>
          </cell>
          <cell r="CN327">
            <v>28</v>
          </cell>
          <cell r="CO327">
            <v>42275</v>
          </cell>
          <cell r="CQ327" t="str">
            <v>M1: grid power + battery</v>
          </cell>
          <cell r="CR327">
            <v>0</v>
          </cell>
          <cell r="CS327">
            <v>42276</v>
          </cell>
          <cell r="CU327" t="str">
            <v>MG0328</v>
          </cell>
          <cell r="DH327">
            <v>0</v>
          </cell>
          <cell r="DI327">
            <v>42286</v>
          </cell>
          <cell r="DK327">
            <v>42283</v>
          </cell>
          <cell r="DL327">
            <v>42198</v>
          </cell>
          <cell r="DM327">
            <v>42287</v>
          </cell>
          <cell r="DN327">
            <v>42198</v>
          </cell>
          <cell r="DO327">
            <v>0</v>
          </cell>
          <cell r="DP327">
            <v>42286</v>
          </cell>
          <cell r="DT327">
            <v>0</v>
          </cell>
          <cell r="DU327">
            <v>42301</v>
          </cell>
          <cell r="DW327">
            <v>0</v>
          </cell>
          <cell r="DY327">
            <v>42287</v>
          </cell>
          <cell r="EA327" t="str">
            <v>Camusat</v>
          </cell>
          <cell r="EJ327">
            <v>0</v>
          </cell>
          <cell r="EK327">
            <v>42304</v>
          </cell>
          <cell r="EM327">
            <v>42305</v>
          </cell>
          <cell r="EQ327">
            <v>42314</v>
          </cell>
          <cell r="EW327">
            <v>0</v>
          </cell>
          <cell r="EX327">
            <v>42316</v>
          </cell>
          <cell r="EZ327">
            <v>42324</v>
          </cell>
          <cell r="FB327">
            <v>42326</v>
          </cell>
          <cell r="FU327">
            <v>42328</v>
          </cell>
          <cell r="FW327">
            <v>42328</v>
          </cell>
          <cell r="GJ327">
            <v>0</v>
          </cell>
          <cell r="GN327" t="str">
            <v>ERICSSON</v>
          </cell>
          <cell r="GS327" t="str">
            <v>4/4/4</v>
          </cell>
          <cell r="GU327" t="str">
            <v xml:space="preserve">		</v>
          </cell>
          <cell r="HD327">
            <v>1</v>
          </cell>
        </row>
        <row r="328">
          <cell r="A328" t="str">
            <v>MG0329</v>
          </cell>
          <cell r="B328" t="str">
            <v>ANMG_0136</v>
          </cell>
          <cell r="C328" t="str">
            <v>Apollo</v>
          </cell>
          <cell r="D328" t="str">
            <v>Adriaan Coetsee</v>
          </cell>
          <cell r="F328" t="str">
            <v>Mya Kyauk</v>
          </cell>
          <cell r="G328" t="str">
            <v>Si Thu Moe</v>
          </cell>
          <cell r="H328" t="str">
            <v>RED</v>
          </cell>
          <cell r="I328" t="str">
            <v>North</v>
          </cell>
          <cell r="J328" t="str">
            <v>95.2042</v>
          </cell>
          <cell r="K328" t="str">
            <v>21.5391</v>
          </cell>
          <cell r="L328" t="str">
            <v>Rural</v>
          </cell>
          <cell r="M328" t="str">
            <v>Magway</v>
          </cell>
          <cell r="N328" t="str">
            <v>Yesagyo</v>
          </cell>
          <cell r="O328" t="str">
            <v>Yesagyo</v>
          </cell>
          <cell r="P328" t="str">
            <v>Magway</v>
          </cell>
          <cell r="Q328" t="str">
            <v>7</v>
          </cell>
          <cell r="R328" t="str">
            <v>Yesagyo</v>
          </cell>
          <cell r="S328" t="str">
            <v>135</v>
          </cell>
          <cell r="T328" t="str">
            <v>GSM+UMTS</v>
          </cell>
          <cell r="W328" t="str">
            <v>Ph2-Priority</v>
          </cell>
          <cell r="X328" t="str">
            <v>45</v>
          </cell>
          <cell r="Y328" t="str">
            <v>47</v>
          </cell>
          <cell r="Z328" t="str">
            <v>GBT</v>
          </cell>
          <cell r="AA328" t="str">
            <v>500</v>
          </cell>
          <cell r="AB328" t="str">
            <v>Access</v>
          </cell>
          <cell r="AC328" t="str">
            <v>Class C</v>
          </cell>
          <cell r="BE328" t="str">
            <v>Route 8 Mandalay - Magwe</v>
          </cell>
          <cell r="BH328" t="str">
            <v>Camusat</v>
          </cell>
          <cell r="BJ328">
            <v>42156</v>
          </cell>
          <cell r="BK328">
            <v>42169</v>
          </cell>
          <cell r="BL328">
            <v>42161</v>
          </cell>
          <cell r="BM328">
            <v>42172</v>
          </cell>
          <cell r="BT328">
            <v>10</v>
          </cell>
          <cell r="BU328">
            <v>42266</v>
          </cell>
          <cell r="BV328">
            <v>42179</v>
          </cell>
          <cell r="BW328" t="str">
            <v>95.20608</v>
          </cell>
          <cell r="BX328" t="str">
            <v>21.54205</v>
          </cell>
          <cell r="BY328" t="str">
            <v>C1</v>
          </cell>
          <cell r="BZ328" t="str">
            <v>MYOUT PYIN VILLAGE, PAKHAN GYI VILLAGE TRACK,YAY SA KYO TOWNSHIP, MAGWAY.</v>
          </cell>
          <cell r="CA328" t="str">
            <v>U THEIN WIN;925648429</v>
          </cell>
          <cell r="CB328" t="str">
            <v>3 Aug 15 : RND team request the 50 M Tower height for C2 SAR and Apollo need to check to get  CAA approval ;28 July 15:C2-SAR submission following new nominal; C1-original nominal location is airport area and not allowed to build a tower as per township leader, CAA - zero tower height;26 June 15:C1 SAR app; 24 June 15 : C1-SAR submission</v>
          </cell>
          <cell r="CC328" t="str">
            <v>UNSPECIFIED</v>
          </cell>
          <cell r="CE328">
            <v>2</v>
          </cell>
          <cell r="CF328">
            <v>42267</v>
          </cell>
          <cell r="CG328">
            <v>42181</v>
          </cell>
          <cell r="CH328">
            <v>42269</v>
          </cell>
          <cell r="CJ328">
            <v>42189</v>
          </cell>
          <cell r="CK328" t="str">
            <v>45</v>
          </cell>
          <cell r="CL328" t="str">
            <v>47</v>
          </cell>
          <cell r="CM328" t="str">
            <v>60</v>
          </cell>
          <cell r="CN328">
            <v>10</v>
          </cell>
          <cell r="CO328">
            <v>42272</v>
          </cell>
          <cell r="CP328">
            <v>42191</v>
          </cell>
          <cell r="CQ328" t="str">
            <v>M1: grid power + battery</v>
          </cell>
          <cell r="CR328">
            <v>4</v>
          </cell>
          <cell r="CS328">
            <v>42273</v>
          </cell>
          <cell r="CT328">
            <v>42195</v>
          </cell>
          <cell r="CU328" t="str">
            <v>MG0329</v>
          </cell>
          <cell r="DH328">
            <v>38</v>
          </cell>
          <cell r="DI328">
            <v>42283</v>
          </cell>
          <cell r="DK328">
            <v>42280</v>
          </cell>
          <cell r="DL328">
            <v>42201</v>
          </cell>
          <cell r="DM328">
            <v>42284</v>
          </cell>
          <cell r="DO328">
            <v>0</v>
          </cell>
          <cell r="DP328">
            <v>42283</v>
          </cell>
          <cell r="DT328">
            <v>0</v>
          </cell>
          <cell r="DU328">
            <v>42298</v>
          </cell>
          <cell r="DW328">
            <v>0</v>
          </cell>
          <cell r="DY328">
            <v>42284</v>
          </cell>
          <cell r="DZ328">
            <v>42241</v>
          </cell>
          <cell r="EA328" t="str">
            <v>Camusat</v>
          </cell>
          <cell r="EJ328">
            <v>0</v>
          </cell>
          <cell r="EK328">
            <v>42306</v>
          </cell>
          <cell r="EM328">
            <v>42307</v>
          </cell>
          <cell r="EQ328">
            <v>42319</v>
          </cell>
          <cell r="EW328">
            <v>0</v>
          </cell>
          <cell r="EX328">
            <v>42333</v>
          </cell>
          <cell r="EZ328">
            <v>42329</v>
          </cell>
          <cell r="FB328">
            <v>42331</v>
          </cell>
          <cell r="FU328">
            <v>42333</v>
          </cell>
          <cell r="FW328">
            <v>42333</v>
          </cell>
          <cell r="GI328">
            <v>42246</v>
          </cell>
          <cell r="GJ328">
            <v>0</v>
          </cell>
          <cell r="GN328" t="str">
            <v>ERICSSON</v>
          </cell>
          <cell r="HD328">
            <v>1</v>
          </cell>
        </row>
        <row r="329">
          <cell r="A329" t="str">
            <v>MG0330</v>
          </cell>
          <cell r="B329" t="str">
            <v>ANMG_0137</v>
          </cell>
          <cell r="C329" t="str">
            <v>Apollo</v>
          </cell>
          <cell r="D329" t="str">
            <v>Adriaan Coetsee</v>
          </cell>
          <cell r="F329" t="str">
            <v>Mya Kyauk</v>
          </cell>
          <cell r="G329" t="str">
            <v>Si Thu Moe</v>
          </cell>
          <cell r="H329" t="str">
            <v>AMBER</v>
          </cell>
          <cell r="I329" t="str">
            <v>North</v>
          </cell>
          <cell r="J329" t="str">
            <v>95.0224</v>
          </cell>
          <cell r="K329" t="str">
            <v>19.9498</v>
          </cell>
          <cell r="L329" t="str">
            <v>Rural</v>
          </cell>
          <cell r="M329" t="str">
            <v>Magway</v>
          </cell>
          <cell r="N329" t="str">
            <v>Minhla</v>
          </cell>
          <cell r="O329" t="str">
            <v>Minhla</v>
          </cell>
          <cell r="P329" t="str">
            <v>Magway</v>
          </cell>
          <cell r="Q329" t="str">
            <v>7</v>
          </cell>
          <cell r="R329" t="str">
            <v>Minhla</v>
          </cell>
          <cell r="S329" t="str">
            <v>129</v>
          </cell>
          <cell r="T329" t="str">
            <v>GSM+UMTS</v>
          </cell>
          <cell r="W329" t="str">
            <v>Ph2-Priority</v>
          </cell>
          <cell r="X329" t="str">
            <v>45</v>
          </cell>
          <cell r="Y329" t="str">
            <v>47</v>
          </cell>
          <cell r="Z329" t="str">
            <v>GBT</v>
          </cell>
          <cell r="AA329" t="str">
            <v>250</v>
          </cell>
          <cell r="AB329" t="str">
            <v>Access</v>
          </cell>
          <cell r="AC329" t="str">
            <v>Class C</v>
          </cell>
          <cell r="BE329" t="str">
            <v>Route 8 Mandalay - Magwe</v>
          </cell>
          <cell r="BH329" t="str">
            <v>IENG</v>
          </cell>
          <cell r="BJ329">
            <v>42116</v>
          </cell>
          <cell r="BK329">
            <v>42121</v>
          </cell>
          <cell r="BL329">
            <v>42121</v>
          </cell>
          <cell r="BM329">
            <v>42121</v>
          </cell>
          <cell r="BT329">
            <v>10</v>
          </cell>
          <cell r="BU329">
            <v>42134</v>
          </cell>
          <cell r="BV329">
            <v>42131</v>
          </cell>
          <cell r="BW329" t="str">
            <v>95.02045</v>
          </cell>
          <cell r="BX329" t="str">
            <v>19.94458</v>
          </cell>
          <cell r="BY329" t="str">
            <v>C1</v>
          </cell>
          <cell r="BZ329" t="str">
            <v>No(859),Pan Taw Pyin Village.North Pan Taw Pyin,Min Hla Township.</v>
          </cell>
          <cell r="CA329" t="str">
            <v>U Soe Moe Aung;Kwin No(859), Pan Taw Pyin Kwin, U Pang No, (5910), Pan Taw Pyin, Village, Min La Tsp;09792686712</v>
          </cell>
          <cell r="CB329" t="str">
            <v>7May15: C1 SAR Sub.</v>
          </cell>
          <cell r="CC329" t="str">
            <v>Farm Land</v>
          </cell>
          <cell r="CE329">
            <v>5</v>
          </cell>
          <cell r="CF329">
            <v>42135</v>
          </cell>
          <cell r="CG329">
            <v>42136</v>
          </cell>
          <cell r="CH329">
            <v>42163</v>
          </cell>
          <cell r="CJ329">
            <v>42150</v>
          </cell>
          <cell r="CK329" t="str">
            <v>45</v>
          </cell>
          <cell r="CL329" t="str">
            <v>47</v>
          </cell>
          <cell r="CM329" t="str">
            <v>60</v>
          </cell>
          <cell r="CN329">
            <v>16</v>
          </cell>
          <cell r="CO329">
            <v>42166</v>
          </cell>
          <cell r="CP329">
            <v>42152</v>
          </cell>
          <cell r="CQ329" t="str">
            <v>M1: grid power + battery</v>
          </cell>
          <cell r="CR329">
            <v>1</v>
          </cell>
          <cell r="CS329">
            <v>42167</v>
          </cell>
          <cell r="CT329">
            <v>42153</v>
          </cell>
          <cell r="CU329" t="str">
            <v>MG0330</v>
          </cell>
          <cell r="DH329">
            <v>80</v>
          </cell>
          <cell r="DI329">
            <v>42177</v>
          </cell>
          <cell r="DK329">
            <v>42174</v>
          </cell>
          <cell r="DL329">
            <v>42171</v>
          </cell>
          <cell r="DM329">
            <v>42178</v>
          </cell>
          <cell r="DN329">
            <v>42200</v>
          </cell>
          <cell r="DO329">
            <v>0</v>
          </cell>
          <cell r="DP329">
            <v>42177</v>
          </cell>
          <cell r="DT329">
            <v>0</v>
          </cell>
          <cell r="DU329">
            <v>42192</v>
          </cell>
          <cell r="DW329">
            <v>0</v>
          </cell>
          <cell r="DY329">
            <v>42178</v>
          </cell>
          <cell r="DZ329">
            <v>42200</v>
          </cell>
          <cell r="EA329" t="str">
            <v>IENG</v>
          </cell>
          <cell r="EB329">
            <v>42213</v>
          </cell>
          <cell r="EE329" t="str">
            <v xml:space="preserve">10 Aug 15:Flood affected_Hold-No access; 10-Aug-15:No activity due to flood,Villagers still cleaing the area.
28-Jul-15: Flooded access or site is flooded_ we canÆt proceed to this site								</v>
          </cell>
          <cell r="EJ329">
            <v>33</v>
          </cell>
          <cell r="EK329">
            <v>42200</v>
          </cell>
          <cell r="EL329">
            <v>42243</v>
          </cell>
          <cell r="EM329">
            <v>42201</v>
          </cell>
          <cell r="EN329">
            <v>42247</v>
          </cell>
          <cell r="EQ329">
            <v>42213</v>
          </cell>
          <cell r="ES329">
            <v>42248</v>
          </cell>
          <cell r="EW329">
            <v>33</v>
          </cell>
          <cell r="EX329">
            <v>42227</v>
          </cell>
          <cell r="EZ329">
            <v>42223</v>
          </cell>
          <cell r="FB329">
            <v>42225</v>
          </cell>
          <cell r="FU329">
            <v>42227</v>
          </cell>
          <cell r="FW329">
            <v>42227</v>
          </cell>
          <cell r="FY329" t="str">
            <v>CFVL</v>
          </cell>
          <cell r="GI329">
            <v>42174</v>
          </cell>
          <cell r="GJ329" t="str">
            <v>44-2015</v>
          </cell>
          <cell r="GN329" t="str">
            <v>ERICSSON</v>
          </cell>
          <cell r="HD329">
            <v>1</v>
          </cell>
        </row>
        <row r="330">
          <cell r="A330" t="str">
            <v>MG0332</v>
          </cell>
          <cell r="B330" t="str">
            <v>ANMG_0138</v>
          </cell>
          <cell r="C330" t="str">
            <v>Apollo</v>
          </cell>
          <cell r="D330" t="str">
            <v>Adriaan Coetsee</v>
          </cell>
          <cell r="F330" t="str">
            <v>Mya Kyauk</v>
          </cell>
          <cell r="G330" t="str">
            <v>Si Thu Moe</v>
          </cell>
          <cell r="H330" t="str">
            <v>AMBER</v>
          </cell>
          <cell r="I330" t="str">
            <v>North</v>
          </cell>
          <cell r="J330" t="str">
            <v>94.135</v>
          </cell>
          <cell r="K330" t="str">
            <v>21.4179</v>
          </cell>
          <cell r="L330" t="str">
            <v>Rural</v>
          </cell>
          <cell r="M330" t="str">
            <v>Magway</v>
          </cell>
          <cell r="N330" t="str">
            <v>Saw</v>
          </cell>
          <cell r="O330" t="str">
            <v>Saw</v>
          </cell>
          <cell r="P330" t="str">
            <v>Magway</v>
          </cell>
          <cell r="Q330" t="str">
            <v>7</v>
          </cell>
          <cell r="R330" t="str">
            <v>Saw</v>
          </cell>
          <cell r="S330" t="str">
            <v>141</v>
          </cell>
          <cell r="T330" t="str">
            <v>GSM+UMTS</v>
          </cell>
          <cell r="W330" t="str">
            <v>Ph2-Priority</v>
          </cell>
          <cell r="X330" t="str">
            <v>45</v>
          </cell>
          <cell r="Y330" t="str">
            <v>45</v>
          </cell>
          <cell r="Z330" t="str">
            <v>GBT</v>
          </cell>
          <cell r="AA330" t="str">
            <v>250</v>
          </cell>
          <cell r="AB330" t="str">
            <v>Access</v>
          </cell>
          <cell r="AC330" t="str">
            <v>Class C</v>
          </cell>
          <cell r="BE330" t="str">
            <v>Route 8 Mandalay - Magwe</v>
          </cell>
          <cell r="BH330" t="str">
            <v>Camusat</v>
          </cell>
          <cell r="BJ330">
            <v>42166</v>
          </cell>
          <cell r="BK330">
            <v>42130</v>
          </cell>
          <cell r="BL330">
            <v>42171</v>
          </cell>
          <cell r="BM330">
            <v>42163</v>
          </cell>
          <cell r="BT330">
            <v>43</v>
          </cell>
          <cell r="BU330">
            <v>42218</v>
          </cell>
          <cell r="BV330">
            <v>42173</v>
          </cell>
          <cell r="BW330" t="str">
            <v>94.133409</v>
          </cell>
          <cell r="BX330" t="str">
            <v>21.41652</v>
          </cell>
          <cell r="BY330" t="str">
            <v>C1</v>
          </cell>
          <cell r="BZ330" t="str">
            <v>No (221), Yaw Mingyi Street, Gon Bo Ward, Kyout Htu Township, Gant Gaw District, Magway Division</v>
          </cell>
          <cell r="CA330" t="str">
            <v>Daw Aye Kyi</v>
          </cell>
          <cell r="CB330" t="str">
            <v>30 July 15 : C1 TSSR approved with 30 M Guyed Mast Tower ;29 July 15 : C1-TSSR submission (Affected with civil aviation with tower height only of 29m approved);19 Jun 15 : C1 SAR app;18Jun15: C1 SAR Sub</v>
          </cell>
          <cell r="CC330" t="str">
            <v>Village</v>
          </cell>
          <cell r="CE330">
            <v>1</v>
          </cell>
          <cell r="CF330">
            <v>42219</v>
          </cell>
          <cell r="CG330">
            <v>42174</v>
          </cell>
          <cell r="CH330">
            <v>42221</v>
          </cell>
          <cell r="CJ330">
            <v>42212</v>
          </cell>
          <cell r="CK330" t="str">
            <v>28</v>
          </cell>
          <cell r="CL330" t="str">
            <v>30</v>
          </cell>
          <cell r="CM330" t="str">
            <v>30</v>
          </cell>
          <cell r="CN330">
            <v>40</v>
          </cell>
          <cell r="CO330">
            <v>42224</v>
          </cell>
          <cell r="CP330">
            <v>42214</v>
          </cell>
          <cell r="CQ330" t="str">
            <v>M1: grid power + battery</v>
          </cell>
          <cell r="CR330">
            <v>1</v>
          </cell>
          <cell r="CS330">
            <v>42225</v>
          </cell>
          <cell r="CT330">
            <v>42215</v>
          </cell>
          <cell r="CU330" t="str">
            <v>MG0332</v>
          </cell>
          <cell r="DH330">
            <v>18</v>
          </cell>
          <cell r="DI330">
            <v>42235</v>
          </cell>
          <cell r="DK330">
            <v>42232</v>
          </cell>
          <cell r="DL330">
            <v>42242</v>
          </cell>
          <cell r="DM330">
            <v>42236</v>
          </cell>
          <cell r="DO330">
            <v>0</v>
          </cell>
          <cell r="DP330">
            <v>42235</v>
          </cell>
          <cell r="DT330">
            <v>0</v>
          </cell>
          <cell r="DU330">
            <v>42250</v>
          </cell>
          <cell r="DW330">
            <v>0</v>
          </cell>
          <cell r="DY330">
            <v>42236</v>
          </cell>
          <cell r="DZ330">
            <v>42231</v>
          </cell>
          <cell r="EA330" t="str">
            <v>Edycom</v>
          </cell>
          <cell r="EJ330">
            <v>2</v>
          </cell>
          <cell r="EK330">
            <v>42253</v>
          </cell>
          <cell r="EM330">
            <v>42254</v>
          </cell>
          <cell r="EN330">
            <v>42248</v>
          </cell>
          <cell r="EQ330">
            <v>42263</v>
          </cell>
          <cell r="EW330">
            <v>2</v>
          </cell>
          <cell r="EX330">
            <v>42225</v>
          </cell>
          <cell r="EZ330">
            <v>42273</v>
          </cell>
          <cell r="FB330">
            <v>42275</v>
          </cell>
          <cell r="FU330">
            <v>42277</v>
          </cell>
          <cell r="FW330">
            <v>42277</v>
          </cell>
          <cell r="FY330" t="str">
            <v>CFVL</v>
          </cell>
          <cell r="GI330">
            <v>42246</v>
          </cell>
          <cell r="GJ330">
            <v>0</v>
          </cell>
          <cell r="GN330" t="str">
            <v>ERICSSON</v>
          </cell>
          <cell r="HD330">
            <v>1</v>
          </cell>
        </row>
        <row r="331">
          <cell r="A331" t="str">
            <v>MG0333</v>
          </cell>
          <cell r="B331" t="str">
            <v>ANMG_0139</v>
          </cell>
          <cell r="C331" t="str">
            <v>Apollo</v>
          </cell>
          <cell r="D331" t="str">
            <v>Adriaan Coetsee</v>
          </cell>
          <cell r="F331" t="str">
            <v>Mya Kyauk</v>
          </cell>
          <cell r="G331" t="str">
            <v>Si Thu Moe</v>
          </cell>
          <cell r="H331" t="str">
            <v>AMBER</v>
          </cell>
          <cell r="I331" t="str">
            <v>North</v>
          </cell>
          <cell r="J331" t="str">
            <v>94.1522</v>
          </cell>
          <cell r="K331" t="str">
            <v>21.1564</v>
          </cell>
          <cell r="L331" t="str">
            <v>Rural</v>
          </cell>
          <cell r="M331" t="str">
            <v>Magway</v>
          </cell>
          <cell r="N331" t="str">
            <v>Saw</v>
          </cell>
          <cell r="O331" t="str">
            <v>Saw</v>
          </cell>
          <cell r="P331" t="str">
            <v>Magway</v>
          </cell>
          <cell r="Q331" t="str">
            <v>7</v>
          </cell>
          <cell r="R331" t="str">
            <v>Saw</v>
          </cell>
          <cell r="S331" t="str">
            <v>141</v>
          </cell>
          <cell r="T331" t="str">
            <v>GSM+UMTS</v>
          </cell>
          <cell r="W331" t="str">
            <v>Ph2-Priority</v>
          </cell>
          <cell r="X331" t="str">
            <v>45</v>
          </cell>
          <cell r="Y331" t="str">
            <v>47</v>
          </cell>
          <cell r="Z331" t="str">
            <v>GBT</v>
          </cell>
          <cell r="AA331" t="str">
            <v>500</v>
          </cell>
          <cell r="AB331" t="str">
            <v>Access</v>
          </cell>
          <cell r="AC331" t="str">
            <v>Class C</v>
          </cell>
          <cell r="BE331" t="str">
            <v>Kyauktaw-Kyaukpadaung</v>
          </cell>
          <cell r="BH331" t="str">
            <v>IENG</v>
          </cell>
          <cell r="BJ331">
            <v>42133</v>
          </cell>
          <cell r="BK331">
            <v>42121</v>
          </cell>
          <cell r="BL331">
            <v>42138</v>
          </cell>
          <cell r="BM331">
            <v>42141</v>
          </cell>
          <cell r="BT331">
            <v>56</v>
          </cell>
          <cell r="BU331">
            <v>42166</v>
          </cell>
          <cell r="BV331">
            <v>42177</v>
          </cell>
          <cell r="BW331" t="str">
            <v>94.15385</v>
          </cell>
          <cell r="BX331" t="str">
            <v>21.15715</v>
          </cell>
          <cell r="BY331" t="str">
            <v>C2</v>
          </cell>
          <cell r="BZ331" t="str">
            <v>Say Yone Street,Bo gyoke Main Road,Saw city,Mgway division.</v>
          </cell>
          <cell r="CA331" t="str">
            <v>Badana U Nyan Nain Da;Say Yone Street,Bo gyoke Main Road,Saw city,Mgway division;09/257047655/09256482481</v>
          </cell>
          <cell r="CB331" t="str">
            <v>24 June 15 : C2 SAR approved as an option2  (TND Approved with MG0333_R1(21.121515,94.166379), 40m);23Jun15 :Honey.oo: 22 Jun 15 : C2 SAR sub(  C1- rejected since it falls on religious land and NOC issue); prev C2 SAR app 28 May 15; 27May15: C1 SAR Sub</v>
          </cell>
          <cell r="CE331">
            <v>2</v>
          </cell>
          <cell r="CF331">
            <v>42167</v>
          </cell>
          <cell r="CG331">
            <v>42179</v>
          </cell>
          <cell r="CH331">
            <v>42169</v>
          </cell>
          <cell r="CJ331">
            <v>42186</v>
          </cell>
          <cell r="CK331" t="str">
            <v>45</v>
          </cell>
          <cell r="CL331" t="str">
            <v>47</v>
          </cell>
          <cell r="CM331" t="str">
            <v>60</v>
          </cell>
          <cell r="CN331">
            <v>9</v>
          </cell>
          <cell r="CO331">
            <v>42172</v>
          </cell>
          <cell r="CP331">
            <v>42188</v>
          </cell>
          <cell r="CQ331" t="str">
            <v>M4: solar + DG + battery</v>
          </cell>
          <cell r="CR331">
            <v>4</v>
          </cell>
          <cell r="CS331">
            <v>42173</v>
          </cell>
          <cell r="CT331">
            <v>42192</v>
          </cell>
          <cell r="CU331" t="str">
            <v>MG0333</v>
          </cell>
          <cell r="DH331">
            <v>41</v>
          </cell>
          <cell r="DI331">
            <v>42183</v>
          </cell>
          <cell r="DJ331">
            <v>42178</v>
          </cell>
          <cell r="DK331">
            <v>42180</v>
          </cell>
          <cell r="DL331">
            <v>42192</v>
          </cell>
          <cell r="DM331">
            <v>42184</v>
          </cell>
          <cell r="DN331">
            <v>42182</v>
          </cell>
          <cell r="DO331">
            <v>0</v>
          </cell>
          <cell r="DP331">
            <v>42183</v>
          </cell>
          <cell r="DQ331">
            <v>42178</v>
          </cell>
          <cell r="DT331">
            <v>0</v>
          </cell>
          <cell r="DU331">
            <v>42198</v>
          </cell>
          <cell r="DV331">
            <v>42199</v>
          </cell>
          <cell r="DW331">
            <v>0</v>
          </cell>
          <cell r="DY331">
            <v>42184</v>
          </cell>
          <cell r="DZ331">
            <v>42203</v>
          </cell>
          <cell r="EA331" t="str">
            <v>EDYCOM</v>
          </cell>
          <cell r="EB331">
            <v>42208</v>
          </cell>
          <cell r="EE331" t="str">
            <v xml:space="preserve">10 Aug 15:Flood affected_Hold-No access; 23-Jul-15: Flooded access or site is flooded_ Tower materials got stock on road(Myin chan town.								</v>
          </cell>
          <cell r="EJ331">
            <v>30</v>
          </cell>
          <cell r="EK331">
            <v>42206</v>
          </cell>
          <cell r="EL331">
            <v>42226</v>
          </cell>
          <cell r="EM331">
            <v>42207</v>
          </cell>
          <cell r="EN331">
            <v>42248</v>
          </cell>
          <cell r="EQ331">
            <v>42219</v>
          </cell>
          <cell r="EW331">
            <v>30</v>
          </cell>
          <cell r="EX331">
            <v>42233</v>
          </cell>
          <cell r="EZ331">
            <v>42229</v>
          </cell>
          <cell r="FB331">
            <v>42231</v>
          </cell>
          <cell r="FU331">
            <v>42233</v>
          </cell>
          <cell r="FW331">
            <v>42233</v>
          </cell>
          <cell r="FY331" t="str">
            <v>CFVL</v>
          </cell>
          <cell r="GF331">
            <v>42170</v>
          </cell>
          <cell r="GI331">
            <v>42307</v>
          </cell>
          <cell r="GJ331" t="str">
            <v>44-2015</v>
          </cell>
          <cell r="GN331" t="str">
            <v>ERICSSON</v>
          </cell>
          <cell r="HD331">
            <v>1</v>
          </cell>
        </row>
        <row r="332">
          <cell r="A332" t="str">
            <v>MG0334</v>
          </cell>
          <cell r="B332" t="str">
            <v>ANMG_0111</v>
          </cell>
          <cell r="C332" t="str">
            <v>Apollo</v>
          </cell>
          <cell r="D332" t="str">
            <v>Adriaan Coetsee</v>
          </cell>
          <cell r="F332" t="str">
            <v>Mya Kyauk</v>
          </cell>
          <cell r="G332" t="str">
            <v>Si Thu Moe</v>
          </cell>
          <cell r="H332" t="str">
            <v>AMBER</v>
          </cell>
          <cell r="I332" t="str">
            <v>North</v>
          </cell>
          <cell r="J332" t="str">
            <v>94.8063</v>
          </cell>
          <cell r="K332" t="str">
            <v>20.8789</v>
          </cell>
          <cell r="L332" t="str">
            <v>SubUrban</v>
          </cell>
          <cell r="M332" t="str">
            <v>Magway</v>
          </cell>
          <cell r="N332" t="str">
            <v>Chauk</v>
          </cell>
          <cell r="O332" t="str">
            <v>Chauk</v>
          </cell>
          <cell r="P332" t="str">
            <v>Magway</v>
          </cell>
          <cell r="Q332" t="str">
            <v>7</v>
          </cell>
          <cell r="R332" t="str">
            <v>Chauk</v>
          </cell>
          <cell r="S332" t="str">
            <v>119</v>
          </cell>
          <cell r="T332" t="str">
            <v>GSM+UMTS</v>
          </cell>
          <cell r="W332" t="str">
            <v>Ph2-Priority</v>
          </cell>
          <cell r="X332" t="str">
            <v>35</v>
          </cell>
          <cell r="Y332" t="str">
            <v>37</v>
          </cell>
          <cell r="Z332" t="str">
            <v>GBT</v>
          </cell>
          <cell r="AA332" t="str">
            <v>250</v>
          </cell>
          <cell r="AB332" t="str">
            <v>Access</v>
          </cell>
          <cell r="AC332" t="str">
            <v>Class B</v>
          </cell>
          <cell r="BE332" t="str">
            <v>Kyauktaw-Kyaukpadaung</v>
          </cell>
          <cell r="BH332" t="str">
            <v>Camusat</v>
          </cell>
          <cell r="BJ332">
            <v>42166</v>
          </cell>
          <cell r="BK332">
            <v>42158</v>
          </cell>
          <cell r="BL332">
            <v>42171</v>
          </cell>
          <cell r="BM332">
            <v>42165</v>
          </cell>
          <cell r="BT332">
            <v>26</v>
          </cell>
          <cell r="BU332">
            <v>42231</v>
          </cell>
          <cell r="BV332">
            <v>42184</v>
          </cell>
          <cell r="BW332" t="str">
            <v>94.798188</v>
          </cell>
          <cell r="BX332" t="str">
            <v>20.870998</v>
          </cell>
          <cell r="BY332" t="str">
            <v>C1</v>
          </cell>
          <cell r="BZ332" t="str">
            <v>Zee Cho Pin (River) Village, Yay Twin Village Track, Chouk Township, Magway Division.</v>
          </cell>
          <cell r="CA332" t="str">
            <v>U Zaw Lin</v>
          </cell>
          <cell r="CB332" t="str">
            <v>30 June 15 : C1 SAR recondsider and  approved again as an option 1 earlier rejected( First RND rejected this candidate because it is 1.22km far from the nominal. As per Tower co justification we are reconsider and approved with 35m/37m GBT.) ;29 June 15 :  23 June 15: C1 SAR rejected(RND rejected this candidate because it is 1.22km far from the nominal. Suggest to find the candidate within search ring.);20Jun15: C1 SAR Sub</v>
          </cell>
          <cell r="CC332" t="str">
            <v>VILLAGE</v>
          </cell>
          <cell r="CE332">
            <v>1</v>
          </cell>
          <cell r="CF332">
            <v>42232</v>
          </cell>
          <cell r="CG332">
            <v>42185</v>
          </cell>
          <cell r="CH332">
            <v>42234</v>
          </cell>
          <cell r="CJ332">
            <v>42200</v>
          </cell>
          <cell r="CK332" t="str">
            <v>35</v>
          </cell>
          <cell r="CL332" t="str">
            <v>37</v>
          </cell>
          <cell r="CM332" t="str">
            <v>40</v>
          </cell>
          <cell r="CN332">
            <v>17</v>
          </cell>
          <cell r="CO332">
            <v>42237</v>
          </cell>
          <cell r="CP332">
            <v>42202</v>
          </cell>
          <cell r="CQ332" t="str">
            <v>M1: grid power + battery</v>
          </cell>
          <cell r="CR332">
            <v>4</v>
          </cell>
          <cell r="CS332">
            <v>42238</v>
          </cell>
          <cell r="CT332">
            <v>42206</v>
          </cell>
          <cell r="CU332" t="str">
            <v>MG0334</v>
          </cell>
          <cell r="DH332">
            <v>27</v>
          </cell>
          <cell r="DI332">
            <v>42248</v>
          </cell>
          <cell r="DJ332">
            <v>42172</v>
          </cell>
          <cell r="DK332">
            <v>42245</v>
          </cell>
          <cell r="DL332">
            <v>42208</v>
          </cell>
          <cell r="DM332">
            <v>42249</v>
          </cell>
          <cell r="DN332">
            <v>42226</v>
          </cell>
          <cell r="DO332">
            <v>0</v>
          </cell>
          <cell r="DP332">
            <v>42248</v>
          </cell>
          <cell r="DQ332">
            <v>42172</v>
          </cell>
          <cell r="DT332">
            <v>0</v>
          </cell>
          <cell r="DU332">
            <v>42263</v>
          </cell>
          <cell r="DW332">
            <v>0</v>
          </cell>
          <cell r="DY332">
            <v>42249</v>
          </cell>
          <cell r="DZ332">
            <v>42226</v>
          </cell>
          <cell r="EA332" t="str">
            <v>Camusat</v>
          </cell>
          <cell r="ED332" t="str">
            <v xml:space="preserve">06Jul15 :SiThu.Moe: Tower foundation is done.Tower materials are not at site.Equipment slab are not yet.
</v>
          </cell>
          <cell r="EI332" t="str">
            <v>M5: grid power + DG + battery      </v>
          </cell>
          <cell r="EJ332">
            <v>7</v>
          </cell>
          <cell r="EK332">
            <v>42264</v>
          </cell>
          <cell r="EL332">
            <v>42241</v>
          </cell>
          <cell r="EM332">
            <v>42265</v>
          </cell>
          <cell r="EN332">
            <v>42247</v>
          </cell>
          <cell r="EQ332">
            <v>42272</v>
          </cell>
          <cell r="ER332">
            <v>42250</v>
          </cell>
          <cell r="ES332">
            <v>42192</v>
          </cell>
          <cell r="ET332">
            <v>42202</v>
          </cell>
          <cell r="EU332">
            <v>42202</v>
          </cell>
          <cell r="EW332">
            <v>7</v>
          </cell>
          <cell r="EX332">
            <v>42250</v>
          </cell>
          <cell r="EZ332">
            <v>42282</v>
          </cell>
          <cell r="FA332">
            <v>42201</v>
          </cell>
          <cell r="FB332">
            <v>42284</v>
          </cell>
          <cell r="FC332">
            <v>42202</v>
          </cell>
          <cell r="FU332">
            <v>42286</v>
          </cell>
          <cell r="FV332">
            <v>42206</v>
          </cell>
          <cell r="FW332">
            <v>42286</v>
          </cell>
          <cell r="FX332">
            <v>42202</v>
          </cell>
          <cell r="FY332" t="str">
            <v>CFVL</v>
          </cell>
          <cell r="FZ332">
            <v>42199</v>
          </cell>
          <cell r="GA332">
            <v>42203</v>
          </cell>
          <cell r="GB332">
            <v>42205</v>
          </cell>
          <cell r="GC332">
            <v>42206</v>
          </cell>
          <cell r="GD332">
            <v>42207</v>
          </cell>
          <cell r="GE332">
            <v>42208</v>
          </cell>
          <cell r="GF332">
            <v>42087</v>
          </cell>
          <cell r="GG332">
            <v>42208</v>
          </cell>
          <cell r="GH332">
            <v>42208</v>
          </cell>
          <cell r="GI332">
            <v>42246</v>
          </cell>
          <cell r="GJ332">
            <v>0</v>
          </cell>
          <cell r="GK332">
            <v>42208</v>
          </cell>
          <cell r="GN332" t="str">
            <v>ERICSSON</v>
          </cell>
          <cell r="GP332">
            <v>42178</v>
          </cell>
          <cell r="HD332">
            <v>1</v>
          </cell>
        </row>
        <row r="333">
          <cell r="A333" t="str">
            <v>MG0337</v>
          </cell>
          <cell r="B333" t="str">
            <v>ANMG_0113</v>
          </cell>
          <cell r="C333" t="str">
            <v>Apollo</v>
          </cell>
          <cell r="D333" t="str">
            <v>Adriaan Coetsee</v>
          </cell>
          <cell r="F333" t="str">
            <v>Mya Kyauk</v>
          </cell>
          <cell r="G333" t="str">
            <v>Si Thu Moe</v>
          </cell>
          <cell r="H333" t="str">
            <v>YELLOW</v>
          </cell>
          <cell r="I333" t="str">
            <v>North</v>
          </cell>
          <cell r="J333" t="str">
            <v>94.741</v>
          </cell>
          <cell r="K333" t="str">
            <v>20.2184</v>
          </cell>
          <cell r="L333" t="str">
            <v>Rural</v>
          </cell>
          <cell r="M333" t="str">
            <v>Magway</v>
          </cell>
          <cell r="N333" t="str">
            <v>Minbu</v>
          </cell>
          <cell r="O333" t="str">
            <v>Minbu</v>
          </cell>
          <cell r="P333" t="str">
            <v>Magway</v>
          </cell>
          <cell r="Q333" t="str">
            <v>7</v>
          </cell>
          <cell r="R333" t="str">
            <v>Minbu</v>
          </cell>
          <cell r="S333" t="str">
            <v>123</v>
          </cell>
          <cell r="T333" t="str">
            <v>GSM+UMTS</v>
          </cell>
          <cell r="W333" t="str">
            <v>Ph2-Priority</v>
          </cell>
          <cell r="X333" t="str">
            <v>45</v>
          </cell>
          <cell r="Y333" t="str">
            <v>47</v>
          </cell>
          <cell r="Z333" t="str">
            <v>GBT</v>
          </cell>
          <cell r="AA333" t="str">
            <v>500</v>
          </cell>
          <cell r="AB333" t="str">
            <v>Access</v>
          </cell>
          <cell r="AC333" t="str">
            <v>Class C</v>
          </cell>
          <cell r="BE333" t="str">
            <v>Route 8 Mandalay - Magwe</v>
          </cell>
          <cell r="BH333" t="str">
            <v>KTT</v>
          </cell>
          <cell r="BJ333">
            <v>42117</v>
          </cell>
          <cell r="BK333">
            <v>42121</v>
          </cell>
          <cell r="BL333">
            <v>42122</v>
          </cell>
          <cell r="BM333">
            <v>42122</v>
          </cell>
          <cell r="BT333">
            <v>11</v>
          </cell>
          <cell r="BU333">
            <v>42139</v>
          </cell>
          <cell r="BV333">
            <v>42132</v>
          </cell>
          <cell r="BW333" t="str">
            <v>94.74058</v>
          </cell>
          <cell r="BX333" t="str">
            <v>20.21797</v>
          </cell>
          <cell r="BY333" t="str">
            <v>C1</v>
          </cell>
          <cell r="BZ333" t="str">
            <v>No(14),Latt Khauk Pin Main Road, Latt Khauk Pin Village, Ywar Lae Lan Ma Gyi,Sa Gu Township.</v>
          </cell>
          <cell r="CA333" t="str">
            <v>U Mya Than;No(41),Lat Khope Pin Village, Ywar Lae Lan Ma Gyi,Saku,Minbu Township.</v>
          </cell>
          <cell r="CB333" t="str">
            <v>12 May 15: C1 SAR approved as an option 1 and C2 SAR approved as an option2;11May15: C2 SAR Sub as redundancy. 8May15: C1 SAR Sub</v>
          </cell>
          <cell r="CC333" t="str">
            <v>Garden Land</v>
          </cell>
          <cell r="CE333">
            <v>4</v>
          </cell>
          <cell r="CF333">
            <v>42140</v>
          </cell>
          <cell r="CG333">
            <v>42136</v>
          </cell>
          <cell r="CH333">
            <v>42158</v>
          </cell>
          <cell r="CJ333">
            <v>42148</v>
          </cell>
          <cell r="CK333" t="str">
            <v>45</v>
          </cell>
          <cell r="CL333" t="str">
            <v>47</v>
          </cell>
          <cell r="CM333" t="str">
            <v>50</v>
          </cell>
          <cell r="CN333">
            <v>14</v>
          </cell>
          <cell r="CO333">
            <v>42161</v>
          </cell>
          <cell r="CP333">
            <v>42150</v>
          </cell>
          <cell r="CQ333" t="str">
            <v>M1: grid power + battery</v>
          </cell>
          <cell r="CR333">
            <v>2</v>
          </cell>
          <cell r="CS333">
            <v>42162</v>
          </cell>
          <cell r="CT333">
            <v>42152</v>
          </cell>
          <cell r="CU333" t="str">
            <v>MG0337</v>
          </cell>
          <cell r="DH333">
            <v>27</v>
          </cell>
          <cell r="DI333">
            <v>42159</v>
          </cell>
          <cell r="DJ333">
            <v>42179</v>
          </cell>
          <cell r="DK333">
            <v>42156</v>
          </cell>
          <cell r="DL333">
            <v>42163</v>
          </cell>
          <cell r="DM333">
            <v>42160</v>
          </cell>
          <cell r="DN333">
            <v>42166</v>
          </cell>
          <cell r="DO333">
            <v>0</v>
          </cell>
          <cell r="DP333">
            <v>42159</v>
          </cell>
          <cell r="DQ333">
            <v>42179</v>
          </cell>
          <cell r="DT333">
            <v>54</v>
          </cell>
          <cell r="DU333">
            <v>42174</v>
          </cell>
          <cell r="DW333">
            <v>0</v>
          </cell>
          <cell r="DY333">
            <v>42160</v>
          </cell>
          <cell r="DZ333">
            <v>42166</v>
          </cell>
          <cell r="EA333" t="str">
            <v>Camusat</v>
          </cell>
          <cell r="ED333" t="str">
            <v>12Jul15 :SiThu.Moe: Tower foundation is done.Tower materials are not at site.Backfilling is ongoing.
01Jul15 :SiThu.Moe: Excavation is done.Nobody at site.</v>
          </cell>
          <cell r="EE333" t="str">
            <v xml:space="preserve">10 Aug 15:Rain affected_Progress affected; 4-Aug-15: Awaiting tower EDA 8/15.  Tower foundation casted. Equipment Slab IP								</v>
          </cell>
          <cell r="EJ333">
            <v>32</v>
          </cell>
          <cell r="EK333">
            <v>42177</v>
          </cell>
          <cell r="EL333">
            <v>42198</v>
          </cell>
          <cell r="EM333">
            <v>42178</v>
          </cell>
          <cell r="EN333">
            <v>42241</v>
          </cell>
          <cell r="EQ333">
            <v>42187</v>
          </cell>
          <cell r="ER333">
            <v>42250</v>
          </cell>
          <cell r="ES333">
            <v>42242</v>
          </cell>
          <cell r="ET333">
            <v>42250</v>
          </cell>
          <cell r="EU333">
            <v>42250</v>
          </cell>
          <cell r="EW333">
            <v>67</v>
          </cell>
          <cell r="EX333">
            <v>42201</v>
          </cell>
          <cell r="EZ333">
            <v>42197</v>
          </cell>
          <cell r="FA333">
            <v>42245</v>
          </cell>
          <cell r="FB333">
            <v>42199</v>
          </cell>
          <cell r="FC333">
            <v>42245</v>
          </cell>
          <cell r="FU333">
            <v>42201</v>
          </cell>
          <cell r="FW333">
            <v>42201</v>
          </cell>
          <cell r="FX333">
            <v>42250</v>
          </cell>
          <cell r="FY333" t="str">
            <v>AZM</v>
          </cell>
          <cell r="FZ333">
            <v>42245</v>
          </cell>
          <cell r="GA333">
            <v>42250</v>
          </cell>
          <cell r="GB333">
            <v>42230</v>
          </cell>
          <cell r="GC333">
            <v>42230</v>
          </cell>
          <cell r="GD333">
            <v>42230</v>
          </cell>
          <cell r="GE333">
            <v>42232</v>
          </cell>
          <cell r="GF333">
            <v>42232</v>
          </cell>
          <cell r="GG333">
            <v>42232</v>
          </cell>
          <cell r="GH333">
            <v>42232</v>
          </cell>
          <cell r="GI333">
            <v>42246</v>
          </cell>
          <cell r="GJ333" t="str">
            <v>36-2015</v>
          </cell>
          <cell r="GK333">
            <v>42232</v>
          </cell>
          <cell r="GN333" t="str">
            <v>ERICSSON</v>
          </cell>
          <cell r="GO333">
            <v>42136</v>
          </cell>
          <cell r="GP333">
            <v>42193</v>
          </cell>
          <cell r="GS333" t="str">
            <v>4/4/4</v>
          </cell>
          <cell r="GU333" t="str">
            <v xml:space="preserve">		</v>
          </cell>
          <cell r="HD333">
            <v>1</v>
          </cell>
        </row>
        <row r="334">
          <cell r="A334" t="str">
            <v>MG0338</v>
          </cell>
          <cell r="B334" t="str">
            <v>ANMG_0140</v>
          </cell>
          <cell r="C334" t="str">
            <v>Apollo</v>
          </cell>
          <cell r="D334" t="str">
            <v>Adriaan Coetsee</v>
          </cell>
          <cell r="F334" t="str">
            <v>Mya Kyauk</v>
          </cell>
          <cell r="G334" t="str">
            <v>Si Thu Moe</v>
          </cell>
          <cell r="H334" t="str">
            <v>AMBER</v>
          </cell>
          <cell r="I334" t="str">
            <v>North</v>
          </cell>
          <cell r="J334" t="str">
            <v>94.7739</v>
          </cell>
          <cell r="K334" t="str">
            <v>20.2302</v>
          </cell>
          <cell r="L334" t="str">
            <v>SubUrban</v>
          </cell>
          <cell r="M334" t="str">
            <v>Magway</v>
          </cell>
          <cell r="N334" t="str">
            <v>Minbu</v>
          </cell>
          <cell r="O334" t="str">
            <v>Minbu</v>
          </cell>
          <cell r="P334" t="str">
            <v>Magway</v>
          </cell>
          <cell r="Q334" t="str">
            <v>7</v>
          </cell>
          <cell r="R334" t="str">
            <v>Minbu</v>
          </cell>
          <cell r="S334" t="str">
            <v>123</v>
          </cell>
          <cell r="T334" t="str">
            <v>GSM+UMTS</v>
          </cell>
          <cell r="W334" t="str">
            <v>Ph2-Priority</v>
          </cell>
          <cell r="X334" t="str">
            <v>35</v>
          </cell>
          <cell r="Y334" t="str">
            <v>37</v>
          </cell>
          <cell r="Z334" t="str">
            <v>GBT</v>
          </cell>
          <cell r="AA334" t="str">
            <v>250</v>
          </cell>
          <cell r="AB334" t="str">
            <v>Access</v>
          </cell>
          <cell r="AC334" t="str">
            <v>Class B</v>
          </cell>
          <cell r="BE334" t="str">
            <v>Route 8 Mandalay - Magwe</v>
          </cell>
          <cell r="BH334" t="str">
            <v>IENG</v>
          </cell>
          <cell r="BJ334">
            <v>42114</v>
          </cell>
          <cell r="BK334">
            <v>42121</v>
          </cell>
          <cell r="BL334">
            <v>42119</v>
          </cell>
          <cell r="BM334">
            <v>42119</v>
          </cell>
          <cell r="BT334">
            <v>58</v>
          </cell>
          <cell r="BU334">
            <v>42167</v>
          </cell>
          <cell r="BV334">
            <v>42179</v>
          </cell>
          <cell r="BW334" t="str">
            <v>94.77794</v>
          </cell>
          <cell r="BX334" t="str">
            <v>20.22974</v>
          </cell>
          <cell r="BY334" t="str">
            <v>C2</v>
          </cell>
          <cell r="BZ334" t="str">
            <v>No&lt;1&gt;, Kyaung Ywar Yap, Saku Township.</v>
          </cell>
          <cell r="CA334" t="str">
            <v>U Tin Shwe;No&lt;1&gt;, Kyaung Ywar, Saku Township;09259195134 / 09974576229</v>
          </cell>
          <cell r="CB334" t="str">
            <v>5 July 15 : C2 TSSR sub;26 June 15 : C2 SAR rev 1 pdf with corrected Lat,Long  given and approved as an option 2;24 June 15 :C2-SAR submission; (C1-Lessor declined to process other use permit);prev C1 TSSR app on 20 May 15;5May15: C1 SAR Sub.</v>
          </cell>
          <cell r="CC334" t="str">
            <v>Slip Land (Permit land)</v>
          </cell>
          <cell r="CE334">
            <v>2</v>
          </cell>
          <cell r="CF334">
            <v>42168</v>
          </cell>
          <cell r="CG334">
            <v>42181</v>
          </cell>
          <cell r="CH334">
            <v>42170</v>
          </cell>
          <cell r="CJ334">
            <v>42188</v>
          </cell>
          <cell r="CK334" t="str">
            <v>35</v>
          </cell>
          <cell r="CL334" t="str">
            <v>37</v>
          </cell>
          <cell r="CM334" t="str">
            <v>45</v>
          </cell>
          <cell r="CN334">
            <v>9</v>
          </cell>
          <cell r="CO334">
            <v>42173</v>
          </cell>
          <cell r="CP334">
            <v>42190</v>
          </cell>
          <cell r="CQ334" t="str">
            <v>M1: grid power + battery</v>
          </cell>
          <cell r="CR334">
            <v>1</v>
          </cell>
          <cell r="CS334">
            <v>42174</v>
          </cell>
          <cell r="CT334">
            <v>42191</v>
          </cell>
          <cell r="CU334" t="str">
            <v>MG0338</v>
          </cell>
          <cell r="DH334">
            <v>42</v>
          </cell>
          <cell r="DI334">
            <v>42184</v>
          </cell>
          <cell r="DK334">
            <v>42181</v>
          </cell>
          <cell r="DL334">
            <v>42151</v>
          </cell>
          <cell r="DM334">
            <v>42185</v>
          </cell>
          <cell r="DN334">
            <v>42214</v>
          </cell>
          <cell r="DO334">
            <v>0</v>
          </cell>
          <cell r="DP334">
            <v>42184</v>
          </cell>
          <cell r="DT334">
            <v>0</v>
          </cell>
          <cell r="DU334">
            <v>42199</v>
          </cell>
          <cell r="DW334">
            <v>0</v>
          </cell>
          <cell r="DY334">
            <v>42185</v>
          </cell>
          <cell r="DZ334">
            <v>42210</v>
          </cell>
          <cell r="EA334" t="str">
            <v>IENG</v>
          </cell>
          <cell r="EB334">
            <v>42213</v>
          </cell>
          <cell r="ED334" t="str">
            <v xml:space="preserve">26Aug15 :SiThu.Moe: Tower foundation casting is done. Equipment slab are ongoing.
</v>
          </cell>
          <cell r="EE334" t="str">
            <v xml:space="preserve">10 Aug 15:Flood affected_Hold-No access; 28-Jul-15: Flooded access or site is flooded_ we canÆt proceed to this site for now								</v>
          </cell>
          <cell r="EJ334">
            <v>23</v>
          </cell>
          <cell r="EK334">
            <v>42202</v>
          </cell>
          <cell r="EL334">
            <v>42243</v>
          </cell>
          <cell r="EM334">
            <v>42203</v>
          </cell>
          <cell r="EN334">
            <v>42237</v>
          </cell>
          <cell r="EQ334">
            <v>42212</v>
          </cell>
          <cell r="EW334">
            <v>23</v>
          </cell>
          <cell r="EX334">
            <v>42226</v>
          </cell>
          <cell r="EZ334">
            <v>42222</v>
          </cell>
          <cell r="FB334">
            <v>42224</v>
          </cell>
          <cell r="FU334">
            <v>42226</v>
          </cell>
          <cell r="FW334">
            <v>42226</v>
          </cell>
          <cell r="FY334" t="str">
            <v>CFVL</v>
          </cell>
          <cell r="GI334">
            <v>42307</v>
          </cell>
          <cell r="GJ334" t="str">
            <v>44-2015</v>
          </cell>
          <cell r="GN334" t="str">
            <v>ERICSSON</v>
          </cell>
          <cell r="GO334">
            <v>42150</v>
          </cell>
          <cell r="GU334" t="str">
            <v xml:space="preserve">		</v>
          </cell>
          <cell r="HD334">
            <v>1</v>
          </cell>
        </row>
        <row r="335">
          <cell r="A335" t="str">
            <v>MG0339</v>
          </cell>
          <cell r="B335" t="str">
            <v>ANMG_0141</v>
          </cell>
          <cell r="C335" t="str">
            <v>Apollo</v>
          </cell>
          <cell r="D335" t="str">
            <v>Adriaan Coetsee</v>
          </cell>
          <cell r="F335" t="str">
            <v>Mya Kyauk</v>
          </cell>
          <cell r="G335" t="str">
            <v>Si Thu Moe</v>
          </cell>
          <cell r="H335" t="str">
            <v>RED</v>
          </cell>
          <cell r="I335" t="str">
            <v>North</v>
          </cell>
          <cell r="J335" t="str">
            <v>94.8566</v>
          </cell>
          <cell r="K335" t="str">
            <v>20.181</v>
          </cell>
          <cell r="L335" t="str">
            <v>Suburban</v>
          </cell>
          <cell r="M335" t="str">
            <v>Magway</v>
          </cell>
          <cell r="N335" t="str">
            <v>Minbu</v>
          </cell>
          <cell r="O335" t="str">
            <v>Minbu</v>
          </cell>
          <cell r="P335" t="str">
            <v>Magway</v>
          </cell>
          <cell r="Q335" t="str">
            <v>7</v>
          </cell>
          <cell r="R335" t="str">
            <v>Minbu</v>
          </cell>
          <cell r="S335" t="str">
            <v>123</v>
          </cell>
          <cell r="T335" t="str">
            <v>GSM+UMTS</v>
          </cell>
          <cell r="W335" t="str">
            <v>Ph2-Priority</v>
          </cell>
          <cell r="X335" t="str">
            <v>35</v>
          </cell>
          <cell r="Y335" t="str">
            <v>37</v>
          </cell>
          <cell r="Z335" t="str">
            <v>GBT</v>
          </cell>
          <cell r="AA335" t="str">
            <v>250</v>
          </cell>
          <cell r="AB335" t="str">
            <v>Access</v>
          </cell>
          <cell r="AC335" t="str">
            <v>Class B</v>
          </cell>
          <cell r="BE335" t="str">
            <v>Magwe - Sittwe</v>
          </cell>
          <cell r="BH335" t="str">
            <v>IENG</v>
          </cell>
          <cell r="BJ335">
            <v>42114</v>
          </cell>
          <cell r="BK335">
            <v>42121</v>
          </cell>
          <cell r="BL335">
            <v>42119</v>
          </cell>
          <cell r="BM335">
            <v>42119</v>
          </cell>
          <cell r="BT335">
            <v>112</v>
          </cell>
          <cell r="BU335">
            <v>42167</v>
          </cell>
          <cell r="BV335">
            <v>42131</v>
          </cell>
          <cell r="BW335" t="str">
            <v>94.86135</v>
          </cell>
          <cell r="BX335" t="str">
            <v>20.18194</v>
          </cell>
          <cell r="BY335" t="str">
            <v>Reject</v>
          </cell>
          <cell r="BZ335" t="str">
            <v>No(859),Pan Taw Pyin Village.North Pan Taw Pyin,Min Hla Township.</v>
          </cell>
          <cell r="CA335" t="str">
            <v>U Soe Moe Aung;Kwin No(859), Pan Taw Pyin Kwin, U Pang No, (5910), Pan Taw Pyin, Village, Min La Tsp;09792686712</v>
          </cell>
          <cell r="CB335" t="str">
            <v>14 July 15 : C3 SAR rejected(As per TM radio suggestion, RND rejected because this site is 851m far from the nominal point. Please find candidate near the nominal. previously approved candidate locations are ok.);13 July 15 :C3-SAR submission(C2-NOC issue &amp; C1-owner's declined);  6 July 15 : C2 TSSR app;26 June 15 : C2 SAR app; 5 July 15 : C2 TSSR sub;23Jun15 : C2-SAR submission (C1-Lessor declined and no longer interested);prev C1 TSSR app on 20 May 15;7 May 15: C1 SAR revision pdf approved as an option 1(RND approved with 35m/37m GBT as priority 1 and this site is 160m far from the nominal point..); 5May15: C1 SAR Sub.</v>
          </cell>
          <cell r="CC335" t="str">
            <v>Village</v>
          </cell>
          <cell r="CE335">
            <v>0</v>
          </cell>
          <cell r="CF335">
            <v>42168</v>
          </cell>
          <cell r="CG335">
            <v>42136</v>
          </cell>
          <cell r="CH335">
            <v>42170</v>
          </cell>
          <cell r="CJ335">
            <v>42188</v>
          </cell>
          <cell r="CK335" t="str">
            <v>36</v>
          </cell>
          <cell r="CL335" t="str">
            <v>38</v>
          </cell>
          <cell r="CM335" t="str">
            <v>45</v>
          </cell>
          <cell r="CN335">
            <v>0</v>
          </cell>
          <cell r="CO335">
            <v>42173</v>
          </cell>
          <cell r="CP335">
            <v>42152</v>
          </cell>
          <cell r="CQ335" t="str">
            <v>M1: grid power + battery</v>
          </cell>
          <cell r="CR335">
            <v>0</v>
          </cell>
          <cell r="CS335">
            <v>42174</v>
          </cell>
          <cell r="CT335">
            <v>42153</v>
          </cell>
          <cell r="CU335" t="str">
            <v>MG0339</v>
          </cell>
          <cell r="DH335">
            <v>0</v>
          </cell>
          <cell r="DI335">
            <v>42184</v>
          </cell>
          <cell r="DK335">
            <v>42181</v>
          </cell>
          <cell r="DL335">
            <v>42151</v>
          </cell>
          <cell r="DM335">
            <v>42185</v>
          </cell>
          <cell r="DN335">
            <v>42200</v>
          </cell>
          <cell r="DO335">
            <v>0</v>
          </cell>
          <cell r="DP335">
            <v>42184</v>
          </cell>
          <cell r="DT335">
            <v>0</v>
          </cell>
          <cell r="DU335">
            <v>42199</v>
          </cell>
          <cell r="DW335">
            <v>0</v>
          </cell>
          <cell r="DY335">
            <v>42185</v>
          </cell>
          <cell r="DZ335">
            <v>42200</v>
          </cell>
          <cell r="EA335" t="str">
            <v>IENG</v>
          </cell>
          <cell r="EB335">
            <v>42213</v>
          </cell>
          <cell r="EE335" t="str">
            <v xml:space="preserve">10 Aug 15:Flood affected_Hold-No access; 10-Aug-15:No activity due to flood,Villagers still cleaing the area.
28-Jul-15: Flooded access or site is flooded_ we canÆt proceed to this site								</v>
          </cell>
          <cell r="EJ335">
            <v>0</v>
          </cell>
          <cell r="EK335">
            <v>42202</v>
          </cell>
          <cell r="EM335">
            <v>42203</v>
          </cell>
          <cell r="EQ335">
            <v>42212</v>
          </cell>
          <cell r="EW335">
            <v>0</v>
          </cell>
          <cell r="EX335">
            <v>42226</v>
          </cell>
          <cell r="EZ335">
            <v>42222</v>
          </cell>
          <cell r="FB335">
            <v>42224</v>
          </cell>
          <cell r="FU335">
            <v>42226</v>
          </cell>
          <cell r="FW335">
            <v>42226</v>
          </cell>
          <cell r="GI335">
            <v>42246</v>
          </cell>
          <cell r="GJ335">
            <v>0</v>
          </cell>
          <cell r="GN335" t="str">
            <v>ERICSSON</v>
          </cell>
          <cell r="GO335">
            <v>42150</v>
          </cell>
          <cell r="HD335">
            <v>1</v>
          </cell>
        </row>
        <row r="336">
          <cell r="A336" t="str">
            <v>MG0340</v>
          </cell>
          <cell r="B336" t="str">
            <v>ANMG_0114</v>
          </cell>
          <cell r="C336" t="str">
            <v>Apollo</v>
          </cell>
          <cell r="D336" t="str">
            <v>Chris Thomson</v>
          </cell>
          <cell r="F336" t="str">
            <v>Mya Kyauk</v>
          </cell>
          <cell r="G336" t="str">
            <v>Si Thu Moe</v>
          </cell>
          <cell r="H336" t="str">
            <v>RED</v>
          </cell>
          <cell r="I336" t="str">
            <v>North</v>
          </cell>
          <cell r="J336" t="str">
            <v>95.1414</v>
          </cell>
          <cell r="K336" t="str">
            <v>19.3475</v>
          </cell>
          <cell r="L336" t="str">
            <v>Rural</v>
          </cell>
          <cell r="M336" t="str">
            <v>Magway</v>
          </cell>
          <cell r="N336" t="str">
            <v>Thayet</v>
          </cell>
          <cell r="O336" t="str">
            <v>Thayet</v>
          </cell>
          <cell r="P336" t="str">
            <v>Magway</v>
          </cell>
          <cell r="Q336" t="str">
            <v>7</v>
          </cell>
          <cell r="R336" t="str">
            <v>Thayet</v>
          </cell>
          <cell r="S336" t="str">
            <v>128</v>
          </cell>
          <cell r="T336" t="str">
            <v>GSM+UMTS</v>
          </cell>
          <cell r="W336" t="str">
            <v>Ph2-Priority</v>
          </cell>
          <cell r="X336" t="str">
            <v>45</v>
          </cell>
          <cell r="Y336" t="str">
            <v>45</v>
          </cell>
          <cell r="Z336" t="str">
            <v>GBT</v>
          </cell>
          <cell r="AA336" t="str">
            <v>500</v>
          </cell>
          <cell r="AB336" t="str">
            <v>Access</v>
          </cell>
          <cell r="AC336" t="str">
            <v>Class C</v>
          </cell>
          <cell r="BE336" t="str">
            <v>Route 1 Yangon - Mandalay</v>
          </cell>
          <cell r="BH336" t="str">
            <v>Camusat</v>
          </cell>
          <cell r="BJ336">
            <v>42166</v>
          </cell>
          <cell r="BK336">
            <v>42130</v>
          </cell>
          <cell r="BL336">
            <v>42171</v>
          </cell>
          <cell r="BM336">
            <v>42174</v>
          </cell>
          <cell r="BT336">
            <v>57</v>
          </cell>
          <cell r="BU336">
            <v>42218</v>
          </cell>
          <cell r="BV336">
            <v>42187</v>
          </cell>
          <cell r="BW336" t="str">
            <v>95.142107</v>
          </cell>
          <cell r="BX336" t="str">
            <v>19.348238</v>
          </cell>
          <cell r="BY336" t="str">
            <v>C1</v>
          </cell>
          <cell r="BZ336" t="str">
            <v>Upper Ring Ywar, Kwin No. 215, King Ywar Village, King Ywar Village Tract,Belin Township, Thathon Districe, Mon State.</v>
          </cell>
          <cell r="CA336" t="str">
            <v>U Kyi Soe, 9793742472</v>
          </cell>
          <cell r="CB336" t="str">
            <v>2 July 15 : C1 SAR sub</v>
          </cell>
          <cell r="CC336" t="str">
            <v>Residential</v>
          </cell>
          <cell r="CE336">
            <v>1</v>
          </cell>
          <cell r="CF336">
            <v>42219</v>
          </cell>
          <cell r="CG336">
            <v>42188</v>
          </cell>
          <cell r="CH336">
            <v>42221</v>
          </cell>
          <cell r="CJ336">
            <v>42227</v>
          </cell>
          <cell r="CK336" t="str">
            <v>45</v>
          </cell>
          <cell r="CL336" t="str">
            <v>47</v>
          </cell>
          <cell r="CM336" t="str">
            <v>50</v>
          </cell>
          <cell r="CN336">
            <v>45</v>
          </cell>
          <cell r="CO336">
            <v>42224</v>
          </cell>
          <cell r="CP336">
            <v>42229</v>
          </cell>
          <cell r="CQ336" t="str">
            <v>M4: solar + DG + battery</v>
          </cell>
          <cell r="CR336">
            <v>0</v>
          </cell>
          <cell r="CS336">
            <v>42225</v>
          </cell>
          <cell r="CT336">
            <v>42233</v>
          </cell>
          <cell r="CU336" t="str">
            <v>MG0340</v>
          </cell>
          <cell r="DH336">
            <v>0</v>
          </cell>
          <cell r="DI336">
            <v>42235</v>
          </cell>
          <cell r="DK336">
            <v>42232</v>
          </cell>
          <cell r="DM336">
            <v>42236</v>
          </cell>
          <cell r="DO336">
            <v>0</v>
          </cell>
          <cell r="DP336">
            <v>42235</v>
          </cell>
          <cell r="DT336">
            <v>0</v>
          </cell>
          <cell r="DU336">
            <v>42250</v>
          </cell>
          <cell r="DW336">
            <v>0</v>
          </cell>
          <cell r="DY336">
            <v>42236</v>
          </cell>
          <cell r="EA336" t="str">
            <v>ATM</v>
          </cell>
          <cell r="EJ336">
            <v>0</v>
          </cell>
          <cell r="EK336">
            <v>42253</v>
          </cell>
          <cell r="EM336">
            <v>42254</v>
          </cell>
          <cell r="EQ336">
            <v>42263</v>
          </cell>
          <cell r="EW336">
            <v>0</v>
          </cell>
          <cell r="EX336">
            <v>42225</v>
          </cell>
          <cell r="EZ336">
            <v>42273</v>
          </cell>
          <cell r="FB336">
            <v>42275</v>
          </cell>
          <cell r="FU336">
            <v>42277</v>
          </cell>
          <cell r="FW336">
            <v>42277</v>
          </cell>
          <cell r="GJ336">
            <v>0</v>
          </cell>
          <cell r="GN336" t="str">
            <v>ERICSSON</v>
          </cell>
          <cell r="GS336" t="str">
            <v>4/4/4</v>
          </cell>
          <cell r="GU336" t="str">
            <v xml:space="preserve">		</v>
          </cell>
          <cell r="HD336">
            <v>1</v>
          </cell>
        </row>
        <row r="337">
          <cell r="A337" t="str">
            <v>MG0341</v>
          </cell>
          <cell r="B337" t="str">
            <v>ANMG_0115</v>
          </cell>
          <cell r="C337" t="str">
            <v>Apollo</v>
          </cell>
          <cell r="D337" t="str">
            <v>Chris Thomson</v>
          </cell>
          <cell r="F337" t="str">
            <v>Mya Kyauk</v>
          </cell>
          <cell r="G337" t="str">
            <v>Si Thu Moe</v>
          </cell>
          <cell r="H337" t="str">
            <v>RED</v>
          </cell>
          <cell r="I337" t="str">
            <v>North</v>
          </cell>
          <cell r="J337" t="str">
            <v>95.1624</v>
          </cell>
          <cell r="K337" t="str">
            <v>19.3182</v>
          </cell>
          <cell r="L337" t="str">
            <v>Rural</v>
          </cell>
          <cell r="M337" t="str">
            <v>Magway</v>
          </cell>
          <cell r="N337" t="str">
            <v>Thayet</v>
          </cell>
          <cell r="O337" t="str">
            <v>Thayet</v>
          </cell>
          <cell r="P337" t="str">
            <v>Magway</v>
          </cell>
          <cell r="Q337" t="str">
            <v>7</v>
          </cell>
          <cell r="R337" t="str">
            <v>Thayet</v>
          </cell>
          <cell r="S337" t="str">
            <v>128</v>
          </cell>
          <cell r="T337" t="str">
            <v>GSM+UMTS</v>
          </cell>
          <cell r="W337" t="str">
            <v>Ph2-Priority</v>
          </cell>
          <cell r="X337" t="str">
            <v>45</v>
          </cell>
          <cell r="Y337" t="str">
            <v>45</v>
          </cell>
          <cell r="Z337" t="str">
            <v>GBT</v>
          </cell>
          <cell r="AA337" t="str">
            <v>250</v>
          </cell>
          <cell r="AB337" t="str">
            <v>Access</v>
          </cell>
          <cell r="AC337" t="str">
            <v>Class C</v>
          </cell>
          <cell r="BE337" t="str">
            <v>Route 1 Yangon - Mandalay</v>
          </cell>
          <cell r="BH337" t="str">
            <v>Camusat</v>
          </cell>
          <cell r="BJ337">
            <v>42166</v>
          </cell>
          <cell r="BK337">
            <v>42130</v>
          </cell>
          <cell r="BL337">
            <v>42171</v>
          </cell>
          <cell r="BM337">
            <v>42178</v>
          </cell>
          <cell r="BT337">
            <v>57</v>
          </cell>
          <cell r="BU337">
            <v>42218</v>
          </cell>
          <cell r="BV337">
            <v>42187</v>
          </cell>
          <cell r="BW337" t="str">
            <v>95.150573</v>
          </cell>
          <cell r="BX337" t="str">
            <v>19.316935</v>
          </cell>
          <cell r="BY337" t="str">
            <v>C1</v>
          </cell>
          <cell r="BZ337" t="str">
            <v>Paut Taw Ryin Village, Maruk-U Township, Rakhine State.</v>
          </cell>
          <cell r="CA337" t="str">
            <v>U Kyaw Win (Delegate)</v>
          </cell>
          <cell r="CB337" t="str">
            <v>2 July 15: C1 SAR sub(1.25 KM from NP; NP falls  within a huge farmland area and is Just 700 M from existing TN site - MG0065 )</v>
          </cell>
          <cell r="CC337" t="str">
            <v>Residential</v>
          </cell>
          <cell r="CE337">
            <v>8</v>
          </cell>
          <cell r="CF337">
            <v>42219</v>
          </cell>
          <cell r="CG337">
            <v>42195</v>
          </cell>
          <cell r="CH337">
            <v>42221</v>
          </cell>
          <cell r="CJ337">
            <v>42203</v>
          </cell>
          <cell r="CK337" t="str">
            <v>45</v>
          </cell>
          <cell r="CL337" t="str">
            <v>47</v>
          </cell>
          <cell r="CM337" t="str">
            <v>50</v>
          </cell>
          <cell r="CN337">
            <v>38</v>
          </cell>
          <cell r="CO337">
            <v>42224</v>
          </cell>
          <cell r="CP337">
            <v>42205</v>
          </cell>
          <cell r="CQ337" t="str">
            <v>M4: solar + DG + battery</v>
          </cell>
          <cell r="CR337">
            <v>0</v>
          </cell>
          <cell r="CS337">
            <v>42225</v>
          </cell>
          <cell r="CT337">
            <v>42206</v>
          </cell>
          <cell r="CU337" t="str">
            <v>MG0341</v>
          </cell>
          <cell r="DH337">
            <v>0</v>
          </cell>
          <cell r="DI337">
            <v>42235</v>
          </cell>
          <cell r="DK337">
            <v>42232</v>
          </cell>
          <cell r="DM337">
            <v>42236</v>
          </cell>
          <cell r="DO337">
            <v>0</v>
          </cell>
          <cell r="DP337">
            <v>42235</v>
          </cell>
          <cell r="DT337">
            <v>0</v>
          </cell>
          <cell r="DU337">
            <v>42250</v>
          </cell>
          <cell r="DW337">
            <v>0</v>
          </cell>
          <cell r="DY337">
            <v>42236</v>
          </cell>
          <cell r="EA337" t="str">
            <v>Camusat</v>
          </cell>
          <cell r="EJ337">
            <v>0</v>
          </cell>
          <cell r="EK337">
            <v>42253</v>
          </cell>
          <cell r="EM337">
            <v>42254</v>
          </cell>
          <cell r="EQ337">
            <v>42263</v>
          </cell>
          <cell r="EW337">
            <v>0</v>
          </cell>
          <cell r="EX337">
            <v>42225</v>
          </cell>
          <cell r="EZ337">
            <v>42273</v>
          </cell>
          <cell r="FB337">
            <v>42275</v>
          </cell>
          <cell r="FU337">
            <v>42277</v>
          </cell>
          <cell r="FW337">
            <v>42277</v>
          </cell>
          <cell r="GF337">
            <v>42217</v>
          </cell>
          <cell r="GI337">
            <v>42246</v>
          </cell>
          <cell r="GJ337">
            <v>0</v>
          </cell>
          <cell r="GN337" t="str">
            <v>ERICSSON</v>
          </cell>
          <cell r="HD337">
            <v>1</v>
          </cell>
        </row>
        <row r="338">
          <cell r="A338" t="str">
            <v>MG0342</v>
          </cell>
          <cell r="B338" t="str">
            <v>ANMG_0142</v>
          </cell>
          <cell r="C338" t="str">
            <v>Apollo</v>
          </cell>
          <cell r="D338" t="str">
            <v>Adriaan Coetsee</v>
          </cell>
          <cell r="F338" t="str">
            <v>Mya Kyauk</v>
          </cell>
          <cell r="G338" t="str">
            <v>Si Thu Moe</v>
          </cell>
          <cell r="H338" t="str">
            <v>RED</v>
          </cell>
          <cell r="I338" t="str">
            <v>North</v>
          </cell>
          <cell r="J338" t="str">
            <v>94.095376</v>
          </cell>
          <cell r="K338" t="str">
            <v>21.695405</v>
          </cell>
          <cell r="L338" t="str">
            <v>Rural</v>
          </cell>
          <cell r="M338" t="str">
            <v>Magway</v>
          </cell>
          <cell r="N338" t="str">
            <v>Tilin</v>
          </cell>
          <cell r="O338" t="str">
            <v>Tilin</v>
          </cell>
          <cell r="P338" t="str">
            <v>Magway</v>
          </cell>
          <cell r="Q338" t="str">
            <v>7</v>
          </cell>
          <cell r="R338" t="str">
            <v>Tilin</v>
          </cell>
          <cell r="S338" t="str">
            <v>140</v>
          </cell>
          <cell r="T338" t="str">
            <v>GSM+UMTS</v>
          </cell>
          <cell r="W338" t="str">
            <v>Ph2-Priority</v>
          </cell>
          <cell r="X338" t="str">
            <v>45</v>
          </cell>
          <cell r="Y338" t="str">
            <v>47</v>
          </cell>
          <cell r="Z338" t="str">
            <v>GBT</v>
          </cell>
          <cell r="AA338" t="str">
            <v>500</v>
          </cell>
          <cell r="AB338" t="str">
            <v>Access</v>
          </cell>
          <cell r="AC338" t="str">
            <v>Class C</v>
          </cell>
          <cell r="BE338" t="str">
            <v>Route 8 Mandalay - Magwe</v>
          </cell>
          <cell r="BH338" t="str">
            <v>Camusat</v>
          </cell>
          <cell r="BJ338">
            <v>42161</v>
          </cell>
          <cell r="BK338">
            <v>42165</v>
          </cell>
          <cell r="BL338">
            <v>42166</v>
          </cell>
          <cell r="BM338">
            <v>42172</v>
          </cell>
          <cell r="BT338">
            <v>23</v>
          </cell>
          <cell r="BU338">
            <v>42276</v>
          </cell>
          <cell r="BV338">
            <v>42188</v>
          </cell>
          <cell r="BW338" t="str">
            <v>94.09679</v>
          </cell>
          <cell r="BX338" t="str">
            <v>21.69263</v>
          </cell>
          <cell r="BY338" t="str">
            <v>C1</v>
          </cell>
          <cell r="BZ338" t="str">
            <v>Sitkegyi Quarter, Wintho Township, Sagaing Division</v>
          </cell>
          <cell r="CA338" t="str">
            <v>Daw Chit Yee</v>
          </cell>
          <cell r="CB338" t="str">
            <v>15Jun15: C2-SAR submission; C1-failed during TSS due to neighbor's issue27May15: C1 SAR Sub</v>
          </cell>
          <cell r="CC338" t="str">
            <v>Village</v>
          </cell>
          <cell r="CE338">
            <v>11</v>
          </cell>
          <cell r="CF338">
            <v>42277</v>
          </cell>
          <cell r="CG338">
            <v>42199</v>
          </cell>
          <cell r="CH338">
            <v>42279</v>
          </cell>
          <cell r="CJ338">
            <v>42231</v>
          </cell>
          <cell r="CK338" t="str">
            <v>45</v>
          </cell>
          <cell r="CL338" t="str">
            <v>47</v>
          </cell>
          <cell r="CM338" t="str">
            <v>50</v>
          </cell>
          <cell r="CN338">
            <v>34</v>
          </cell>
          <cell r="CO338">
            <v>42282</v>
          </cell>
          <cell r="CP338">
            <v>42233</v>
          </cell>
          <cell r="CQ338" t="str">
            <v>M1: grid power + battery</v>
          </cell>
          <cell r="CR338">
            <v>0</v>
          </cell>
          <cell r="CS338">
            <v>42283</v>
          </cell>
          <cell r="CT338">
            <v>42234</v>
          </cell>
          <cell r="CU338" t="str">
            <v>MG0342</v>
          </cell>
          <cell r="DH338">
            <v>0</v>
          </cell>
          <cell r="DI338">
            <v>42293</v>
          </cell>
          <cell r="DK338">
            <v>42290</v>
          </cell>
          <cell r="DL338">
            <v>42198</v>
          </cell>
          <cell r="DM338">
            <v>42294</v>
          </cell>
          <cell r="DO338">
            <v>0</v>
          </cell>
          <cell r="DP338">
            <v>42293</v>
          </cell>
          <cell r="DT338">
            <v>0</v>
          </cell>
          <cell r="DU338">
            <v>42308</v>
          </cell>
          <cell r="DW338">
            <v>0</v>
          </cell>
          <cell r="DY338">
            <v>42294</v>
          </cell>
          <cell r="DZ338">
            <v>42208</v>
          </cell>
          <cell r="EA338" t="str">
            <v>Camusat</v>
          </cell>
          <cell r="EB338">
            <v>42210</v>
          </cell>
          <cell r="EE338" t="str">
            <v xml:space="preserve">10 Aug 15:Flood affected_Hold-No access; 25-Jul-15: Flooded access or site is flooded_ we canÆt proceed to this site for now								</v>
          </cell>
          <cell r="EJ338">
            <v>0</v>
          </cell>
          <cell r="EK338">
            <v>42311</v>
          </cell>
          <cell r="EM338">
            <v>42312</v>
          </cell>
          <cell r="EQ338">
            <v>42321</v>
          </cell>
          <cell r="EW338">
            <v>0</v>
          </cell>
          <cell r="EX338">
            <v>42335</v>
          </cell>
          <cell r="EZ338">
            <v>42331</v>
          </cell>
          <cell r="FB338">
            <v>42333</v>
          </cell>
          <cell r="FU338">
            <v>42335</v>
          </cell>
          <cell r="FW338">
            <v>42335</v>
          </cell>
          <cell r="GI338">
            <v>42246</v>
          </cell>
          <cell r="GJ338">
            <v>0</v>
          </cell>
          <cell r="GN338" t="str">
            <v>ERICSSON</v>
          </cell>
          <cell r="GO338">
            <v>42197</v>
          </cell>
          <cell r="HD338">
            <v>1</v>
          </cell>
        </row>
        <row r="339">
          <cell r="A339" t="str">
            <v>MG0344</v>
          </cell>
          <cell r="B339" t="str">
            <v>ANMG_0117</v>
          </cell>
          <cell r="C339" t="str">
            <v>Apollo</v>
          </cell>
          <cell r="D339" t="str">
            <v>Adriaan Coetsee</v>
          </cell>
          <cell r="F339" t="str">
            <v>Mya Kyauk</v>
          </cell>
          <cell r="G339" t="str">
            <v>Si Thu Moe</v>
          </cell>
          <cell r="H339" t="str">
            <v>YELLOW</v>
          </cell>
          <cell r="I339" t="str">
            <v>North</v>
          </cell>
          <cell r="J339" t="str">
            <v>94.4694</v>
          </cell>
          <cell r="K339" t="str">
            <v>20.0776</v>
          </cell>
          <cell r="L339" t="str">
            <v>SubUrban</v>
          </cell>
          <cell r="M339" t="str">
            <v>Magway</v>
          </cell>
          <cell r="N339" t="str">
            <v>Ngape</v>
          </cell>
          <cell r="O339" t="str">
            <v>Ngape</v>
          </cell>
          <cell r="P339" t="str">
            <v>Magway</v>
          </cell>
          <cell r="Q339" t="str">
            <v>7</v>
          </cell>
          <cell r="R339" t="str">
            <v>Ngape</v>
          </cell>
          <cell r="S339" t="str">
            <v>125</v>
          </cell>
          <cell r="T339" t="str">
            <v>GSM+UMTS</v>
          </cell>
          <cell r="W339" t="str">
            <v>Ph2-Priority</v>
          </cell>
          <cell r="X339" t="str">
            <v>35</v>
          </cell>
          <cell r="Y339" t="str">
            <v>37</v>
          </cell>
          <cell r="Z339" t="str">
            <v>GBT</v>
          </cell>
          <cell r="AA339" t="str">
            <v>250</v>
          </cell>
          <cell r="AB339" t="str">
            <v>Access</v>
          </cell>
          <cell r="AC339" t="str">
            <v>Class B</v>
          </cell>
          <cell r="BE339" t="str">
            <v>Magwe - Sittwe</v>
          </cell>
          <cell r="BH339" t="str">
            <v>KTT</v>
          </cell>
          <cell r="BJ339">
            <v>42117</v>
          </cell>
          <cell r="BK339">
            <v>42121</v>
          </cell>
          <cell r="BL339">
            <v>42122</v>
          </cell>
          <cell r="BM339">
            <v>42122</v>
          </cell>
          <cell r="BT339">
            <v>11</v>
          </cell>
          <cell r="BU339">
            <v>42139</v>
          </cell>
          <cell r="BV339">
            <v>42132</v>
          </cell>
          <cell r="BW339" t="str">
            <v>94.47238</v>
          </cell>
          <cell r="BX339" t="str">
            <v>20.076781</v>
          </cell>
          <cell r="BY339" t="str">
            <v>C1</v>
          </cell>
          <cell r="BZ339" t="str">
            <v>No.40,Bo Hla Yaung Road,Nga Phe Township.</v>
          </cell>
          <cell r="CA339" t="str">
            <v>U Kyaw Lin Aung;No(40), Bo La Yaung Street ,Ngape Myo Ma Quarter, Ngape.Minbu Township.</v>
          </cell>
          <cell r="CB339" t="str">
            <v>12 May 15 : C1 SAR approved as an option 1 and C2 SAR approved as an option 2;11May15: C2 SAR Sub as redundancy. 8May15: C1 SAR Sub</v>
          </cell>
          <cell r="CC339" t="str">
            <v>Village</v>
          </cell>
          <cell r="CE339">
            <v>4</v>
          </cell>
          <cell r="CF339">
            <v>42140</v>
          </cell>
          <cell r="CG339">
            <v>42136</v>
          </cell>
          <cell r="CH339">
            <v>42142</v>
          </cell>
          <cell r="CJ339">
            <v>42147</v>
          </cell>
          <cell r="CK339" t="str">
            <v>35</v>
          </cell>
          <cell r="CL339" t="str">
            <v>37</v>
          </cell>
          <cell r="CM339" t="str">
            <v>40</v>
          </cell>
          <cell r="CN339">
            <v>13</v>
          </cell>
          <cell r="CO339">
            <v>42145</v>
          </cell>
          <cell r="CP339">
            <v>42149</v>
          </cell>
          <cell r="CQ339" t="str">
            <v>M1: grid power + battery</v>
          </cell>
          <cell r="CR339">
            <v>1</v>
          </cell>
          <cell r="CS339">
            <v>42146</v>
          </cell>
          <cell r="CT339">
            <v>42150</v>
          </cell>
          <cell r="CU339" t="str">
            <v>MG0344</v>
          </cell>
          <cell r="DH339">
            <v>29</v>
          </cell>
          <cell r="DI339">
            <v>42156</v>
          </cell>
          <cell r="DJ339">
            <v>42179</v>
          </cell>
          <cell r="DK339">
            <v>42153</v>
          </cell>
          <cell r="DL339">
            <v>42160</v>
          </cell>
          <cell r="DM339">
            <v>42156</v>
          </cell>
          <cell r="DN339">
            <v>42165</v>
          </cell>
          <cell r="DO339">
            <v>0</v>
          </cell>
          <cell r="DP339">
            <v>42156</v>
          </cell>
          <cell r="DQ339">
            <v>42179</v>
          </cell>
          <cell r="DT339">
            <v>54</v>
          </cell>
          <cell r="DU339">
            <v>42171</v>
          </cell>
          <cell r="DW339">
            <v>0</v>
          </cell>
          <cell r="DY339">
            <v>42156</v>
          </cell>
          <cell r="DZ339">
            <v>42164</v>
          </cell>
          <cell r="EA339" t="str">
            <v>Camusat</v>
          </cell>
          <cell r="EE339" t="str">
            <v xml:space="preserve">10 Aug 15:Rain affected_Progress affected; 4-Aug-15:Rain affected_ Site is progressing but rain is affecting the work every day. Tower pedestal form works IP,site is flooded but we are trying to do some work 								</v>
          </cell>
          <cell r="EJ339">
            <v>63</v>
          </cell>
          <cell r="EK339">
            <v>42166</v>
          </cell>
          <cell r="EL339">
            <v>42227</v>
          </cell>
          <cell r="EM339">
            <v>42167</v>
          </cell>
          <cell r="EN339">
            <v>42235</v>
          </cell>
          <cell r="EQ339">
            <v>42174</v>
          </cell>
          <cell r="ER339">
            <v>42241</v>
          </cell>
          <cell r="ES339">
            <v>42244</v>
          </cell>
          <cell r="ET339">
            <v>42245</v>
          </cell>
          <cell r="EU339">
            <v>42245</v>
          </cell>
          <cell r="EW339">
            <v>69</v>
          </cell>
          <cell r="EX339">
            <v>42185</v>
          </cell>
          <cell r="EZ339">
            <v>42181</v>
          </cell>
          <cell r="FA339">
            <v>42250</v>
          </cell>
          <cell r="FB339">
            <v>42183</v>
          </cell>
          <cell r="FU339">
            <v>42185</v>
          </cell>
          <cell r="FW339">
            <v>42185</v>
          </cell>
          <cell r="FY339" t="str">
            <v>AZM</v>
          </cell>
          <cell r="FZ339">
            <v>42249</v>
          </cell>
          <cell r="GF339">
            <v>42090</v>
          </cell>
          <cell r="GI339">
            <v>42277</v>
          </cell>
          <cell r="GJ339" t="str">
            <v>40-2015</v>
          </cell>
          <cell r="GN339" t="str">
            <v>ERICSSON</v>
          </cell>
          <cell r="HD339">
            <v>1</v>
          </cell>
        </row>
        <row r="340">
          <cell r="A340" t="str">
            <v>MG0346</v>
          </cell>
          <cell r="B340" t="str">
            <v>ANMG_0143</v>
          </cell>
          <cell r="C340" t="str">
            <v>Apollo</v>
          </cell>
          <cell r="D340" t="str">
            <v>Chris Thomson</v>
          </cell>
          <cell r="F340" t="str">
            <v>Mya Kyauk</v>
          </cell>
          <cell r="G340" t="str">
            <v>Si Thu Moe</v>
          </cell>
          <cell r="H340" t="str">
            <v>RED</v>
          </cell>
          <cell r="I340" t="str">
            <v>North</v>
          </cell>
          <cell r="J340" t="str">
            <v>95.0996</v>
          </cell>
          <cell r="K340" t="str">
            <v>19.022</v>
          </cell>
          <cell r="L340" t="str">
            <v>SubUrban</v>
          </cell>
          <cell r="M340" t="str">
            <v>Magway</v>
          </cell>
          <cell r="N340" t="str">
            <v>Kamma</v>
          </cell>
          <cell r="O340" t="str">
            <v>Kamma</v>
          </cell>
          <cell r="P340" t="str">
            <v>Magway</v>
          </cell>
          <cell r="Q340" t="str">
            <v>7</v>
          </cell>
          <cell r="R340" t="str">
            <v>Kamma</v>
          </cell>
          <cell r="S340" t="str">
            <v>131</v>
          </cell>
          <cell r="T340" t="str">
            <v>GSM+UMTS</v>
          </cell>
          <cell r="W340" t="str">
            <v>Ph2-Priority</v>
          </cell>
          <cell r="X340" t="str">
            <v>35</v>
          </cell>
          <cell r="Y340" t="str">
            <v>37</v>
          </cell>
          <cell r="Z340" t="str">
            <v>GBT</v>
          </cell>
          <cell r="AA340" t="str">
            <v>100</v>
          </cell>
          <cell r="AB340" t="str">
            <v>Access</v>
          </cell>
          <cell r="AC340" t="str">
            <v>Class B</v>
          </cell>
          <cell r="BE340" t="str">
            <v>Route 1 Yangon - Mandalay</v>
          </cell>
          <cell r="BH340" t="str">
            <v>Camusat</v>
          </cell>
          <cell r="BJ340">
            <v>42161</v>
          </cell>
          <cell r="BK340">
            <v>42165</v>
          </cell>
          <cell r="BL340">
            <v>42166</v>
          </cell>
          <cell r="BM340">
            <v>42172</v>
          </cell>
          <cell r="BT340">
            <v>22</v>
          </cell>
          <cell r="BU340">
            <v>42185</v>
          </cell>
          <cell r="BV340">
            <v>42187</v>
          </cell>
          <cell r="BW340" t="str">
            <v>95.099897</v>
          </cell>
          <cell r="BX340" t="str">
            <v>19.022132</v>
          </cell>
          <cell r="BY340" t="str">
            <v>C1</v>
          </cell>
          <cell r="BZ340" t="str">
            <v>No.(4)Ward,Nyaung Lay Pin Tan Street,Kamma, Magway Division</v>
          </cell>
          <cell r="CA340" t="str">
            <v>U MYINT OO</v>
          </cell>
          <cell r="CB340" t="str">
            <v>2 July 15 : C1 SAR sub</v>
          </cell>
          <cell r="CC340" t="str">
            <v>Residential</v>
          </cell>
          <cell r="CE340">
            <v>1</v>
          </cell>
          <cell r="CF340">
            <v>42186</v>
          </cell>
          <cell r="CG340">
            <v>42188</v>
          </cell>
          <cell r="CH340">
            <v>42188</v>
          </cell>
          <cell r="CJ340">
            <v>42221</v>
          </cell>
          <cell r="CK340" t="str">
            <v>35</v>
          </cell>
          <cell r="CL340" t="str">
            <v>37</v>
          </cell>
          <cell r="CM340" t="str">
            <v>40</v>
          </cell>
          <cell r="CN340">
            <v>35</v>
          </cell>
          <cell r="CO340">
            <v>42191</v>
          </cell>
          <cell r="CP340">
            <v>42223</v>
          </cell>
          <cell r="CQ340" t="str">
            <v>M4: solar + DG + battery</v>
          </cell>
          <cell r="CR340">
            <v>3</v>
          </cell>
          <cell r="CS340">
            <v>42192</v>
          </cell>
          <cell r="CT340">
            <v>42226</v>
          </cell>
          <cell r="CU340" t="str">
            <v>MG0346</v>
          </cell>
          <cell r="DH340">
            <v>7</v>
          </cell>
          <cell r="DI340">
            <v>42202</v>
          </cell>
          <cell r="DJ340">
            <v>42179</v>
          </cell>
          <cell r="DK340">
            <v>42199</v>
          </cell>
          <cell r="DL340">
            <v>42170</v>
          </cell>
          <cell r="DM340">
            <v>42203</v>
          </cell>
          <cell r="DN340">
            <v>42172</v>
          </cell>
          <cell r="DO340">
            <v>0</v>
          </cell>
          <cell r="DP340">
            <v>42202</v>
          </cell>
          <cell r="DQ340">
            <v>42179</v>
          </cell>
          <cell r="DT340">
            <v>0</v>
          </cell>
          <cell r="DU340">
            <v>42217</v>
          </cell>
          <cell r="DW340">
            <v>0</v>
          </cell>
          <cell r="DY340">
            <v>42203</v>
          </cell>
          <cell r="DZ340">
            <v>42172</v>
          </cell>
          <cell r="EA340" t="str">
            <v>Camusat</v>
          </cell>
          <cell r="ED340" t="str">
            <v xml:space="preserve">11Jul15 :SiThu.Moe: Tower foundation is done.
</v>
          </cell>
          <cell r="EE340" t="str">
            <v xml:space="preserve">10 Aug 15:Rain affected_Progress affected; 4-Aug-15: Awaiting tower EDA 8/15. Tower foundation and equipment slab casted								</v>
          </cell>
          <cell r="EJ340">
            <v>0</v>
          </cell>
          <cell r="EK340">
            <v>42218</v>
          </cell>
          <cell r="EL340">
            <v>42200</v>
          </cell>
          <cell r="EM340">
            <v>42219</v>
          </cell>
          <cell r="EQ340">
            <v>42226</v>
          </cell>
          <cell r="ES340">
            <v>42215</v>
          </cell>
          <cell r="EW340">
            <v>0</v>
          </cell>
          <cell r="EX340">
            <v>42240</v>
          </cell>
          <cell r="EZ340">
            <v>42236</v>
          </cell>
          <cell r="FB340">
            <v>42238</v>
          </cell>
          <cell r="FU340">
            <v>42240</v>
          </cell>
          <cell r="FW340">
            <v>42240</v>
          </cell>
          <cell r="FY340" t="str">
            <v>UT</v>
          </cell>
          <cell r="FZ340">
            <v>42221</v>
          </cell>
          <cell r="GA340">
            <v>42223</v>
          </cell>
          <cell r="GF340">
            <v>42219</v>
          </cell>
          <cell r="GI340">
            <v>42277</v>
          </cell>
          <cell r="GJ340">
            <v>0</v>
          </cell>
          <cell r="GL340" t="str">
            <v>Power Dep.:: Power is not available,Need cran for lift the material to Roof, Tower is not ready</v>
          </cell>
          <cell r="GN340" t="str">
            <v>ERICSSON</v>
          </cell>
          <cell r="GQ340">
            <v>0</v>
          </cell>
          <cell r="HD340">
            <v>1</v>
          </cell>
        </row>
        <row r="341">
          <cell r="A341" t="str">
            <v>MG0376</v>
          </cell>
          <cell r="B341" t="str">
            <v>ANMG_0144</v>
          </cell>
          <cell r="C341" t="str">
            <v>Apollo</v>
          </cell>
          <cell r="D341" t="str">
            <v>Adriaan Coetsee</v>
          </cell>
          <cell r="F341" t="str">
            <v>Mya Kyauk</v>
          </cell>
          <cell r="G341" t="str">
            <v>Si Thu Moe</v>
          </cell>
          <cell r="H341" t="str">
            <v>GREEN</v>
          </cell>
          <cell r="I341" t="str">
            <v>North</v>
          </cell>
          <cell r="J341" t="str">
            <v>94.773548</v>
          </cell>
          <cell r="K341" t="str">
            <v>20.415988</v>
          </cell>
          <cell r="L341" t="str">
            <v>Rural</v>
          </cell>
          <cell r="M341" t="str">
            <v>Magway</v>
          </cell>
          <cell r="N341" t="str">
            <v>Pwintbyu</v>
          </cell>
          <cell r="O341" t="str">
            <v>Pwintbyu</v>
          </cell>
          <cell r="P341" t="str">
            <v>Magway</v>
          </cell>
          <cell r="Q341" t="str">
            <v>7</v>
          </cell>
          <cell r="R341" t="str">
            <v>Pwintbyu</v>
          </cell>
          <cell r="S341" t="str">
            <v>124</v>
          </cell>
          <cell r="T341" t="str">
            <v>GSM+UMTS</v>
          </cell>
          <cell r="W341" t="str">
            <v>Ph2-Priority</v>
          </cell>
          <cell r="X341" t="str">
            <v>45</v>
          </cell>
          <cell r="Y341" t="str">
            <v>47</v>
          </cell>
          <cell r="Z341" t="str">
            <v>GBT</v>
          </cell>
          <cell r="AA341" t="str">
            <v>500</v>
          </cell>
          <cell r="AB341" t="str">
            <v>Access</v>
          </cell>
          <cell r="AC341" t="str">
            <v>Class C</v>
          </cell>
          <cell r="BE341" t="str">
            <v>Kyauktaw-Kyaukpadaung</v>
          </cell>
          <cell r="BH341" t="str">
            <v>IENG</v>
          </cell>
          <cell r="BJ341">
            <v>42116</v>
          </cell>
          <cell r="BK341">
            <v>42121</v>
          </cell>
          <cell r="BL341">
            <v>42121</v>
          </cell>
          <cell r="BM341">
            <v>42121</v>
          </cell>
          <cell r="BT341">
            <v>10</v>
          </cell>
          <cell r="BU341">
            <v>42134</v>
          </cell>
          <cell r="BV341">
            <v>42131</v>
          </cell>
          <cell r="BW341" t="str">
            <v>94.77428</v>
          </cell>
          <cell r="BX341" t="str">
            <v>20.41484</v>
          </cell>
          <cell r="BY341" t="str">
            <v>C1</v>
          </cell>
          <cell r="BZ341" t="str">
            <v>Ywar Thit Kyi,Kone Zaug Group,Pwint Phyu Tsp.</v>
          </cell>
          <cell r="CA341" t="str">
            <v>U Pauk Si;Ywar Thit Kyi, Kon Zaung Group, Pwintbyu Township;09799805852 / 09252225764</v>
          </cell>
          <cell r="CB341" t="str">
            <v>7May15: C1 SAR Sub.</v>
          </cell>
          <cell r="CC341" t="str">
            <v>Farmland</v>
          </cell>
          <cell r="CE341">
            <v>5</v>
          </cell>
          <cell r="CF341">
            <v>42135</v>
          </cell>
          <cell r="CG341">
            <v>42136</v>
          </cell>
          <cell r="CH341">
            <v>42163</v>
          </cell>
          <cell r="CJ341">
            <v>42150</v>
          </cell>
          <cell r="CK341" t="str">
            <v>45</v>
          </cell>
          <cell r="CL341" t="str">
            <v>47</v>
          </cell>
          <cell r="CM341" t="str">
            <v>60</v>
          </cell>
          <cell r="CN341">
            <v>16</v>
          </cell>
          <cell r="CO341">
            <v>42166</v>
          </cell>
          <cell r="CP341">
            <v>42152</v>
          </cell>
          <cell r="CQ341" t="str">
            <v>M1: grid power + battery</v>
          </cell>
          <cell r="CR341">
            <v>1</v>
          </cell>
          <cell r="CS341">
            <v>42167</v>
          </cell>
          <cell r="CT341">
            <v>42153</v>
          </cell>
          <cell r="CU341" t="str">
            <v>MG0376</v>
          </cell>
          <cell r="DH341">
            <v>26</v>
          </cell>
          <cell r="DI341">
            <v>42177</v>
          </cell>
          <cell r="DJ341">
            <v>42179</v>
          </cell>
          <cell r="DK341">
            <v>42174</v>
          </cell>
          <cell r="DL341">
            <v>42160</v>
          </cell>
          <cell r="DM341">
            <v>42178</v>
          </cell>
          <cell r="DN341">
            <v>42165</v>
          </cell>
          <cell r="DO341">
            <v>0</v>
          </cell>
          <cell r="DP341">
            <v>42177</v>
          </cell>
          <cell r="DQ341">
            <v>42179</v>
          </cell>
          <cell r="DT341">
            <v>54</v>
          </cell>
          <cell r="DU341">
            <v>42192</v>
          </cell>
          <cell r="DW341">
            <v>0</v>
          </cell>
          <cell r="DY341">
            <v>42178</v>
          </cell>
          <cell r="DZ341">
            <v>42163</v>
          </cell>
          <cell r="EA341" t="str">
            <v>IENG</v>
          </cell>
          <cell r="EI341" t="str">
            <v>M5: grid power + DG + battery      </v>
          </cell>
          <cell r="EJ341">
            <v>39</v>
          </cell>
          <cell r="EK341">
            <v>42200</v>
          </cell>
          <cell r="EL341">
            <v>42202</v>
          </cell>
          <cell r="EM341">
            <v>42201</v>
          </cell>
          <cell r="EN341">
            <v>42194</v>
          </cell>
          <cell r="EQ341">
            <v>42213</v>
          </cell>
          <cell r="ER341">
            <v>42210</v>
          </cell>
          <cell r="ES341">
            <v>42201</v>
          </cell>
          <cell r="ET341">
            <v>42210</v>
          </cell>
          <cell r="EU341">
            <v>42210</v>
          </cell>
          <cell r="EW341">
            <v>70</v>
          </cell>
          <cell r="EX341">
            <v>42227</v>
          </cell>
          <cell r="EZ341">
            <v>42223</v>
          </cell>
          <cell r="FA341">
            <v>42207</v>
          </cell>
          <cell r="FB341">
            <v>42225</v>
          </cell>
          <cell r="FC341">
            <v>42215</v>
          </cell>
          <cell r="FU341">
            <v>42227</v>
          </cell>
          <cell r="FW341">
            <v>42227</v>
          </cell>
          <cell r="FX341">
            <v>42215</v>
          </cell>
          <cell r="FY341" t="str">
            <v>EM</v>
          </cell>
          <cell r="FZ341">
            <v>42209</v>
          </cell>
          <cell r="GA341">
            <v>42213</v>
          </cell>
          <cell r="GB341">
            <v>42239</v>
          </cell>
          <cell r="GC341">
            <v>42239</v>
          </cell>
          <cell r="GD341">
            <v>42239</v>
          </cell>
          <cell r="GE341">
            <v>42240</v>
          </cell>
          <cell r="GF341">
            <v>42240</v>
          </cell>
          <cell r="GG341">
            <v>42247</v>
          </cell>
          <cell r="GH341">
            <v>42247</v>
          </cell>
          <cell r="GI341">
            <v>42246</v>
          </cell>
          <cell r="GJ341" t="str">
            <v>36-2015</v>
          </cell>
          <cell r="GL341" t="str">
            <v>Flood Area</v>
          </cell>
          <cell r="GN341" t="str">
            <v>ERICSSON</v>
          </cell>
          <cell r="GQ341">
            <v>0</v>
          </cell>
          <cell r="HD341">
            <v>1</v>
          </cell>
        </row>
        <row r="342">
          <cell r="A342" t="str">
            <v>MG0379</v>
          </cell>
          <cell r="B342" t="str">
            <v>ANMG_0145</v>
          </cell>
          <cell r="C342" t="str">
            <v>Apollo</v>
          </cell>
          <cell r="D342" t="str">
            <v>Adriaan Coetsee</v>
          </cell>
          <cell r="F342" t="str">
            <v>Mya Kyauk</v>
          </cell>
          <cell r="G342" t="str">
            <v>Si Thu Moe</v>
          </cell>
          <cell r="H342" t="str">
            <v>RED</v>
          </cell>
          <cell r="I342" t="str">
            <v>North</v>
          </cell>
          <cell r="J342" t="str">
            <v>94.171425</v>
          </cell>
          <cell r="K342" t="str">
            <v>21.757977</v>
          </cell>
          <cell r="L342" t="str">
            <v>Rural</v>
          </cell>
          <cell r="M342" t="str">
            <v>Magway</v>
          </cell>
          <cell r="N342" t="str">
            <v>Tilin</v>
          </cell>
          <cell r="O342" t="str">
            <v>Tilin</v>
          </cell>
          <cell r="P342" t="str">
            <v>Magway</v>
          </cell>
          <cell r="Q342" t="str">
            <v>7</v>
          </cell>
          <cell r="R342" t="str">
            <v>Tilin</v>
          </cell>
          <cell r="S342" t="str">
            <v>140</v>
          </cell>
          <cell r="T342" t="str">
            <v>GSM+UMTS</v>
          </cell>
          <cell r="W342" t="str">
            <v>Ph2-Priority</v>
          </cell>
          <cell r="X342" t="str">
            <v>45</v>
          </cell>
          <cell r="Y342" t="str">
            <v>47</v>
          </cell>
          <cell r="Z342" t="str">
            <v>GBT</v>
          </cell>
          <cell r="AA342" t="str">
            <v>500</v>
          </cell>
          <cell r="AB342" t="str">
            <v>Access</v>
          </cell>
          <cell r="AC342" t="str">
            <v>Class C</v>
          </cell>
          <cell r="BH342" t="str">
            <v>IENG</v>
          </cell>
          <cell r="BJ342">
            <v>42161</v>
          </cell>
          <cell r="BK342">
            <v>42121</v>
          </cell>
          <cell r="BL342">
            <v>42166</v>
          </cell>
          <cell r="BM342">
            <v>42177</v>
          </cell>
          <cell r="BT342">
            <v>112</v>
          </cell>
          <cell r="BU342">
            <v>42218</v>
          </cell>
          <cell r="BV342">
            <v>42181</v>
          </cell>
          <cell r="BW342" t="str">
            <v>96.21745</v>
          </cell>
          <cell r="BX342" t="str">
            <v>19.70568</v>
          </cell>
          <cell r="BY342" t="str">
            <v>C1</v>
          </cell>
          <cell r="BZ342" t="str">
            <v>No.2/73,Ywar Thit village group,Kyoon Kone village,Pyi Ma Nar Tsp,Nay Pyi Taw Division</v>
          </cell>
          <cell r="CA342" t="str">
            <v>U Myint Sein;0 9444012467/ 0 943047576</v>
          </cell>
          <cell r="CB342" t="str">
            <v>30 Jul 15 : C1 TSSR  revision sub with 35 M Tower ;29 July 15: C1 SAR updated technical info released because  Tower height reduce to 35 M as per Apollo request;10 Jul 15 : C1 TSSR app;9 Jul 15 : C1 TSSR sub;29 Jun 15 : C1 SAR app;26 Jun 15 : C1 SAR sub</v>
          </cell>
          <cell r="CC342" t="str">
            <v>Cultivated Land</v>
          </cell>
          <cell r="CE342">
            <v>0</v>
          </cell>
          <cell r="CF342">
            <v>42219</v>
          </cell>
          <cell r="CG342">
            <v>42184</v>
          </cell>
          <cell r="CH342">
            <v>42221</v>
          </cell>
          <cell r="CJ342">
            <v>42213</v>
          </cell>
          <cell r="CK342" t="str">
            <v>33</v>
          </cell>
          <cell r="CL342" t="str">
            <v>35</v>
          </cell>
          <cell r="CM342" t="str">
            <v>35</v>
          </cell>
          <cell r="CN342">
            <v>0</v>
          </cell>
          <cell r="CO342">
            <v>42224</v>
          </cell>
          <cell r="CP342">
            <v>42215</v>
          </cell>
          <cell r="CQ342" t="str">
            <v>M1: grid power + battery</v>
          </cell>
          <cell r="CR342">
            <v>0</v>
          </cell>
          <cell r="CS342">
            <v>42225</v>
          </cell>
          <cell r="CT342">
            <v>42220</v>
          </cell>
          <cell r="CU342" t="str">
            <v>MG0379</v>
          </cell>
          <cell r="DH342">
            <v>0</v>
          </cell>
          <cell r="DI342">
            <v>42235</v>
          </cell>
          <cell r="DK342">
            <v>42232</v>
          </cell>
          <cell r="DM342">
            <v>42236</v>
          </cell>
          <cell r="DO342">
            <v>0</v>
          </cell>
          <cell r="DP342">
            <v>42235</v>
          </cell>
          <cell r="DT342">
            <v>0</v>
          </cell>
          <cell r="DU342">
            <v>42250</v>
          </cell>
          <cell r="DW342">
            <v>0</v>
          </cell>
          <cell r="DY342">
            <v>42236</v>
          </cell>
          <cell r="DZ342">
            <v>42233</v>
          </cell>
          <cell r="EA342" t="str">
            <v>EDYCOM</v>
          </cell>
          <cell r="EJ342">
            <v>0</v>
          </cell>
          <cell r="EK342">
            <v>42258</v>
          </cell>
          <cell r="EM342">
            <v>42259</v>
          </cell>
          <cell r="EQ342">
            <v>42271</v>
          </cell>
          <cell r="EW342">
            <v>0</v>
          </cell>
          <cell r="EX342">
            <v>42233</v>
          </cell>
          <cell r="EZ342">
            <v>42281</v>
          </cell>
          <cell r="FB342">
            <v>42283</v>
          </cell>
          <cell r="FU342">
            <v>42285</v>
          </cell>
          <cell r="FW342">
            <v>42285</v>
          </cell>
          <cell r="FY342" t="str">
            <v>AZM</v>
          </cell>
          <cell r="GF342">
            <v>42216</v>
          </cell>
          <cell r="GJ342">
            <v>0</v>
          </cell>
          <cell r="GN342" t="str">
            <v>ERICSSON</v>
          </cell>
          <cell r="HD342">
            <v>1</v>
          </cell>
        </row>
        <row r="343">
          <cell r="A343" t="str">
            <v>MG0397</v>
          </cell>
          <cell r="B343" t="str">
            <v>ANMG_0146</v>
          </cell>
          <cell r="C343" t="str">
            <v>Apollo</v>
          </cell>
          <cell r="D343" t="str">
            <v>Chris Thomson</v>
          </cell>
          <cell r="F343" t="str">
            <v>Mya Kyauk</v>
          </cell>
          <cell r="G343" t="str">
            <v>Si Thu Moe</v>
          </cell>
          <cell r="H343" t="str">
            <v>RED</v>
          </cell>
          <cell r="I343" t="str">
            <v>North</v>
          </cell>
          <cell r="J343" t="str">
            <v>94.784694</v>
          </cell>
          <cell r="K343" t="str">
            <v>19.609795</v>
          </cell>
          <cell r="L343" t="str">
            <v>Rural</v>
          </cell>
          <cell r="M343" t="str">
            <v>Magway</v>
          </cell>
          <cell r="N343" t="str">
            <v>Minhla</v>
          </cell>
          <cell r="O343" t="str">
            <v>Minhla</v>
          </cell>
          <cell r="P343" t="str">
            <v>Magway</v>
          </cell>
          <cell r="Q343" t="str">
            <v>7</v>
          </cell>
          <cell r="R343" t="str">
            <v>Minhla</v>
          </cell>
          <cell r="S343" t="str">
            <v>129</v>
          </cell>
          <cell r="T343" t="str">
            <v>GSM+UMTS</v>
          </cell>
          <cell r="W343" t="str">
            <v>Ph2-Priority</v>
          </cell>
          <cell r="X343" t="str">
            <v>55</v>
          </cell>
          <cell r="Y343" t="str">
            <v>57</v>
          </cell>
          <cell r="Z343" t="str">
            <v>GBT</v>
          </cell>
          <cell r="AA343" t="str">
            <v>500</v>
          </cell>
          <cell r="AB343" t="str">
            <v>Access</v>
          </cell>
          <cell r="AC343" t="str">
            <v>Class C</v>
          </cell>
          <cell r="BE343" t="str">
            <v>Ann - Gwa</v>
          </cell>
          <cell r="BH343" t="str">
            <v>Camusat</v>
          </cell>
          <cell r="BJ343">
            <v>42161</v>
          </cell>
          <cell r="BK343">
            <v>42170</v>
          </cell>
          <cell r="BL343">
            <v>42166</v>
          </cell>
          <cell r="BM343">
            <v>42177</v>
          </cell>
          <cell r="BT343">
            <v>34</v>
          </cell>
          <cell r="BU343">
            <v>42231</v>
          </cell>
          <cell r="BV343">
            <v>42204</v>
          </cell>
          <cell r="BW343" t="str">
            <v>94.785683</v>
          </cell>
          <cell r="BX343" t="str">
            <v>19.610063</v>
          </cell>
          <cell r="BY343" t="str">
            <v>C1</v>
          </cell>
          <cell r="CC343" t="str">
            <v>Cultivated land</v>
          </cell>
          <cell r="CE343">
            <v>2</v>
          </cell>
          <cell r="CF343">
            <v>42232</v>
          </cell>
          <cell r="CG343">
            <v>42206</v>
          </cell>
          <cell r="CH343">
            <v>42234</v>
          </cell>
          <cell r="CN343">
            <v>27</v>
          </cell>
          <cell r="CO343">
            <v>42237</v>
          </cell>
          <cell r="CQ343" t="str">
            <v>M4: solar + DG + battery</v>
          </cell>
          <cell r="CR343">
            <v>0</v>
          </cell>
          <cell r="CS343">
            <v>42238</v>
          </cell>
          <cell r="CU343" t="str">
            <v>MG0397</v>
          </cell>
          <cell r="DH343">
            <v>0</v>
          </cell>
          <cell r="DI343">
            <v>42248</v>
          </cell>
          <cell r="DK343">
            <v>42245</v>
          </cell>
          <cell r="DM343">
            <v>42249</v>
          </cell>
          <cell r="DO343">
            <v>0</v>
          </cell>
          <cell r="DP343">
            <v>42248</v>
          </cell>
          <cell r="DT343">
            <v>0</v>
          </cell>
          <cell r="DU343">
            <v>42263</v>
          </cell>
          <cell r="DW343">
            <v>0</v>
          </cell>
          <cell r="DY343">
            <v>42249</v>
          </cell>
          <cell r="EA343" t="str">
            <v>Camusat</v>
          </cell>
          <cell r="EJ343">
            <v>0</v>
          </cell>
          <cell r="EK343">
            <v>42271</v>
          </cell>
          <cell r="EM343">
            <v>42272</v>
          </cell>
          <cell r="EQ343">
            <v>42284</v>
          </cell>
          <cell r="EW343">
            <v>0</v>
          </cell>
          <cell r="EX343">
            <v>42298</v>
          </cell>
          <cell r="EZ343">
            <v>42294</v>
          </cell>
          <cell r="FB343">
            <v>42296</v>
          </cell>
          <cell r="FU343">
            <v>42298</v>
          </cell>
          <cell r="FW343">
            <v>42298</v>
          </cell>
          <cell r="FY343" t="str">
            <v>CFVL</v>
          </cell>
          <cell r="GJ343">
            <v>0</v>
          </cell>
          <cell r="GN343" t="str">
            <v>ERICSSON</v>
          </cell>
          <cell r="HD343">
            <v>1</v>
          </cell>
        </row>
        <row r="344">
          <cell r="A344" t="str">
            <v>MG0402</v>
          </cell>
          <cell r="B344" t="str">
            <v>ANMG_0147</v>
          </cell>
          <cell r="C344" t="str">
            <v>Apollo</v>
          </cell>
          <cell r="D344" t="str">
            <v>Chris Thomson</v>
          </cell>
          <cell r="F344" t="str">
            <v>Mya Kyauk</v>
          </cell>
          <cell r="G344" t="str">
            <v>Si Thu Moe</v>
          </cell>
          <cell r="H344" t="str">
            <v>RED</v>
          </cell>
          <cell r="I344" t="str">
            <v>North</v>
          </cell>
          <cell r="J344" t="str">
            <v>94.91025355</v>
          </cell>
          <cell r="K344" t="str">
            <v>19.65687041</v>
          </cell>
          <cell r="L344" t="str">
            <v>Rural</v>
          </cell>
          <cell r="M344" t="str">
            <v>Magway</v>
          </cell>
          <cell r="N344" t="str">
            <v>Minhla</v>
          </cell>
          <cell r="O344" t="str">
            <v>Minhla</v>
          </cell>
          <cell r="P344" t="str">
            <v>Magway</v>
          </cell>
          <cell r="Q344" t="str">
            <v>7</v>
          </cell>
          <cell r="R344" t="str">
            <v>Minhla</v>
          </cell>
          <cell r="S344" t="str">
            <v>129</v>
          </cell>
          <cell r="T344" t="str">
            <v>GSM+UMTS</v>
          </cell>
          <cell r="W344" t="str">
            <v>Ph2-Priority</v>
          </cell>
          <cell r="X344" t="str">
            <v>55</v>
          </cell>
          <cell r="Y344" t="str">
            <v>57</v>
          </cell>
          <cell r="Z344" t="str">
            <v>GBT</v>
          </cell>
          <cell r="AA344" t="str">
            <v>500</v>
          </cell>
          <cell r="AB344" t="str">
            <v>Access</v>
          </cell>
          <cell r="AC344" t="str">
            <v>Class C</v>
          </cell>
          <cell r="BH344" t="str">
            <v>Camusat</v>
          </cell>
          <cell r="BJ344">
            <v>42161</v>
          </cell>
          <cell r="BK344">
            <v>42170</v>
          </cell>
          <cell r="BL344">
            <v>42166</v>
          </cell>
          <cell r="BM344">
            <v>42177</v>
          </cell>
          <cell r="BT344">
            <v>17</v>
          </cell>
          <cell r="BU344">
            <v>42231</v>
          </cell>
          <cell r="BV344">
            <v>42187</v>
          </cell>
          <cell r="BW344" t="str">
            <v>94.90907</v>
          </cell>
          <cell r="BX344" t="str">
            <v>19.657547</v>
          </cell>
          <cell r="BY344" t="str">
            <v>C1</v>
          </cell>
          <cell r="BZ344" t="str">
            <v>Ma Kyee Pin Kyin Village, Kyout Pataung Village Track, Min Hla Township, Magway Division.</v>
          </cell>
          <cell r="CA344" t="str">
            <v>U Saw Maung</v>
          </cell>
          <cell r="CB344" t="str">
            <v>6 July 15 : C1 SAR approved as an option 1(TND approved with 55M repeater tower(19.759911,95.044027))</v>
          </cell>
          <cell r="CC344" t="str">
            <v>Residential</v>
          </cell>
          <cell r="CE344">
            <v>4</v>
          </cell>
          <cell r="CF344">
            <v>42232</v>
          </cell>
          <cell r="CG344">
            <v>42191</v>
          </cell>
          <cell r="CH344">
            <v>42234</v>
          </cell>
          <cell r="CJ344">
            <v>42233</v>
          </cell>
          <cell r="CK344" t="str">
            <v>58</v>
          </cell>
          <cell r="CL344" t="str">
            <v>62</v>
          </cell>
          <cell r="CM344" t="str">
            <v>60</v>
          </cell>
          <cell r="CN344">
            <v>42</v>
          </cell>
          <cell r="CO344">
            <v>42237</v>
          </cell>
          <cell r="CP344">
            <v>42235</v>
          </cell>
          <cell r="CQ344" t="str">
            <v>M4: solar + DG + battery</v>
          </cell>
          <cell r="CR344">
            <v>0</v>
          </cell>
          <cell r="CS344">
            <v>42238</v>
          </cell>
          <cell r="CT344">
            <v>42241</v>
          </cell>
          <cell r="CU344" t="str">
            <v>MG0402</v>
          </cell>
          <cell r="DH344">
            <v>0</v>
          </cell>
          <cell r="DI344">
            <v>42248</v>
          </cell>
          <cell r="DK344">
            <v>42245</v>
          </cell>
          <cell r="DM344">
            <v>42249</v>
          </cell>
          <cell r="DO344">
            <v>0</v>
          </cell>
          <cell r="DP344">
            <v>42248</v>
          </cell>
          <cell r="DT344">
            <v>0</v>
          </cell>
          <cell r="DU344">
            <v>42263</v>
          </cell>
          <cell r="DW344">
            <v>0</v>
          </cell>
          <cell r="DY344">
            <v>42249</v>
          </cell>
          <cell r="EA344" t="str">
            <v>Camusat</v>
          </cell>
          <cell r="EJ344">
            <v>0</v>
          </cell>
          <cell r="EK344">
            <v>42271</v>
          </cell>
          <cell r="EM344">
            <v>42272</v>
          </cell>
          <cell r="EQ344">
            <v>42284</v>
          </cell>
          <cell r="EW344">
            <v>0</v>
          </cell>
          <cell r="EX344">
            <v>42298</v>
          </cell>
          <cell r="EZ344">
            <v>42294</v>
          </cell>
          <cell r="FB344">
            <v>42296</v>
          </cell>
          <cell r="FU344">
            <v>42298</v>
          </cell>
          <cell r="FW344">
            <v>42298</v>
          </cell>
          <cell r="GF344">
            <v>42219</v>
          </cell>
          <cell r="GI344">
            <v>41981</v>
          </cell>
          <cell r="GJ344">
            <v>0</v>
          </cell>
          <cell r="GN344" t="str">
            <v>ERICSSON</v>
          </cell>
          <cell r="HD344">
            <v>1</v>
          </cell>
        </row>
        <row r="345">
          <cell r="A345" t="str">
            <v>MG0404</v>
          </cell>
          <cell r="B345" t="str">
            <v>ANMG_0148</v>
          </cell>
          <cell r="C345" t="str">
            <v>Apollo</v>
          </cell>
          <cell r="D345" t="str">
            <v>Adriaan Coetsee</v>
          </cell>
          <cell r="F345" t="str">
            <v>Mya Kyauk</v>
          </cell>
          <cell r="G345" t="str">
            <v>Si Thu Moe</v>
          </cell>
          <cell r="H345" t="str">
            <v>AMBER</v>
          </cell>
          <cell r="I345" t="str">
            <v>North</v>
          </cell>
          <cell r="J345" t="str">
            <v>94.54279528</v>
          </cell>
          <cell r="K345" t="str">
            <v>20.34008836</v>
          </cell>
          <cell r="L345" t="str">
            <v>Rural</v>
          </cell>
          <cell r="M345" t="str">
            <v>Magway</v>
          </cell>
          <cell r="N345" t="str">
            <v>Pwintbyu</v>
          </cell>
          <cell r="O345" t="str">
            <v>Pwintbyu</v>
          </cell>
          <cell r="P345" t="str">
            <v>Magway</v>
          </cell>
          <cell r="Q345" t="str">
            <v>7</v>
          </cell>
          <cell r="R345" t="str">
            <v>Pwintbyu</v>
          </cell>
          <cell r="S345" t="str">
            <v>124</v>
          </cell>
          <cell r="T345" t="str">
            <v>GSM+UMTS</v>
          </cell>
          <cell r="W345" t="str">
            <v>Ph2-Priority</v>
          </cell>
          <cell r="X345" t="str">
            <v>55</v>
          </cell>
          <cell r="Y345" t="str">
            <v>57</v>
          </cell>
          <cell r="Z345" t="str">
            <v>GBT</v>
          </cell>
          <cell r="AA345" t="str">
            <v>500</v>
          </cell>
          <cell r="AB345" t="str">
            <v>Access</v>
          </cell>
          <cell r="AC345" t="str">
            <v>Class C</v>
          </cell>
          <cell r="BE345" t="str">
            <v>Route 8 Mandalay - Magwe</v>
          </cell>
          <cell r="BH345" t="str">
            <v>Camusat</v>
          </cell>
          <cell r="BJ345">
            <v>42161</v>
          </cell>
          <cell r="BK345">
            <v>42156</v>
          </cell>
          <cell r="BL345">
            <v>42166</v>
          </cell>
          <cell r="BM345">
            <v>42163</v>
          </cell>
          <cell r="BT345">
            <v>17</v>
          </cell>
          <cell r="BU345">
            <v>42233</v>
          </cell>
          <cell r="BV345">
            <v>42173</v>
          </cell>
          <cell r="BW345" t="str">
            <v>94.53921</v>
          </cell>
          <cell r="BX345" t="str">
            <v>20.34006</v>
          </cell>
          <cell r="BY345" t="str">
            <v>C1</v>
          </cell>
          <cell r="BZ345" t="str">
            <v>Kanni Village ,Kanni Village Track , Pwint Phyu Township ,Magway Division.</v>
          </cell>
          <cell r="CA345" t="str">
            <v>U THET LWIN;9401572058</v>
          </cell>
          <cell r="CB345" t="str">
            <v>18Jun15: C1 SAR Sub</v>
          </cell>
          <cell r="CC345" t="str">
            <v>Village</v>
          </cell>
          <cell r="CE345">
            <v>5</v>
          </cell>
          <cell r="CF345">
            <v>42234</v>
          </cell>
          <cell r="CG345">
            <v>42178</v>
          </cell>
          <cell r="CH345">
            <v>42236</v>
          </cell>
          <cell r="CJ345">
            <v>42189</v>
          </cell>
          <cell r="CK345" t="str">
            <v>55</v>
          </cell>
          <cell r="CL345" t="str">
            <v>57</v>
          </cell>
          <cell r="CM345" t="str">
            <v>60</v>
          </cell>
          <cell r="CN345">
            <v>13</v>
          </cell>
          <cell r="CO345">
            <v>42239</v>
          </cell>
          <cell r="CP345">
            <v>42191</v>
          </cell>
          <cell r="CQ345" t="str">
            <v>M4: solar + DG + battery</v>
          </cell>
          <cell r="CR345">
            <v>2</v>
          </cell>
          <cell r="CS345">
            <v>42240</v>
          </cell>
          <cell r="CT345">
            <v>42193</v>
          </cell>
          <cell r="CU345" t="str">
            <v>MG0404</v>
          </cell>
          <cell r="DH345">
            <v>24</v>
          </cell>
          <cell r="DI345">
            <v>42250</v>
          </cell>
          <cell r="DJ345">
            <v>42217</v>
          </cell>
          <cell r="DK345">
            <v>42247</v>
          </cell>
          <cell r="DL345">
            <v>42198</v>
          </cell>
          <cell r="DM345">
            <v>42251</v>
          </cell>
          <cell r="DN345">
            <v>42198</v>
          </cell>
          <cell r="DO345">
            <v>0</v>
          </cell>
          <cell r="DP345">
            <v>42250</v>
          </cell>
          <cell r="DQ345">
            <v>42217</v>
          </cell>
          <cell r="DT345">
            <v>16</v>
          </cell>
          <cell r="DU345">
            <v>42265</v>
          </cell>
          <cell r="DW345">
            <v>0</v>
          </cell>
          <cell r="DY345">
            <v>42251</v>
          </cell>
          <cell r="DZ345">
            <v>42214</v>
          </cell>
          <cell r="EA345" t="str">
            <v>Camusat</v>
          </cell>
          <cell r="ED345" t="str">
            <v>12Jul15 :SiThu.Moe: Tower foundation is done.Tower materials are not at site.Backfilling is ongoing.
01Jul15 :SiThu.Moe: Excavation is done.Nobody at site.</v>
          </cell>
          <cell r="EE345" t="str">
            <v xml:space="preserve">10 Aug 15:Rain affected_Progress affected; 3-Aug-15: Rain affected_ Site is progressing but rain is affecting the work every day. Excavation to start								</v>
          </cell>
          <cell r="EJ345">
            <v>19</v>
          </cell>
          <cell r="EK345">
            <v>42273</v>
          </cell>
          <cell r="EL345">
            <v>42198</v>
          </cell>
          <cell r="EM345">
            <v>42274</v>
          </cell>
          <cell r="EQ345">
            <v>42286</v>
          </cell>
          <cell r="EW345">
            <v>19</v>
          </cell>
          <cell r="EX345">
            <v>42300</v>
          </cell>
          <cell r="EZ345">
            <v>42296</v>
          </cell>
          <cell r="FB345">
            <v>42298</v>
          </cell>
          <cell r="FU345">
            <v>42300</v>
          </cell>
          <cell r="FW345">
            <v>42300</v>
          </cell>
          <cell r="GI345">
            <v>42307</v>
          </cell>
          <cell r="GJ345" t="str">
            <v>44-2015</v>
          </cell>
          <cell r="GN345" t="str">
            <v>ERICSSON</v>
          </cell>
          <cell r="GP345">
            <v>42193</v>
          </cell>
          <cell r="HD345">
            <v>1</v>
          </cell>
        </row>
        <row r="346">
          <cell r="A346" t="str">
            <v>MG0412</v>
          </cell>
          <cell r="B346" t="str">
            <v>ANMG_0149</v>
          </cell>
          <cell r="C346" t="str">
            <v>Apollo</v>
          </cell>
          <cell r="D346" t="str">
            <v>Adriaan Coetsee</v>
          </cell>
          <cell r="F346" t="str">
            <v>Mya Kyauk</v>
          </cell>
          <cell r="G346" t="str">
            <v>Si Thu Moe</v>
          </cell>
          <cell r="H346" t="str">
            <v>WHITE</v>
          </cell>
          <cell r="I346" t="str">
            <v>North</v>
          </cell>
          <cell r="J346" t="str">
            <v>95.01592</v>
          </cell>
          <cell r="K346" t="str">
            <v>20.80026</v>
          </cell>
          <cell r="L346" t="str">
            <v>Rural</v>
          </cell>
          <cell r="M346" t="str">
            <v>Magway</v>
          </cell>
          <cell r="N346" t="str">
            <v>Chauk</v>
          </cell>
          <cell r="O346" t="str">
            <v>Chauk</v>
          </cell>
          <cell r="P346" t="str">
            <v>Magway</v>
          </cell>
          <cell r="Q346" t="str">
            <v>7</v>
          </cell>
          <cell r="R346" t="str">
            <v>Chauk</v>
          </cell>
          <cell r="S346" t="str">
            <v>119</v>
          </cell>
          <cell r="T346" t="str">
            <v>GSM+UMTS</v>
          </cell>
          <cell r="W346" t="str">
            <v>Ph2-Priority</v>
          </cell>
          <cell r="X346" t="str">
            <v>30</v>
          </cell>
          <cell r="Y346" t="str">
            <v>32</v>
          </cell>
          <cell r="Z346" t="str">
            <v>GBT</v>
          </cell>
          <cell r="AA346" t="str">
            <v>100</v>
          </cell>
          <cell r="AB346" t="str">
            <v>Access</v>
          </cell>
          <cell r="AC346" t="str">
            <v>Class B</v>
          </cell>
          <cell r="BE346" t="str">
            <v>Yangon Ring 1</v>
          </cell>
          <cell r="BH346" t="str">
            <v>Camusat</v>
          </cell>
          <cell r="BJ346">
            <v>42130</v>
          </cell>
          <cell r="BK346">
            <v>42130</v>
          </cell>
          <cell r="BL346">
            <v>42135</v>
          </cell>
          <cell r="BM346">
            <v>42137</v>
          </cell>
          <cell r="BT346">
            <v>17</v>
          </cell>
          <cell r="BU346">
            <v>42156</v>
          </cell>
          <cell r="BV346">
            <v>42147</v>
          </cell>
          <cell r="BW346" t="str">
            <v>95.015036</v>
          </cell>
          <cell r="BX346" t="str">
            <v>20.802421</v>
          </cell>
          <cell r="BY346" t="str">
            <v>C1</v>
          </cell>
          <cell r="BZ346" t="str">
            <v>House no.(188), Gway Cho Village, Chauk Township, Magway Division</v>
          </cell>
          <cell r="CA346" t="str">
            <v>U Kyaw Ngwe;House no.(188), Gway Cho Village, Chauk Township, Magway Division;09-256210058</v>
          </cell>
          <cell r="CB346" t="str">
            <v>23May15: C1 SAR Sub</v>
          </cell>
          <cell r="CC346" t="str">
            <v>Farmland</v>
          </cell>
          <cell r="CE346">
            <v>10</v>
          </cell>
          <cell r="CF346">
            <v>42157</v>
          </cell>
          <cell r="CG346">
            <v>42157</v>
          </cell>
          <cell r="CH346">
            <v>42165</v>
          </cell>
          <cell r="CJ346">
            <v>42168</v>
          </cell>
          <cell r="CK346" t="str">
            <v>35</v>
          </cell>
          <cell r="CL346" t="str">
            <v>37</v>
          </cell>
          <cell r="CM346" t="str">
            <v>35</v>
          </cell>
          <cell r="CN346">
            <v>13</v>
          </cell>
          <cell r="CO346">
            <v>42168</v>
          </cell>
          <cell r="CP346">
            <v>42170</v>
          </cell>
          <cell r="CQ346" t="str">
            <v>M1: grid power + battery</v>
          </cell>
          <cell r="CR346">
            <v>2</v>
          </cell>
          <cell r="CS346">
            <v>42169</v>
          </cell>
          <cell r="CT346">
            <v>42172</v>
          </cell>
          <cell r="CU346" t="str">
            <v>MG0412</v>
          </cell>
          <cell r="DH346">
            <v>6</v>
          </cell>
          <cell r="DI346">
            <v>42179</v>
          </cell>
          <cell r="DJ346">
            <v>42178</v>
          </cell>
          <cell r="DK346">
            <v>42176</v>
          </cell>
          <cell r="DL346">
            <v>42175</v>
          </cell>
          <cell r="DM346">
            <v>42180</v>
          </cell>
          <cell r="DN346">
            <v>42180</v>
          </cell>
          <cell r="DO346">
            <v>0</v>
          </cell>
          <cell r="DP346">
            <v>42179</v>
          </cell>
          <cell r="DQ346">
            <v>42178</v>
          </cell>
          <cell r="DT346">
            <v>55</v>
          </cell>
          <cell r="DU346">
            <v>42194</v>
          </cell>
          <cell r="DW346">
            <v>0</v>
          </cell>
          <cell r="DY346">
            <v>42180</v>
          </cell>
          <cell r="DZ346">
            <v>42180</v>
          </cell>
          <cell r="EA346" t="str">
            <v>Camusat</v>
          </cell>
          <cell r="EI346" t="str">
            <v>M5: grid power + DG + battery      </v>
          </cell>
          <cell r="EJ346">
            <v>14</v>
          </cell>
          <cell r="EK346">
            <v>42195</v>
          </cell>
          <cell r="EL346">
            <v>42194</v>
          </cell>
          <cell r="EM346">
            <v>42196</v>
          </cell>
          <cell r="EN346">
            <v>42192</v>
          </cell>
          <cell r="EQ346">
            <v>42203</v>
          </cell>
          <cell r="ER346">
            <v>42202</v>
          </cell>
          <cell r="ES346">
            <v>42199</v>
          </cell>
          <cell r="ET346">
            <v>42202</v>
          </cell>
          <cell r="EU346">
            <v>42202</v>
          </cell>
          <cell r="EW346">
            <v>53</v>
          </cell>
          <cell r="EX346">
            <v>42211</v>
          </cell>
          <cell r="EZ346">
            <v>42213</v>
          </cell>
          <cell r="FA346">
            <v>42205</v>
          </cell>
          <cell r="FB346">
            <v>42215</v>
          </cell>
          <cell r="FC346">
            <v>42205</v>
          </cell>
          <cell r="FU346">
            <v>42217</v>
          </cell>
          <cell r="FV346">
            <v>42206</v>
          </cell>
          <cell r="FW346">
            <v>42217</v>
          </cell>
          <cell r="FX346">
            <v>42205</v>
          </cell>
          <cell r="FY346" t="str">
            <v>CFVL</v>
          </cell>
          <cell r="FZ346">
            <v>42207</v>
          </cell>
          <cell r="GA346">
            <v>42214</v>
          </cell>
          <cell r="GB346">
            <v>42218</v>
          </cell>
          <cell r="GC346">
            <v>42218</v>
          </cell>
          <cell r="GD346">
            <v>42219</v>
          </cell>
          <cell r="GE346">
            <v>42219</v>
          </cell>
          <cell r="GF346">
            <v>42194</v>
          </cell>
          <cell r="GG346">
            <v>42219</v>
          </cell>
          <cell r="GH346">
            <v>42219</v>
          </cell>
          <cell r="GI346">
            <v>42246</v>
          </cell>
          <cell r="GJ346" t="str">
            <v>36-2015</v>
          </cell>
          <cell r="GK346">
            <v>42221</v>
          </cell>
          <cell r="GL346" t="str">
            <v>DUW faulty; 3G not on air</v>
          </cell>
          <cell r="GN346" t="str">
            <v>ERICSSON</v>
          </cell>
          <cell r="GQ346">
            <v>0</v>
          </cell>
          <cell r="GS346" t="str">
            <v>4/4/4</v>
          </cell>
          <cell r="GU346" t="str">
            <v xml:space="preserve">		</v>
          </cell>
          <cell r="HD346">
            <v>1</v>
          </cell>
        </row>
        <row r="347">
          <cell r="A347" t="str">
            <v>MG0413</v>
          </cell>
          <cell r="B347" t="str">
            <v>ANMG_0150</v>
          </cell>
          <cell r="C347" t="str">
            <v>Apollo</v>
          </cell>
          <cell r="D347" t="str">
            <v>Adriaan Coetsee</v>
          </cell>
          <cell r="F347" t="str">
            <v>Mya Kyauk</v>
          </cell>
          <cell r="G347" t="str">
            <v>Si Thu Moe</v>
          </cell>
          <cell r="H347" t="str">
            <v>RED</v>
          </cell>
          <cell r="I347" t="str">
            <v>North</v>
          </cell>
          <cell r="J347" t="str">
            <v>95.376963</v>
          </cell>
          <cell r="K347" t="str">
            <v>20.656716</v>
          </cell>
          <cell r="L347" t="str">
            <v>Rural</v>
          </cell>
          <cell r="M347" t="str">
            <v>Magway</v>
          </cell>
          <cell r="N347" t="str">
            <v>Natmauk</v>
          </cell>
          <cell r="O347" t="str">
            <v>Natmauk</v>
          </cell>
          <cell r="P347" t="str">
            <v>Magway</v>
          </cell>
          <cell r="Q347" t="str">
            <v>7</v>
          </cell>
          <cell r="R347" t="str">
            <v>Natmauk</v>
          </cell>
          <cell r="S347" t="str">
            <v>122</v>
          </cell>
          <cell r="T347" t="str">
            <v>GSM+UMTS</v>
          </cell>
          <cell r="W347" t="str">
            <v>Ph2-Priority</v>
          </cell>
          <cell r="X347" t="str">
            <v>30</v>
          </cell>
          <cell r="Y347" t="str">
            <v>32</v>
          </cell>
          <cell r="Z347" t="str">
            <v>GBT</v>
          </cell>
          <cell r="AA347" t="str">
            <v>100</v>
          </cell>
          <cell r="AB347" t="str">
            <v>Access</v>
          </cell>
          <cell r="AC347" t="str">
            <v>Class B</v>
          </cell>
          <cell r="BE347" t="str">
            <v>Route 2 Yangon -Mawlamyine</v>
          </cell>
          <cell r="BH347" t="str">
            <v>Camusat</v>
          </cell>
          <cell r="BJ347">
            <v>42130</v>
          </cell>
          <cell r="BK347">
            <v>42130</v>
          </cell>
          <cell r="BL347">
            <v>42135</v>
          </cell>
          <cell r="BM347">
            <v>42177</v>
          </cell>
          <cell r="BT347">
            <v>16</v>
          </cell>
          <cell r="BU347">
            <v>42137</v>
          </cell>
          <cell r="BV347">
            <v>42234</v>
          </cell>
          <cell r="BW347" t="str">
            <v>95.37775</v>
          </cell>
          <cell r="BX347" t="str">
            <v>20.65049</v>
          </cell>
          <cell r="BY347" t="str">
            <v>C2</v>
          </cell>
          <cell r="BZ347" t="str">
            <v>Kin Chaung Taung Kwin, Kwin N0. 835, Holding N0. 12/14, Kin Chaung Village, Mudone Tsp, Mon State</v>
          </cell>
          <cell r="CA347" t="str">
            <v>U Kyaw Kyaw;09-796723158,09255908451</v>
          </cell>
          <cell r="CB347" t="str">
            <v>18 Aug 15:C2- SAR submission + justification; C1-NOC issue;16 Jun 15 : C1 TSSR app;15 Jun 15 :C1 TSSR sub;4 May 15 : C1 SAR updated technical info release again because previous E// approved with 60 M Tower height but Apollo can support 45 M Tower for that site;25 May 15 : C1 SAR approved as an option 1(RND Approved with 53/60M GBT ); 25 May 15 : C1 SAR approved as an option 1(RND Approved with 53/60M GBT ); 22May15: C1 SAR Sub.</v>
          </cell>
          <cell r="CC347" t="str">
            <v>Farmland</v>
          </cell>
          <cell r="CE347">
            <v>3</v>
          </cell>
          <cell r="CF347">
            <v>42138</v>
          </cell>
          <cell r="CG347">
            <v>42235</v>
          </cell>
          <cell r="CH347">
            <v>42165</v>
          </cell>
          <cell r="CJ347">
            <v>42189</v>
          </cell>
          <cell r="CK347" t="str">
            <v>45</v>
          </cell>
          <cell r="CL347" t="str">
            <v>47</v>
          </cell>
          <cell r="CM347" t="str">
            <v>50</v>
          </cell>
          <cell r="CN347">
            <v>21</v>
          </cell>
          <cell r="CO347">
            <v>42168</v>
          </cell>
          <cell r="CP347">
            <v>42191</v>
          </cell>
          <cell r="CQ347" t="str">
            <v>M4: solar + DG + battery</v>
          </cell>
          <cell r="CR347">
            <v>1</v>
          </cell>
          <cell r="CS347">
            <v>42169</v>
          </cell>
          <cell r="CT347">
            <v>42192</v>
          </cell>
          <cell r="CU347" t="str">
            <v>MG0413</v>
          </cell>
          <cell r="DH347">
            <v>62</v>
          </cell>
          <cell r="DI347">
            <v>42179</v>
          </cell>
          <cell r="DJ347">
            <v>42217</v>
          </cell>
          <cell r="DK347">
            <v>42176</v>
          </cell>
          <cell r="DL347">
            <v>42179</v>
          </cell>
          <cell r="DM347">
            <v>42180</v>
          </cell>
          <cell r="DO347">
            <v>0</v>
          </cell>
          <cell r="DP347">
            <v>42179</v>
          </cell>
          <cell r="DQ347">
            <v>42217</v>
          </cell>
          <cell r="DT347">
            <v>0</v>
          </cell>
          <cell r="DU347">
            <v>42194</v>
          </cell>
          <cell r="DW347">
            <v>0</v>
          </cell>
          <cell r="DY347">
            <v>42180</v>
          </cell>
          <cell r="DZ347">
            <v>42208</v>
          </cell>
          <cell r="EA347" t="str">
            <v>Camusat</v>
          </cell>
          <cell r="ED347" t="str">
            <v xml:space="preserve">17Aug15 :ThantZin.Oo: 13/8/15 : Footing and Pedestal rebar-work in progress .
</v>
          </cell>
          <cell r="EE347" t="str">
            <v xml:space="preserve">10 Aug 15:Rain affected_Progress affected; 3-Aug-15: Rain Affected								</v>
          </cell>
          <cell r="EJ347">
            <v>0</v>
          </cell>
          <cell r="EK347">
            <v>42197</v>
          </cell>
          <cell r="EL347">
            <v>42233</v>
          </cell>
          <cell r="EM347">
            <v>42198</v>
          </cell>
          <cell r="EQ347">
            <v>42207</v>
          </cell>
          <cell r="EW347">
            <v>0</v>
          </cell>
          <cell r="EX347">
            <v>42216</v>
          </cell>
          <cell r="EZ347">
            <v>42217</v>
          </cell>
          <cell r="FB347">
            <v>42219</v>
          </cell>
          <cell r="FU347">
            <v>42221</v>
          </cell>
          <cell r="FW347">
            <v>42221</v>
          </cell>
          <cell r="FY347" t="str">
            <v>CFVL</v>
          </cell>
          <cell r="GJ347">
            <v>0</v>
          </cell>
          <cell r="GN347" t="str">
            <v>ERICSSON</v>
          </cell>
          <cell r="GS347" t="str">
            <v>4/4/4</v>
          </cell>
          <cell r="GU347" t="str">
            <v xml:space="preserve">		</v>
          </cell>
          <cell r="HD347">
            <v>1</v>
          </cell>
        </row>
        <row r="348">
          <cell r="A348" t="str">
            <v>MG0414</v>
          </cell>
          <cell r="B348" t="str">
            <v>ANMG_0151</v>
          </cell>
          <cell r="C348" t="str">
            <v>Apollo</v>
          </cell>
          <cell r="D348" t="str">
            <v>Adriaan Coetsee</v>
          </cell>
          <cell r="F348" t="str">
            <v>Mya Kyauk</v>
          </cell>
          <cell r="G348" t="str">
            <v>Si Thu Moe</v>
          </cell>
          <cell r="H348" t="str">
            <v>WHITE</v>
          </cell>
          <cell r="I348" t="str">
            <v>North</v>
          </cell>
          <cell r="J348" t="str">
            <v>94.75029</v>
          </cell>
          <cell r="K348" t="str">
            <v>20.30791</v>
          </cell>
          <cell r="L348" t="str">
            <v>Rural</v>
          </cell>
          <cell r="M348" t="str">
            <v>Magway</v>
          </cell>
          <cell r="N348" t="str">
            <v>Pwintbyu</v>
          </cell>
          <cell r="O348" t="str">
            <v>Pwintbyu</v>
          </cell>
          <cell r="P348" t="str">
            <v>Magway</v>
          </cell>
          <cell r="Q348" t="str">
            <v>7</v>
          </cell>
          <cell r="R348" t="str">
            <v>Pwintbyu</v>
          </cell>
          <cell r="S348" t="str">
            <v>124</v>
          </cell>
          <cell r="T348" t="str">
            <v>GSM+UMTS</v>
          </cell>
          <cell r="W348" t="str">
            <v>Ph2-Priority</v>
          </cell>
          <cell r="X348" t="str">
            <v>30</v>
          </cell>
          <cell r="Y348" t="str">
            <v>32</v>
          </cell>
          <cell r="Z348" t="str">
            <v>GBT</v>
          </cell>
          <cell r="AA348" t="str">
            <v>100</v>
          </cell>
          <cell r="AB348" t="str">
            <v>Access</v>
          </cell>
          <cell r="AC348" t="str">
            <v>Class B</v>
          </cell>
          <cell r="BE348" t="str">
            <v>Yangon Ring 6</v>
          </cell>
          <cell r="BH348" t="str">
            <v>IENG</v>
          </cell>
          <cell r="BJ348">
            <v>42129</v>
          </cell>
          <cell r="BK348">
            <v>42130</v>
          </cell>
          <cell r="BL348">
            <v>42134</v>
          </cell>
          <cell r="BM348">
            <v>42133</v>
          </cell>
          <cell r="BT348">
            <v>13</v>
          </cell>
          <cell r="BU348">
            <v>42134</v>
          </cell>
          <cell r="BV348">
            <v>42143</v>
          </cell>
          <cell r="BW348" t="str">
            <v>94.74997</v>
          </cell>
          <cell r="BX348" t="str">
            <v>20.30984</v>
          </cell>
          <cell r="BY348" t="str">
            <v>C1</v>
          </cell>
          <cell r="BZ348" t="str">
            <v>NorthWard,Lae Kaing Village,Pwint Phyu Township.</v>
          </cell>
          <cell r="CA348" t="str">
            <v>U Maung Thaung;North Ward, Lae Kung Village, Pwinthbyu Township;09-31829915</v>
          </cell>
          <cell r="CB348" t="str">
            <v>20May15:C1 SAR approved again with 45 M Tower height because  earlier Ericsson approved using 60 M Tower; 10May15: C1 SAR Sub.</v>
          </cell>
          <cell r="CC348" t="str">
            <v>GARDEN LAND</v>
          </cell>
          <cell r="CE348">
            <v>2</v>
          </cell>
          <cell r="CF348">
            <v>42135</v>
          </cell>
          <cell r="CG348">
            <v>42145</v>
          </cell>
          <cell r="CH348">
            <v>42137</v>
          </cell>
          <cell r="CJ348">
            <v>42142</v>
          </cell>
          <cell r="CK348" t="str">
            <v>44</v>
          </cell>
          <cell r="CL348" t="str">
            <v>47</v>
          </cell>
          <cell r="CM348" t="str">
            <v>45</v>
          </cell>
          <cell r="CN348">
            <v>-1</v>
          </cell>
          <cell r="CO348">
            <v>42140</v>
          </cell>
          <cell r="CP348">
            <v>42144</v>
          </cell>
          <cell r="CQ348" t="str">
            <v>M1: grid power + battery</v>
          </cell>
          <cell r="CR348">
            <v>1</v>
          </cell>
          <cell r="CS348">
            <v>42141</v>
          </cell>
          <cell r="CT348">
            <v>42145</v>
          </cell>
          <cell r="CU348" t="str">
            <v>MG0414</v>
          </cell>
          <cell r="DH348">
            <v>34</v>
          </cell>
          <cell r="DI348">
            <v>42163</v>
          </cell>
          <cell r="DJ348">
            <v>42179</v>
          </cell>
          <cell r="DK348">
            <v>42160</v>
          </cell>
          <cell r="DL348">
            <v>42160</v>
          </cell>
          <cell r="DM348">
            <v>42164</v>
          </cell>
          <cell r="DN348">
            <v>42165</v>
          </cell>
          <cell r="DO348">
            <v>0</v>
          </cell>
          <cell r="DP348">
            <v>42163</v>
          </cell>
          <cell r="DQ348">
            <v>42179</v>
          </cell>
          <cell r="DT348">
            <v>54</v>
          </cell>
          <cell r="DU348">
            <v>42178</v>
          </cell>
          <cell r="DW348">
            <v>0</v>
          </cell>
          <cell r="DY348">
            <v>42164</v>
          </cell>
          <cell r="DZ348">
            <v>42159</v>
          </cell>
          <cell r="EA348" t="str">
            <v>IENG</v>
          </cell>
          <cell r="ED348" t="str">
            <v>12Jul15 :SiThu.Moe: This site is onair.
01Jul15 :SiThu.Moe: Equipment slab is done.Power equipments are at site.70% of the total height have been erected.</v>
          </cell>
          <cell r="EI348" t="str">
            <v>M5: grid power + DG + battery      </v>
          </cell>
          <cell r="EJ348">
            <v>19</v>
          </cell>
          <cell r="EK348">
            <v>42181</v>
          </cell>
          <cell r="EL348">
            <v>42178</v>
          </cell>
          <cell r="EM348">
            <v>42182</v>
          </cell>
          <cell r="EN348">
            <v>42179</v>
          </cell>
          <cell r="EQ348">
            <v>42191</v>
          </cell>
          <cell r="ER348">
            <v>42189</v>
          </cell>
          <cell r="ES348">
            <v>42179</v>
          </cell>
          <cell r="ET348">
            <v>42189</v>
          </cell>
          <cell r="EU348">
            <v>42189</v>
          </cell>
          <cell r="EW348">
            <v>74</v>
          </cell>
          <cell r="EX348">
            <v>42205</v>
          </cell>
          <cell r="EZ348">
            <v>42201</v>
          </cell>
          <cell r="FA348">
            <v>42185</v>
          </cell>
          <cell r="FB348">
            <v>42203</v>
          </cell>
          <cell r="FC348">
            <v>42186</v>
          </cell>
          <cell r="FU348">
            <v>42205</v>
          </cell>
          <cell r="FW348">
            <v>42205</v>
          </cell>
          <cell r="FX348">
            <v>42189</v>
          </cell>
          <cell r="FY348" t="str">
            <v>CFVL</v>
          </cell>
          <cell r="FZ348">
            <v>42189</v>
          </cell>
          <cell r="GA348">
            <v>42192</v>
          </cell>
          <cell r="GB348">
            <v>42194</v>
          </cell>
          <cell r="GC348">
            <v>42194</v>
          </cell>
          <cell r="GD348">
            <v>42194</v>
          </cell>
          <cell r="GE348">
            <v>42194</v>
          </cell>
          <cell r="GF348">
            <v>42194</v>
          </cell>
          <cell r="GG348">
            <v>42194</v>
          </cell>
          <cell r="GH348">
            <v>42194</v>
          </cell>
          <cell r="GI348">
            <v>42194</v>
          </cell>
          <cell r="GJ348" t="str">
            <v>28-2015</v>
          </cell>
          <cell r="GK348">
            <v>42194</v>
          </cell>
          <cell r="GN348" t="str">
            <v>ERICSSON</v>
          </cell>
          <cell r="GO348">
            <v>42150</v>
          </cell>
          <cell r="GP348">
            <v>42179</v>
          </cell>
          <cell r="GU348" t="str">
            <v xml:space="preserve">		</v>
          </cell>
          <cell r="HD348">
            <v>1</v>
          </cell>
        </row>
        <row r="349">
          <cell r="A349" t="str">
            <v>MG0415</v>
          </cell>
          <cell r="B349" t="str">
            <v>ANMG_0152</v>
          </cell>
          <cell r="C349" t="str">
            <v>Apollo</v>
          </cell>
          <cell r="D349" t="str">
            <v>Adriaan Coetsee</v>
          </cell>
          <cell r="F349" t="str">
            <v>Mya Kyauk</v>
          </cell>
          <cell r="G349" t="str">
            <v>Si Thu Moe</v>
          </cell>
          <cell r="H349" t="str">
            <v>AMBER</v>
          </cell>
          <cell r="I349" t="str">
            <v>North</v>
          </cell>
          <cell r="J349" t="str">
            <v>94.665531</v>
          </cell>
          <cell r="K349" t="str">
            <v>20.691378</v>
          </cell>
          <cell r="L349" t="str">
            <v>Rural</v>
          </cell>
          <cell r="M349" t="str">
            <v>Magway</v>
          </cell>
          <cell r="N349" t="str">
            <v>Salin</v>
          </cell>
          <cell r="O349" t="str">
            <v>Salin</v>
          </cell>
          <cell r="P349" t="str">
            <v>Magway</v>
          </cell>
          <cell r="Q349" t="str">
            <v>7</v>
          </cell>
          <cell r="R349" t="str">
            <v>Salin</v>
          </cell>
          <cell r="S349" t="str">
            <v>126</v>
          </cell>
          <cell r="T349" t="str">
            <v>GSM+UMTS</v>
          </cell>
          <cell r="W349" t="str">
            <v>Ph2-Priority</v>
          </cell>
          <cell r="X349" t="str">
            <v>45</v>
          </cell>
          <cell r="Y349" t="str">
            <v>47</v>
          </cell>
          <cell r="Z349" t="str">
            <v>GBT</v>
          </cell>
          <cell r="AA349" t="str">
            <v>500</v>
          </cell>
          <cell r="AB349" t="str">
            <v>Access</v>
          </cell>
          <cell r="AC349" t="str">
            <v>Class C</v>
          </cell>
          <cell r="BE349" t="str">
            <v>Route 15 Taunggyi - Tachileik</v>
          </cell>
          <cell r="BH349" t="str">
            <v>Camusat</v>
          </cell>
          <cell r="BJ349">
            <v>42168</v>
          </cell>
          <cell r="BK349">
            <v>42156</v>
          </cell>
          <cell r="BL349">
            <v>42173</v>
          </cell>
          <cell r="BM349">
            <v>42162</v>
          </cell>
          <cell r="BT349">
            <v>16</v>
          </cell>
          <cell r="BU349">
            <v>42230</v>
          </cell>
          <cell r="BV349">
            <v>42172</v>
          </cell>
          <cell r="BW349" t="str">
            <v>94.668412</v>
          </cell>
          <cell r="BX349" t="str">
            <v>20.690695</v>
          </cell>
          <cell r="BY349" t="str">
            <v>C1</v>
          </cell>
          <cell r="BZ349" t="str">
            <v>KOKKOKYIN VILLAGE, KYAUNG GONE GROUP,SALIN TOWNSHIP, MAGWAY DIVISION.</v>
          </cell>
          <cell r="CA349" t="str">
            <v>U A ONE;09-790692791</v>
          </cell>
          <cell r="CB349" t="str">
            <v>17Jun15: C1 SAR Sub</v>
          </cell>
          <cell r="CC349" t="str">
            <v>Forest</v>
          </cell>
          <cell r="CE349">
            <v>1</v>
          </cell>
          <cell r="CF349">
            <v>42231</v>
          </cell>
          <cell r="CG349">
            <v>42173</v>
          </cell>
          <cell r="CH349">
            <v>42233</v>
          </cell>
          <cell r="CJ349">
            <v>42181</v>
          </cell>
          <cell r="CK349" t="str">
            <v>45</v>
          </cell>
          <cell r="CL349" t="str">
            <v>47</v>
          </cell>
          <cell r="CM349" t="str">
            <v>60</v>
          </cell>
          <cell r="CN349">
            <v>10</v>
          </cell>
          <cell r="CO349">
            <v>42236</v>
          </cell>
          <cell r="CP349">
            <v>42183</v>
          </cell>
          <cell r="CQ349" t="str">
            <v>M4: solar + DG + battery</v>
          </cell>
          <cell r="CR349">
            <v>2</v>
          </cell>
          <cell r="CS349">
            <v>42237</v>
          </cell>
          <cell r="CT349">
            <v>42185</v>
          </cell>
          <cell r="CU349" t="str">
            <v>MG0415</v>
          </cell>
          <cell r="DH349">
            <v>17</v>
          </cell>
          <cell r="DI349">
            <v>42247</v>
          </cell>
          <cell r="DJ349">
            <v>42202</v>
          </cell>
          <cell r="DK349">
            <v>42244</v>
          </cell>
          <cell r="DL349">
            <v>42187</v>
          </cell>
          <cell r="DM349">
            <v>42248</v>
          </cell>
          <cell r="DO349">
            <v>0</v>
          </cell>
          <cell r="DP349">
            <v>42247</v>
          </cell>
          <cell r="DQ349">
            <v>42202</v>
          </cell>
          <cell r="DT349">
            <v>31</v>
          </cell>
          <cell r="DU349">
            <v>42262</v>
          </cell>
          <cell r="DW349">
            <v>0</v>
          </cell>
          <cell r="DY349">
            <v>42248</v>
          </cell>
          <cell r="DZ349">
            <v>42206</v>
          </cell>
          <cell r="EA349" t="str">
            <v>Camusat</v>
          </cell>
          <cell r="ED349" t="str">
            <v xml:space="preserve">17Aug15 :SiThu.Moe: 4/8/15:CW not start yet.
</v>
          </cell>
          <cell r="EE349" t="str">
            <v xml:space="preserve">10 Aug 15:Rain affected_Progress affected; 4-Aug-15: CW started and excavation IP,site is flooded but we are trying to do some work 								</v>
          </cell>
          <cell r="EJ349">
            <v>27</v>
          </cell>
          <cell r="EK349">
            <v>42270</v>
          </cell>
          <cell r="EM349">
            <v>42271</v>
          </cell>
          <cell r="EQ349">
            <v>42283</v>
          </cell>
          <cell r="EW349">
            <v>27</v>
          </cell>
          <cell r="EX349">
            <v>42297</v>
          </cell>
          <cell r="EZ349">
            <v>42293</v>
          </cell>
          <cell r="FB349">
            <v>42295</v>
          </cell>
          <cell r="FU349">
            <v>42297</v>
          </cell>
          <cell r="FW349">
            <v>42297</v>
          </cell>
          <cell r="FY349" t="str">
            <v>CFVL</v>
          </cell>
          <cell r="GI349">
            <v>42307</v>
          </cell>
          <cell r="GJ349" t="str">
            <v>44-2015</v>
          </cell>
          <cell r="GN349" t="str">
            <v>ERICSSON</v>
          </cell>
          <cell r="HD349">
            <v>1</v>
          </cell>
        </row>
        <row r="350">
          <cell r="A350" t="str">
            <v>MG0416</v>
          </cell>
          <cell r="B350" t="str">
            <v>ANMG_0153</v>
          </cell>
          <cell r="C350" t="str">
            <v>Apollo</v>
          </cell>
          <cell r="D350" t="str">
            <v>Adriaan Coetsee</v>
          </cell>
          <cell r="F350" t="str">
            <v>Mya Kyauk</v>
          </cell>
          <cell r="G350" t="str">
            <v>Si Thu Moe</v>
          </cell>
          <cell r="H350" t="str">
            <v>AMBER</v>
          </cell>
          <cell r="I350" t="str">
            <v>North</v>
          </cell>
          <cell r="J350" t="str">
            <v>94.65751</v>
          </cell>
          <cell r="K350" t="str">
            <v>20.50232</v>
          </cell>
          <cell r="L350" t="str">
            <v>Rural</v>
          </cell>
          <cell r="M350" t="str">
            <v>Magway</v>
          </cell>
          <cell r="N350" t="str">
            <v>Salin</v>
          </cell>
          <cell r="O350" t="str">
            <v>Salin</v>
          </cell>
          <cell r="P350" t="str">
            <v>Magway</v>
          </cell>
          <cell r="Q350" t="str">
            <v>7</v>
          </cell>
          <cell r="R350" t="str">
            <v>Salin</v>
          </cell>
          <cell r="S350" t="str">
            <v>126</v>
          </cell>
          <cell r="T350" t="str">
            <v>GSM+UMTS</v>
          </cell>
          <cell r="W350" t="str">
            <v>Ph2-Priority</v>
          </cell>
          <cell r="X350" t="str">
            <v>45</v>
          </cell>
          <cell r="Y350" t="str">
            <v>47</v>
          </cell>
          <cell r="Z350" t="str">
            <v>GBT</v>
          </cell>
          <cell r="AA350" t="str">
            <v>500</v>
          </cell>
          <cell r="AB350" t="str">
            <v>Access</v>
          </cell>
          <cell r="AC350" t="str">
            <v>Class C</v>
          </cell>
          <cell r="BE350" t="str">
            <v>Route 14 Dawei - Myeik</v>
          </cell>
          <cell r="BH350" t="str">
            <v>Camusat</v>
          </cell>
          <cell r="BJ350">
            <v>42168</v>
          </cell>
          <cell r="BK350">
            <v>42156</v>
          </cell>
          <cell r="BL350">
            <v>42173</v>
          </cell>
          <cell r="BM350">
            <v>42162</v>
          </cell>
          <cell r="BT350">
            <v>16</v>
          </cell>
          <cell r="BU350">
            <v>42209</v>
          </cell>
          <cell r="BV350">
            <v>42172</v>
          </cell>
          <cell r="BW350" t="str">
            <v>94.65502</v>
          </cell>
          <cell r="BX350" t="str">
            <v>20.50218</v>
          </cell>
          <cell r="BY350" t="str">
            <v>C1</v>
          </cell>
          <cell r="BZ350" t="str">
            <v>Taw Sein Village, Taw Sein Village Track,Salin Township, Magway Division.</v>
          </cell>
          <cell r="CA350" t="str">
            <v>U SOE WIN;9975556307</v>
          </cell>
          <cell r="CB350" t="str">
            <v>17Jun15: C1 SAR Sub</v>
          </cell>
          <cell r="CE350">
            <v>1</v>
          </cell>
          <cell r="CF350">
            <v>42210</v>
          </cell>
          <cell r="CG350">
            <v>42173</v>
          </cell>
          <cell r="CH350">
            <v>42212</v>
          </cell>
          <cell r="CJ350">
            <v>42179</v>
          </cell>
          <cell r="CK350" t="str">
            <v>45</v>
          </cell>
          <cell r="CL350" t="str">
            <v>47</v>
          </cell>
          <cell r="CM350" t="str">
            <v>50</v>
          </cell>
          <cell r="CN350">
            <v>8</v>
          </cell>
          <cell r="CO350">
            <v>42215</v>
          </cell>
          <cell r="CP350">
            <v>42181</v>
          </cell>
          <cell r="CQ350" t="str">
            <v>M1: grid power + battery</v>
          </cell>
          <cell r="CR350">
            <v>3</v>
          </cell>
          <cell r="CS350">
            <v>42216</v>
          </cell>
          <cell r="CT350">
            <v>42184</v>
          </cell>
          <cell r="CU350" t="str">
            <v>MG0416</v>
          </cell>
          <cell r="DH350">
            <v>18</v>
          </cell>
          <cell r="DI350">
            <v>42226</v>
          </cell>
          <cell r="DJ350">
            <v>42202</v>
          </cell>
          <cell r="DK350">
            <v>42223</v>
          </cell>
          <cell r="DL350">
            <v>42186</v>
          </cell>
          <cell r="DM350">
            <v>42227</v>
          </cell>
          <cell r="DN350">
            <v>42192</v>
          </cell>
          <cell r="DO350">
            <v>0</v>
          </cell>
          <cell r="DP350">
            <v>42226</v>
          </cell>
          <cell r="DQ350">
            <v>42202</v>
          </cell>
          <cell r="DT350">
            <v>31</v>
          </cell>
          <cell r="DU350">
            <v>42241</v>
          </cell>
          <cell r="DW350">
            <v>0</v>
          </cell>
          <cell r="DY350">
            <v>42227</v>
          </cell>
          <cell r="DZ350">
            <v>42192</v>
          </cell>
          <cell r="EA350" t="str">
            <v>Camusat</v>
          </cell>
          <cell r="ED350" t="str">
            <v xml:space="preserve">17Aug15 :SiThu.Moe: 4/8/15:Excavation is done.Tower materials are not at site.They not wear PPE and have not Emergency Contacts No.
</v>
          </cell>
          <cell r="EE350" t="str">
            <v xml:space="preserve">10 Aug 15:Rain affected_Progress affected; 3-Aug-15: Rain affected_ Site is progressing but rain is affecting the work every day. Excavation IP								</v>
          </cell>
          <cell r="EJ350">
            <v>41</v>
          </cell>
          <cell r="EK350">
            <v>42244</v>
          </cell>
          <cell r="EM350">
            <v>42245</v>
          </cell>
          <cell r="EQ350">
            <v>42254</v>
          </cell>
          <cell r="EW350">
            <v>41</v>
          </cell>
          <cell r="EX350">
            <v>42285</v>
          </cell>
          <cell r="EZ350">
            <v>42264</v>
          </cell>
          <cell r="FB350">
            <v>42266</v>
          </cell>
          <cell r="FU350">
            <v>42268</v>
          </cell>
          <cell r="FW350">
            <v>42268</v>
          </cell>
          <cell r="GI350">
            <v>42307</v>
          </cell>
          <cell r="GJ350" t="str">
            <v>44-2015</v>
          </cell>
          <cell r="GN350" t="str">
            <v>ERICSSON</v>
          </cell>
          <cell r="GO350">
            <v>42199</v>
          </cell>
          <cell r="GS350" t="str">
            <v>4/4/4</v>
          </cell>
          <cell r="GU350" t="str">
            <v xml:space="preserve">		</v>
          </cell>
          <cell r="HD350">
            <v>1</v>
          </cell>
        </row>
        <row r="351">
          <cell r="A351" t="str">
            <v>MG0417</v>
          </cell>
          <cell r="B351" t="str">
            <v>ANMG_0154</v>
          </cell>
          <cell r="C351" t="str">
            <v>Apollo</v>
          </cell>
          <cell r="D351" t="str">
            <v>Adriaan Coetsee</v>
          </cell>
          <cell r="F351" t="str">
            <v>Mya Kyauk</v>
          </cell>
          <cell r="G351" t="str">
            <v>Si Thu Moe</v>
          </cell>
          <cell r="H351" t="str">
            <v>AMBER</v>
          </cell>
          <cell r="I351" t="str">
            <v>North</v>
          </cell>
          <cell r="J351" t="str">
            <v>94.81849</v>
          </cell>
          <cell r="K351" t="str">
            <v>21.1968</v>
          </cell>
          <cell r="L351" t="str">
            <v>Rural</v>
          </cell>
          <cell r="M351" t="str">
            <v>Magway</v>
          </cell>
          <cell r="N351" t="str">
            <v>Pakokku</v>
          </cell>
          <cell r="O351" t="str">
            <v>Pakokku</v>
          </cell>
          <cell r="P351" t="str">
            <v>Magway</v>
          </cell>
          <cell r="Q351" t="str">
            <v>7</v>
          </cell>
          <cell r="R351" t="str">
            <v>Pakokku</v>
          </cell>
          <cell r="S351" t="str">
            <v>134</v>
          </cell>
          <cell r="T351" t="str">
            <v>GSM+UMTS</v>
          </cell>
          <cell r="U351" t="str">
            <v>YAN-N036</v>
          </cell>
          <cell r="V351" t="str">
            <v>1</v>
          </cell>
          <cell r="W351" t="str">
            <v>Ph2-Priority</v>
          </cell>
          <cell r="X351" t="str">
            <v>45</v>
          </cell>
          <cell r="Y351" t="str">
            <v>47</v>
          </cell>
          <cell r="Z351" t="str">
            <v>GBT</v>
          </cell>
          <cell r="AA351" t="str">
            <v>500</v>
          </cell>
          <cell r="AB351" t="str">
            <v>Access</v>
          </cell>
          <cell r="AC351" t="str">
            <v>Class C</v>
          </cell>
          <cell r="AD351" t="str">
            <v>644.77</v>
          </cell>
          <cell r="AE351" t="str">
            <v>907.54</v>
          </cell>
          <cell r="AF351" t="str">
            <v>1</v>
          </cell>
          <cell r="AG351" t="str">
            <v>YN0961</v>
          </cell>
          <cell r="AH351" t="str">
            <v>YN1003</v>
          </cell>
          <cell r="AI351" t="str">
            <v>YN0802</v>
          </cell>
          <cell r="BC351" t="str">
            <v>YN0802</v>
          </cell>
          <cell r="BE351" t="str">
            <v>Yangon Ring 3</v>
          </cell>
          <cell r="BF351">
            <v>41760</v>
          </cell>
          <cell r="BG351">
            <v>42049</v>
          </cell>
          <cell r="BH351" t="str">
            <v>Camusat</v>
          </cell>
          <cell r="BJ351">
            <v>42161</v>
          </cell>
          <cell r="BK351">
            <v>42159</v>
          </cell>
          <cell r="BL351">
            <v>42166</v>
          </cell>
          <cell r="BM351">
            <v>42166</v>
          </cell>
          <cell r="BT351">
            <v>17</v>
          </cell>
          <cell r="BU351">
            <v>42201</v>
          </cell>
          <cell r="BV351">
            <v>42176</v>
          </cell>
          <cell r="BW351" t="str">
            <v>94.818971</v>
          </cell>
          <cell r="BX351" t="str">
            <v>21.198991</v>
          </cell>
          <cell r="BY351" t="str">
            <v>C1</v>
          </cell>
          <cell r="BZ351" t="str">
            <v>NO.5, KAN GYI SU VILLAGE, DAUK TAW GROUP,PAKOKKU TOWNSHIP, MAGWAY</v>
          </cell>
          <cell r="CA351" t="str">
            <v>Daw Zin Mar Oo;09-796503052</v>
          </cell>
          <cell r="CB351" t="str">
            <v>21JUn15: C1 SAR Sub</v>
          </cell>
          <cell r="CE351">
            <v>1</v>
          </cell>
          <cell r="CF351">
            <v>42202</v>
          </cell>
          <cell r="CG351">
            <v>42177</v>
          </cell>
          <cell r="CH351">
            <v>42204</v>
          </cell>
          <cell r="CJ351">
            <v>42181</v>
          </cell>
          <cell r="CK351" t="str">
            <v>49</v>
          </cell>
          <cell r="CL351" t="str">
            <v>52</v>
          </cell>
          <cell r="CM351" t="str">
            <v>50</v>
          </cell>
          <cell r="CN351">
            <v>6</v>
          </cell>
          <cell r="CO351">
            <v>42207</v>
          </cell>
          <cell r="CP351">
            <v>42183</v>
          </cell>
          <cell r="CQ351" t="str">
            <v>M1: grid power + battery</v>
          </cell>
          <cell r="CR351">
            <v>8</v>
          </cell>
          <cell r="CS351">
            <v>42208</v>
          </cell>
          <cell r="CT351">
            <v>42191</v>
          </cell>
          <cell r="CU351" t="str">
            <v>MG0417</v>
          </cell>
          <cell r="DH351">
            <v>4</v>
          </cell>
          <cell r="DI351">
            <v>42218</v>
          </cell>
          <cell r="DJ351">
            <v>42195</v>
          </cell>
          <cell r="DK351">
            <v>42215</v>
          </cell>
          <cell r="DL351">
            <v>42189</v>
          </cell>
          <cell r="DM351">
            <v>42219</v>
          </cell>
          <cell r="DN351">
            <v>42199</v>
          </cell>
          <cell r="DO351">
            <v>0</v>
          </cell>
          <cell r="DP351">
            <v>42218</v>
          </cell>
          <cell r="DQ351">
            <v>42195</v>
          </cell>
          <cell r="DR351" t="str">
            <v>Thanlyin CDC</v>
          </cell>
          <cell r="DS351" t="str">
            <v>Daw Tin Moe Shwe (Executive Engineer)
(Contact: 056-21793)
U Sein Win (Assistant Engineer)
(Contact: 09-5405958)
Daw Tin Zar Moe (Junior Clerk)
(Contact: 056-21793)</v>
          </cell>
          <cell r="DT351">
            <v>38</v>
          </cell>
          <cell r="DU351">
            <v>42233</v>
          </cell>
          <cell r="DW351">
            <v>0</v>
          </cell>
          <cell r="DY351">
            <v>42219</v>
          </cell>
          <cell r="DZ351">
            <v>42198</v>
          </cell>
          <cell r="EA351" t="str">
            <v>Camusat</v>
          </cell>
          <cell r="ED351" t="str">
            <v xml:space="preserve">17Aug15 :SiThu.Moe: 11/8/15:CW not start yet.
</v>
          </cell>
          <cell r="EE351" t="str">
            <v xml:space="preserve">10 Aug 15:Rain affected_Progress affected; 2-Aug-15: CW started and neighbour issue resolved								</v>
          </cell>
          <cell r="EJ351">
            <v>35</v>
          </cell>
          <cell r="EK351">
            <v>42236</v>
          </cell>
          <cell r="EM351">
            <v>42237</v>
          </cell>
          <cell r="EQ351">
            <v>42246</v>
          </cell>
          <cell r="EW351">
            <v>35</v>
          </cell>
          <cell r="EX351">
            <v>42260</v>
          </cell>
          <cell r="EZ351">
            <v>42256</v>
          </cell>
          <cell r="FB351">
            <v>42258</v>
          </cell>
          <cell r="FD351">
            <v>41932</v>
          </cell>
          <cell r="FF351">
            <v>41939</v>
          </cell>
          <cell r="FG351">
            <v>42026</v>
          </cell>
          <cell r="FH351">
            <v>41941</v>
          </cell>
          <cell r="FJ351">
            <v>41944</v>
          </cell>
          <cell r="FN351">
            <v>41948</v>
          </cell>
          <cell r="FP351">
            <v>41950</v>
          </cell>
          <cell r="FR351">
            <v>41964</v>
          </cell>
          <cell r="FU351">
            <v>42260</v>
          </cell>
          <cell r="FW351">
            <v>42260</v>
          </cell>
          <cell r="GI351">
            <v>42307</v>
          </cell>
          <cell r="GJ351" t="str">
            <v>44-2015</v>
          </cell>
          <cell r="GN351" t="str">
            <v>ERICSSON</v>
          </cell>
          <cell r="GS351" t="str">
            <v>4/4/4</v>
          </cell>
          <cell r="GU351" t="str">
            <v xml:space="preserve">		</v>
          </cell>
          <cell r="HD351">
            <v>1</v>
          </cell>
        </row>
        <row r="352">
          <cell r="A352" t="str">
            <v>MG0418</v>
          </cell>
          <cell r="B352" t="str">
            <v>ANMG_0155</v>
          </cell>
          <cell r="C352" t="str">
            <v>Apollo</v>
          </cell>
          <cell r="D352" t="str">
            <v>Adriaan Coetsee</v>
          </cell>
          <cell r="F352" t="str">
            <v>Mya Kyauk</v>
          </cell>
          <cell r="G352" t="str">
            <v>Si Thu Moe</v>
          </cell>
          <cell r="H352" t="str">
            <v>RED</v>
          </cell>
          <cell r="I352" t="str">
            <v>North</v>
          </cell>
          <cell r="J352" t="str">
            <v>95.07662</v>
          </cell>
          <cell r="K352" t="str">
            <v>21.333</v>
          </cell>
          <cell r="L352" t="str">
            <v>SubUrban</v>
          </cell>
          <cell r="M352" t="str">
            <v>Magway</v>
          </cell>
          <cell r="N352" t="str">
            <v>Pakokku</v>
          </cell>
          <cell r="O352" t="str">
            <v>Pakokku</v>
          </cell>
          <cell r="P352" t="str">
            <v>Magway</v>
          </cell>
          <cell r="Q352" t="str">
            <v>7</v>
          </cell>
          <cell r="R352" t="str">
            <v>Pakokku</v>
          </cell>
          <cell r="S352" t="str">
            <v>134</v>
          </cell>
          <cell r="T352" t="str">
            <v>GSM+UMTS</v>
          </cell>
          <cell r="W352" t="str">
            <v>Ph2-Priority</v>
          </cell>
          <cell r="X352" t="str">
            <v>35</v>
          </cell>
          <cell r="Y352" t="str">
            <v>37</v>
          </cell>
          <cell r="Z352" t="str">
            <v>GBT</v>
          </cell>
          <cell r="AA352" t="str">
            <v>250</v>
          </cell>
          <cell r="AB352" t="str">
            <v>Access</v>
          </cell>
          <cell r="AC352" t="str">
            <v>Class B</v>
          </cell>
          <cell r="BE352" t="str">
            <v>Route 8 Mandalay - Magwe</v>
          </cell>
          <cell r="BH352" t="str">
            <v>Camusat</v>
          </cell>
          <cell r="BJ352">
            <v>42151</v>
          </cell>
          <cell r="BK352">
            <v>42130</v>
          </cell>
          <cell r="BL352">
            <v>42156</v>
          </cell>
          <cell r="BM352">
            <v>42146</v>
          </cell>
          <cell r="BT352">
            <v>102</v>
          </cell>
          <cell r="BU352">
            <v>42184</v>
          </cell>
          <cell r="BV352">
            <v>42156</v>
          </cell>
          <cell r="BW352" t="str">
            <v>95.246637</v>
          </cell>
          <cell r="BX352" t="str">
            <v>21.635446</v>
          </cell>
          <cell r="BY352" t="str">
            <v>Reject</v>
          </cell>
          <cell r="BZ352" t="str">
            <v>No (5), Ywar Boe Quarter, Yesagyo Town Pakokku District.</v>
          </cell>
          <cell r="CA352" t="str">
            <v>U Pan Aung;No.(5), Ywar Boe Quarter, Yesagyo Town, Yesagyo Township, Magway Division;062-30737</v>
          </cell>
          <cell r="CB352" t="str">
            <v>18 Aug 15 : C2 SAR reject( RND rejected this candidate because it is 390m far from the nominal and 350m close to the MG0303_C01 IGT On Air Site.); 16 Aug 15 : C2 SAR sub;13 Aug 15: C1 deactivate because of NOC issue; 17 Jul 15 : C1 TSSR app;15 Jul 15 : C1 TSSR sub;2 Jul 15 : C1 SAR app;30 Jun 15 : C1 SAR sub</v>
          </cell>
          <cell r="CC352" t="str">
            <v>Village / Town</v>
          </cell>
          <cell r="CE352">
            <v>1</v>
          </cell>
          <cell r="CF352">
            <v>42185</v>
          </cell>
          <cell r="CG352">
            <v>42156</v>
          </cell>
          <cell r="CH352">
            <v>42187</v>
          </cell>
          <cell r="CJ352">
            <v>42165</v>
          </cell>
          <cell r="CK352" t="str">
            <v>35</v>
          </cell>
          <cell r="CL352" t="str">
            <v>37</v>
          </cell>
          <cell r="CM352" t="str">
            <v>60</v>
          </cell>
          <cell r="CN352">
            <v>0</v>
          </cell>
          <cell r="CO352">
            <v>42190</v>
          </cell>
          <cell r="CP352">
            <v>42167</v>
          </cell>
          <cell r="CQ352" t="str">
            <v>M1: grid power + battery</v>
          </cell>
          <cell r="CR352">
            <v>0</v>
          </cell>
          <cell r="CS352">
            <v>42191</v>
          </cell>
          <cell r="CT352">
            <v>42170</v>
          </cell>
          <cell r="CU352" t="str">
            <v>MG0418</v>
          </cell>
          <cell r="DH352">
            <v>0</v>
          </cell>
          <cell r="DI352">
            <v>42201</v>
          </cell>
          <cell r="DJ352">
            <v>42202</v>
          </cell>
          <cell r="DK352">
            <v>42198</v>
          </cell>
          <cell r="DL352">
            <v>42242</v>
          </cell>
          <cell r="DM352">
            <v>42202</v>
          </cell>
          <cell r="DO352">
            <v>0</v>
          </cell>
          <cell r="DP352">
            <v>42201</v>
          </cell>
          <cell r="DQ352">
            <v>42201</v>
          </cell>
          <cell r="DT352">
            <v>0</v>
          </cell>
          <cell r="DU352">
            <v>42216</v>
          </cell>
          <cell r="DW352">
            <v>0</v>
          </cell>
          <cell r="DY352">
            <v>42202</v>
          </cell>
          <cell r="DZ352">
            <v>42215</v>
          </cell>
          <cell r="EA352" t="str">
            <v>EDYCOM</v>
          </cell>
          <cell r="EJ352">
            <v>0</v>
          </cell>
          <cell r="EK352">
            <v>42219</v>
          </cell>
          <cell r="EM352">
            <v>42220</v>
          </cell>
          <cell r="EQ352">
            <v>42229</v>
          </cell>
          <cell r="EW352">
            <v>0</v>
          </cell>
          <cell r="EX352">
            <v>42215</v>
          </cell>
          <cell r="EZ352">
            <v>42239</v>
          </cell>
          <cell r="FB352">
            <v>42241</v>
          </cell>
          <cell r="FU352">
            <v>42243</v>
          </cell>
          <cell r="FW352">
            <v>42243</v>
          </cell>
          <cell r="GI352">
            <v>42307</v>
          </cell>
          <cell r="GJ352" t="str">
            <v>44-2015</v>
          </cell>
          <cell r="GN352" t="str">
            <v>ERICSSON</v>
          </cell>
          <cell r="GO352">
            <v>42200</v>
          </cell>
          <cell r="HD352">
            <v>1</v>
          </cell>
        </row>
        <row r="353">
          <cell r="A353" t="str">
            <v>MG0419</v>
          </cell>
          <cell r="B353" t="str">
            <v>ANMG_0156</v>
          </cell>
          <cell r="C353" t="str">
            <v>Apollo</v>
          </cell>
          <cell r="D353" t="str">
            <v>Adriaan Coetsee</v>
          </cell>
          <cell r="F353" t="str">
            <v>Mya Kyauk</v>
          </cell>
          <cell r="G353" t="str">
            <v>Si Thu Moe</v>
          </cell>
          <cell r="H353" t="str">
            <v>AMBER</v>
          </cell>
          <cell r="I353" t="str">
            <v>North</v>
          </cell>
          <cell r="J353" t="str">
            <v>94.94391</v>
          </cell>
          <cell r="K353" t="str">
            <v>21.2714</v>
          </cell>
          <cell r="L353" t="str">
            <v>Rural</v>
          </cell>
          <cell r="M353" t="str">
            <v>Magway</v>
          </cell>
          <cell r="N353" t="str">
            <v>Pakokku</v>
          </cell>
          <cell r="O353" t="str">
            <v>Pakokku</v>
          </cell>
          <cell r="P353" t="str">
            <v>Magway</v>
          </cell>
          <cell r="Q353" t="str">
            <v>7</v>
          </cell>
          <cell r="R353" t="str">
            <v>Pakokku</v>
          </cell>
          <cell r="S353" t="str">
            <v>134</v>
          </cell>
          <cell r="T353" t="str">
            <v>GSM+UMTS</v>
          </cell>
          <cell r="W353" t="str">
            <v>Ph2-Priority</v>
          </cell>
          <cell r="X353" t="str">
            <v>45</v>
          </cell>
          <cell r="Y353" t="str">
            <v>47</v>
          </cell>
          <cell r="Z353" t="str">
            <v>GBT</v>
          </cell>
          <cell r="AA353" t="str">
            <v>500</v>
          </cell>
          <cell r="AB353" t="str">
            <v>Access</v>
          </cell>
          <cell r="AC353" t="str">
            <v>Class C</v>
          </cell>
          <cell r="BE353" t="str">
            <v>Route 8 Mandalay - Magwe</v>
          </cell>
          <cell r="BH353" t="str">
            <v>Camusat</v>
          </cell>
          <cell r="BJ353">
            <v>42161</v>
          </cell>
          <cell r="BK353">
            <v>42167</v>
          </cell>
          <cell r="BL353">
            <v>42166</v>
          </cell>
          <cell r="BM353">
            <v>42174</v>
          </cell>
          <cell r="BT353">
            <v>13</v>
          </cell>
          <cell r="BU353">
            <v>42202</v>
          </cell>
          <cell r="BV353">
            <v>42180</v>
          </cell>
          <cell r="BW353" t="str">
            <v>94.94794</v>
          </cell>
          <cell r="BX353" t="str">
            <v>21.26979</v>
          </cell>
          <cell r="BY353" t="str">
            <v>C1</v>
          </cell>
          <cell r="BZ353" t="str">
            <v>A Nout Nga Kyaw Village, Bel Gyi Village Track, Pakokku Township, Magway Division.</v>
          </cell>
          <cell r="CA353" t="str">
            <v>U Hla Than</v>
          </cell>
          <cell r="CB353">
            <v>0</v>
          </cell>
          <cell r="CC353" t="str">
            <v>Village</v>
          </cell>
          <cell r="CE353">
            <v>5</v>
          </cell>
          <cell r="CF353">
            <v>42203</v>
          </cell>
          <cell r="CG353">
            <v>42185</v>
          </cell>
          <cell r="CH353">
            <v>42205</v>
          </cell>
          <cell r="CJ353">
            <v>42198</v>
          </cell>
          <cell r="CK353" t="str">
            <v>45</v>
          </cell>
          <cell r="CL353" t="str">
            <v>47</v>
          </cell>
          <cell r="CM353" t="str">
            <v>60</v>
          </cell>
          <cell r="CN353">
            <v>15</v>
          </cell>
          <cell r="CO353">
            <v>42208</v>
          </cell>
          <cell r="CP353">
            <v>42200</v>
          </cell>
          <cell r="CQ353" t="str">
            <v>M4: solar + DG + battery</v>
          </cell>
          <cell r="CR353">
            <v>2</v>
          </cell>
          <cell r="CS353">
            <v>42209</v>
          </cell>
          <cell r="CT353">
            <v>42202</v>
          </cell>
          <cell r="CU353" t="str">
            <v>MG0419</v>
          </cell>
          <cell r="DH353">
            <v>31</v>
          </cell>
          <cell r="DI353">
            <v>42219</v>
          </cell>
          <cell r="DJ353">
            <v>42202</v>
          </cell>
          <cell r="DK353">
            <v>42216</v>
          </cell>
          <cell r="DL353">
            <v>42179</v>
          </cell>
          <cell r="DM353">
            <v>42220</v>
          </cell>
          <cell r="DO353">
            <v>0</v>
          </cell>
          <cell r="DP353">
            <v>42219</v>
          </cell>
          <cell r="DQ353">
            <v>42201</v>
          </cell>
          <cell r="DT353">
            <v>0</v>
          </cell>
          <cell r="DU353">
            <v>42234</v>
          </cell>
          <cell r="DW353">
            <v>0</v>
          </cell>
          <cell r="DY353">
            <v>42220</v>
          </cell>
          <cell r="DZ353">
            <v>42219</v>
          </cell>
          <cell r="EA353" t="str">
            <v>Camusat</v>
          </cell>
          <cell r="EJ353">
            <v>14</v>
          </cell>
          <cell r="EK353">
            <v>42242</v>
          </cell>
          <cell r="EM353">
            <v>42243</v>
          </cell>
          <cell r="EQ353">
            <v>42255</v>
          </cell>
          <cell r="EW353">
            <v>14</v>
          </cell>
          <cell r="EX353">
            <v>42269</v>
          </cell>
          <cell r="EZ353">
            <v>42265</v>
          </cell>
          <cell r="FB353">
            <v>42267</v>
          </cell>
          <cell r="FU353">
            <v>42269</v>
          </cell>
          <cell r="FW353">
            <v>42269</v>
          </cell>
          <cell r="GF353">
            <v>42207</v>
          </cell>
          <cell r="GI353">
            <v>42215</v>
          </cell>
          <cell r="GJ353">
            <v>0</v>
          </cell>
          <cell r="GN353" t="str">
            <v>ERICSSON</v>
          </cell>
          <cell r="HD353">
            <v>1</v>
          </cell>
        </row>
        <row r="354">
          <cell r="A354" t="str">
            <v>MG0420</v>
          </cell>
          <cell r="B354" t="str">
            <v>ANMG_0157</v>
          </cell>
          <cell r="C354" t="str">
            <v>Apollo</v>
          </cell>
          <cell r="D354" t="str">
            <v>Adriaan Coetsee</v>
          </cell>
          <cell r="F354" t="str">
            <v>Mya Kyauk</v>
          </cell>
          <cell r="G354" t="str">
            <v>Si Thu Moe</v>
          </cell>
          <cell r="H354" t="str">
            <v>RED</v>
          </cell>
          <cell r="I354" t="str">
            <v>North</v>
          </cell>
          <cell r="J354" t="str">
            <v>95.141421</v>
          </cell>
          <cell r="K354" t="str">
            <v>21.784773</v>
          </cell>
          <cell r="L354" t="str">
            <v>Rural</v>
          </cell>
          <cell r="M354" t="str">
            <v>Magway</v>
          </cell>
          <cell r="N354" t="str">
            <v>Yesagyo</v>
          </cell>
          <cell r="O354" t="str">
            <v>Yesagyo</v>
          </cell>
          <cell r="P354" t="str">
            <v>Magway</v>
          </cell>
          <cell r="Q354" t="str">
            <v>7</v>
          </cell>
          <cell r="R354" t="str">
            <v>Yesagyo</v>
          </cell>
          <cell r="S354" t="str">
            <v>135</v>
          </cell>
          <cell r="T354" t="str">
            <v>GSM+UMTS</v>
          </cell>
          <cell r="W354" t="str">
            <v>Ph2-Priority</v>
          </cell>
          <cell r="X354" t="str">
            <v>45</v>
          </cell>
          <cell r="Y354" t="str">
            <v>47</v>
          </cell>
          <cell r="Z354" t="str">
            <v>GBT</v>
          </cell>
          <cell r="AA354" t="str">
            <v>500</v>
          </cell>
          <cell r="AB354" t="str">
            <v>Access</v>
          </cell>
          <cell r="AC354" t="str">
            <v>Class C</v>
          </cell>
          <cell r="BE354" t="str">
            <v>Kyauktaw-Kyaukpadaung</v>
          </cell>
          <cell r="BH354" t="str">
            <v>Camusat</v>
          </cell>
          <cell r="BJ354">
            <v>42168</v>
          </cell>
          <cell r="BK354">
            <v>42165</v>
          </cell>
          <cell r="BL354">
            <v>42173</v>
          </cell>
          <cell r="BM354">
            <v>42172</v>
          </cell>
          <cell r="BT354">
            <v>16</v>
          </cell>
          <cell r="BU354">
            <v>42269</v>
          </cell>
          <cell r="BV354">
            <v>42181</v>
          </cell>
          <cell r="BW354" t="str">
            <v>95.137512</v>
          </cell>
          <cell r="BX354" t="str">
            <v>21.784357</v>
          </cell>
          <cell r="BY354" t="str">
            <v>C1</v>
          </cell>
          <cell r="BZ354" t="str">
            <v>Peik Thin Kap Village,Wet Kataw Village Tack,Yay Sa Kyo Township,Magway Division.</v>
          </cell>
          <cell r="CA354" t="str">
            <v>U AUNG NAING MOE;9401627040</v>
          </cell>
          <cell r="CB354" t="str">
            <v>2 July 15 : C1 SAR approved as an option 1(RND increased nominal 45m to 48m antenna height as per confirmation mail of mention the tower height is 50m from towerco on 30_Jun. So RND approved with 48m / 50m GBT as priority 1. This site is 405m far from the nominal point.)</v>
          </cell>
          <cell r="CC354" t="str">
            <v>VILLAGE</v>
          </cell>
          <cell r="CE354">
            <v>6</v>
          </cell>
          <cell r="CF354">
            <v>42270</v>
          </cell>
          <cell r="CG354">
            <v>42187</v>
          </cell>
          <cell r="CH354">
            <v>42272</v>
          </cell>
          <cell r="CJ354">
            <v>42199</v>
          </cell>
          <cell r="CK354" t="str">
            <v>48</v>
          </cell>
          <cell r="CL354" t="str">
            <v>50</v>
          </cell>
          <cell r="CM354" t="str">
            <v>50</v>
          </cell>
          <cell r="CN354">
            <v>14</v>
          </cell>
          <cell r="CO354">
            <v>42275</v>
          </cell>
          <cell r="CP354">
            <v>42201</v>
          </cell>
          <cell r="CQ354" t="str">
            <v>M4: solar + DG + battery</v>
          </cell>
          <cell r="CR354">
            <v>4</v>
          </cell>
          <cell r="CS354">
            <v>42276</v>
          </cell>
          <cell r="CT354">
            <v>42205</v>
          </cell>
          <cell r="CU354" t="str">
            <v>MG0420</v>
          </cell>
          <cell r="DH354">
            <v>28</v>
          </cell>
          <cell r="DI354">
            <v>42286</v>
          </cell>
          <cell r="DK354">
            <v>42283</v>
          </cell>
          <cell r="DL354">
            <v>42208</v>
          </cell>
          <cell r="DM354">
            <v>42287</v>
          </cell>
          <cell r="DO354">
            <v>0</v>
          </cell>
          <cell r="DP354">
            <v>42286</v>
          </cell>
          <cell r="DT354">
            <v>0</v>
          </cell>
          <cell r="DU354">
            <v>42301</v>
          </cell>
          <cell r="DW354">
            <v>0</v>
          </cell>
          <cell r="DY354">
            <v>42287</v>
          </cell>
          <cell r="EA354" t="str">
            <v>Camusat</v>
          </cell>
          <cell r="EJ354">
            <v>0</v>
          </cell>
          <cell r="EK354">
            <v>42304</v>
          </cell>
          <cell r="EM354">
            <v>42305</v>
          </cell>
          <cell r="EQ354">
            <v>42314</v>
          </cell>
          <cell r="EW354">
            <v>0</v>
          </cell>
          <cell r="EX354">
            <v>42316</v>
          </cell>
          <cell r="EZ354">
            <v>42324</v>
          </cell>
          <cell r="FB354">
            <v>42326</v>
          </cell>
          <cell r="FU354">
            <v>42328</v>
          </cell>
          <cell r="FW354">
            <v>42328</v>
          </cell>
          <cell r="GI354">
            <v>42246</v>
          </cell>
          <cell r="GJ354">
            <v>0</v>
          </cell>
          <cell r="GN354" t="str">
            <v>ERICSSON</v>
          </cell>
          <cell r="GO354">
            <v>42200</v>
          </cell>
          <cell r="HD354">
            <v>1</v>
          </cell>
        </row>
        <row r="355">
          <cell r="A355" t="str">
            <v>MG0422</v>
          </cell>
          <cell r="B355" t="str">
            <v>ANMG_0158</v>
          </cell>
          <cell r="C355" t="str">
            <v>Apollo</v>
          </cell>
          <cell r="D355" t="str">
            <v>Chris Thomson</v>
          </cell>
          <cell r="F355" t="str">
            <v>Mya Kyauk</v>
          </cell>
          <cell r="G355" t="str">
            <v>Si Thu Moe</v>
          </cell>
          <cell r="H355" t="str">
            <v>RED</v>
          </cell>
          <cell r="I355" t="str">
            <v>North</v>
          </cell>
          <cell r="J355" t="str">
            <v>95.5611</v>
          </cell>
          <cell r="K355" t="str">
            <v>19.9276</v>
          </cell>
          <cell r="L355" t="str">
            <v>Rural</v>
          </cell>
          <cell r="M355" t="str">
            <v>Magway</v>
          </cell>
          <cell r="N355" t="str">
            <v>Taungdwingyi</v>
          </cell>
          <cell r="O355" t="str">
            <v>Taungdwingyi</v>
          </cell>
          <cell r="P355" t="str">
            <v>Magway</v>
          </cell>
          <cell r="Q355" t="str">
            <v>7</v>
          </cell>
          <cell r="R355" t="str">
            <v>Taungdwingyi</v>
          </cell>
          <cell r="S355" t="str">
            <v>120</v>
          </cell>
          <cell r="T355" t="str">
            <v>GSM+UMTS</v>
          </cell>
          <cell r="W355" t="str">
            <v>Ph2-Priority</v>
          </cell>
          <cell r="X355" t="str">
            <v>45</v>
          </cell>
          <cell r="Y355" t="str">
            <v>47</v>
          </cell>
          <cell r="Z355" t="str">
            <v>GBT</v>
          </cell>
          <cell r="AA355" t="str">
            <v>500</v>
          </cell>
          <cell r="AB355" t="str">
            <v>Access</v>
          </cell>
          <cell r="AC355" t="str">
            <v>Class C</v>
          </cell>
          <cell r="BE355" t="str">
            <v>Route 8 Mandalay - Magwe</v>
          </cell>
          <cell r="BH355" t="str">
            <v>Camusat</v>
          </cell>
          <cell r="BJ355">
            <v>42165</v>
          </cell>
          <cell r="BK355">
            <v>42171</v>
          </cell>
          <cell r="BL355">
            <v>42170</v>
          </cell>
          <cell r="BM355">
            <v>42178</v>
          </cell>
          <cell r="BT355">
            <v>33</v>
          </cell>
          <cell r="BU355">
            <v>42209</v>
          </cell>
          <cell r="BV355">
            <v>42233</v>
          </cell>
          <cell r="BW355" t="str">
            <v>95.557962</v>
          </cell>
          <cell r="BX355" t="str">
            <v>19.929204</v>
          </cell>
          <cell r="BY355" t="str">
            <v>C3</v>
          </cell>
          <cell r="BZ355" t="str">
            <v>481/ Chaung Net Village, Taung Twin Gyi Township, Magway Division.</v>
          </cell>
          <cell r="CA355" t="str">
            <v>U Par Lay</v>
          </cell>
          <cell r="CB355" t="str">
            <v>17  Aug 15 : C3 SAR sub( C03 has to move away @ 373m from NP as C01 and C02 received numerous complaints from immediate neighbors. NOC issue);21 Jul 15 : C1 SAR app;19 Jul 15 : C1 SAR sub</v>
          </cell>
          <cell r="CC355" t="str">
            <v>Residential</v>
          </cell>
          <cell r="CE355">
            <v>2</v>
          </cell>
          <cell r="CF355">
            <v>42210</v>
          </cell>
          <cell r="CG355">
            <v>42234</v>
          </cell>
          <cell r="CH355">
            <v>42212</v>
          </cell>
          <cell r="CJ355">
            <v>42242</v>
          </cell>
          <cell r="CK355" t="str">
            <v>45</v>
          </cell>
          <cell r="CL355" t="str">
            <v>47</v>
          </cell>
          <cell r="CM355" t="str">
            <v>60</v>
          </cell>
          <cell r="CN355">
            <v>27</v>
          </cell>
          <cell r="CO355">
            <v>42215</v>
          </cell>
          <cell r="CP355">
            <v>42244</v>
          </cell>
          <cell r="CQ355" t="str">
            <v>M1: grid power + battery</v>
          </cell>
          <cell r="CR355">
            <v>0</v>
          </cell>
          <cell r="CS355">
            <v>42216</v>
          </cell>
          <cell r="CT355">
            <v>42248</v>
          </cell>
          <cell r="CU355" t="str">
            <v>MG0422</v>
          </cell>
          <cell r="DH355">
            <v>0</v>
          </cell>
          <cell r="DI355">
            <v>42226</v>
          </cell>
          <cell r="DK355">
            <v>42223</v>
          </cell>
          <cell r="DL355">
            <v>42198</v>
          </cell>
          <cell r="DM355">
            <v>42227</v>
          </cell>
          <cell r="DN355">
            <v>42198</v>
          </cell>
          <cell r="DO355">
            <v>0</v>
          </cell>
          <cell r="DP355">
            <v>42226</v>
          </cell>
          <cell r="DT355">
            <v>0</v>
          </cell>
          <cell r="DU355">
            <v>42241</v>
          </cell>
          <cell r="DW355">
            <v>0</v>
          </cell>
          <cell r="DY355">
            <v>42227</v>
          </cell>
          <cell r="EA355" t="str">
            <v>Camusat</v>
          </cell>
          <cell r="EJ355">
            <v>0</v>
          </cell>
          <cell r="EK355">
            <v>42249</v>
          </cell>
          <cell r="EM355">
            <v>42250</v>
          </cell>
          <cell r="EQ355">
            <v>42262</v>
          </cell>
          <cell r="EW355">
            <v>0</v>
          </cell>
          <cell r="EX355">
            <v>42294</v>
          </cell>
          <cell r="EZ355">
            <v>42272</v>
          </cell>
          <cell r="FB355">
            <v>42274</v>
          </cell>
          <cell r="FU355">
            <v>42276</v>
          </cell>
          <cell r="FW355">
            <v>42276</v>
          </cell>
          <cell r="FY355" t="str">
            <v>AZM</v>
          </cell>
          <cell r="GI355">
            <v>42246</v>
          </cell>
          <cell r="GJ355">
            <v>0</v>
          </cell>
          <cell r="GN355" t="str">
            <v>ERICSSON</v>
          </cell>
          <cell r="HD355">
            <v>1</v>
          </cell>
        </row>
        <row r="356">
          <cell r="A356" t="str">
            <v>MG0423</v>
          </cell>
          <cell r="B356" t="str">
            <v>ANMG_0159</v>
          </cell>
          <cell r="C356" t="str">
            <v>Apollo</v>
          </cell>
          <cell r="D356" t="str">
            <v>Chris Thomson</v>
          </cell>
          <cell r="F356" t="str">
            <v>Mya Kyauk</v>
          </cell>
          <cell r="G356" t="str">
            <v>Si Thu Moe</v>
          </cell>
          <cell r="H356" t="str">
            <v>RED</v>
          </cell>
          <cell r="I356" t="str">
            <v>North</v>
          </cell>
          <cell r="J356" t="str">
            <v>95.698941</v>
          </cell>
          <cell r="K356" t="str">
            <v>19.763936</v>
          </cell>
          <cell r="L356" t="str">
            <v>Rural</v>
          </cell>
          <cell r="M356" t="str">
            <v>Magway</v>
          </cell>
          <cell r="N356" t="str">
            <v>Taungdwingyi</v>
          </cell>
          <cell r="O356" t="str">
            <v>Taungdwingyi</v>
          </cell>
          <cell r="P356" t="str">
            <v>Magway</v>
          </cell>
          <cell r="Q356" t="str">
            <v>7</v>
          </cell>
          <cell r="R356" t="str">
            <v>Taungdwingyi</v>
          </cell>
          <cell r="S356" t="str">
            <v>120</v>
          </cell>
          <cell r="T356" t="str">
            <v>GSM+UMTS</v>
          </cell>
          <cell r="W356" t="str">
            <v>Ph2-Priority</v>
          </cell>
          <cell r="X356" t="str">
            <v>45</v>
          </cell>
          <cell r="Y356" t="str">
            <v>47</v>
          </cell>
          <cell r="Z356" t="str">
            <v>GBT</v>
          </cell>
          <cell r="AA356" t="str">
            <v>500</v>
          </cell>
          <cell r="AB356" t="str">
            <v>Access</v>
          </cell>
          <cell r="AC356" t="str">
            <v>Class C</v>
          </cell>
          <cell r="BE356" t="str">
            <v>Route 2 Yangon -Mawlamyine</v>
          </cell>
          <cell r="BH356" t="str">
            <v>Camusat</v>
          </cell>
          <cell r="BJ356">
            <v>42165</v>
          </cell>
          <cell r="BK356">
            <v>42171</v>
          </cell>
          <cell r="BL356">
            <v>42170</v>
          </cell>
          <cell r="BM356">
            <v>42178</v>
          </cell>
          <cell r="BT356">
            <v>21</v>
          </cell>
          <cell r="BU356">
            <v>42234</v>
          </cell>
          <cell r="BV356">
            <v>42192</v>
          </cell>
          <cell r="BW356" t="str">
            <v>95.695042</v>
          </cell>
          <cell r="BX356" t="str">
            <v>19.763419</v>
          </cell>
          <cell r="BY356" t="str">
            <v>C1</v>
          </cell>
          <cell r="CC356" t="str">
            <v>Residential</v>
          </cell>
          <cell r="CE356">
            <v>1</v>
          </cell>
          <cell r="CF356">
            <v>42235</v>
          </cell>
          <cell r="CG356">
            <v>42193</v>
          </cell>
          <cell r="CH356">
            <v>42237</v>
          </cell>
          <cell r="CN356">
            <v>40</v>
          </cell>
          <cell r="CO356">
            <v>42240</v>
          </cell>
          <cell r="CQ356" t="str">
            <v>M4: solar + DG + battery</v>
          </cell>
          <cell r="CR356">
            <v>0</v>
          </cell>
          <cell r="CS356">
            <v>42241</v>
          </cell>
          <cell r="CU356" t="str">
            <v>MG0423</v>
          </cell>
          <cell r="DH356">
            <v>0</v>
          </cell>
          <cell r="DI356">
            <v>42251</v>
          </cell>
          <cell r="DK356">
            <v>42248</v>
          </cell>
          <cell r="DM356">
            <v>42252</v>
          </cell>
          <cell r="DO356">
            <v>0</v>
          </cell>
          <cell r="DP356">
            <v>42251</v>
          </cell>
          <cell r="DT356">
            <v>0</v>
          </cell>
          <cell r="DU356">
            <v>42266</v>
          </cell>
          <cell r="DW356">
            <v>0</v>
          </cell>
          <cell r="DY356">
            <v>42252</v>
          </cell>
          <cell r="EA356" t="str">
            <v>Camusat</v>
          </cell>
          <cell r="EJ356">
            <v>0</v>
          </cell>
          <cell r="EK356">
            <v>42269</v>
          </cell>
          <cell r="EM356">
            <v>42270</v>
          </cell>
          <cell r="EQ356">
            <v>42279</v>
          </cell>
          <cell r="EW356">
            <v>0</v>
          </cell>
          <cell r="EX356">
            <v>42293</v>
          </cell>
          <cell r="EZ356">
            <v>42289</v>
          </cell>
          <cell r="FB356">
            <v>42291</v>
          </cell>
          <cell r="FU356">
            <v>42293</v>
          </cell>
          <cell r="FW356">
            <v>42293</v>
          </cell>
          <cell r="GI356">
            <v>42014</v>
          </cell>
          <cell r="GJ356">
            <v>0</v>
          </cell>
          <cell r="GN356" t="str">
            <v>ERICSSON</v>
          </cell>
          <cell r="GS356" t="str">
            <v>4/4/4</v>
          </cell>
          <cell r="GU356" t="str">
            <v xml:space="preserve">		</v>
          </cell>
          <cell r="HD356">
            <v>1</v>
          </cell>
        </row>
        <row r="357">
          <cell r="A357" t="str">
            <v>MG0424</v>
          </cell>
          <cell r="B357" t="str">
            <v>ANMG_0160</v>
          </cell>
          <cell r="C357" t="str">
            <v>Apollo</v>
          </cell>
          <cell r="D357" t="str">
            <v>Chris Thomson</v>
          </cell>
          <cell r="F357" t="str">
            <v>Mya Kyauk</v>
          </cell>
          <cell r="G357" t="str">
            <v>Si Thu Moe</v>
          </cell>
          <cell r="H357" t="str">
            <v>RED</v>
          </cell>
          <cell r="I357" t="str">
            <v>North</v>
          </cell>
          <cell r="J357" t="str">
            <v>95.182067</v>
          </cell>
          <cell r="K357" t="str">
            <v>19.008693</v>
          </cell>
          <cell r="L357" t="str">
            <v>Rural</v>
          </cell>
          <cell r="M357" t="str">
            <v>Magway</v>
          </cell>
          <cell r="N357" t="str">
            <v>Aunglan</v>
          </cell>
          <cell r="O357" t="str">
            <v>Aunglan</v>
          </cell>
          <cell r="P357" t="str">
            <v>Magway</v>
          </cell>
          <cell r="Q357" t="str">
            <v>7</v>
          </cell>
          <cell r="R357" t="str">
            <v>Aunglan</v>
          </cell>
          <cell r="S357" t="str">
            <v>132</v>
          </cell>
          <cell r="T357" t="str">
            <v>GSM+UMTS</v>
          </cell>
          <cell r="W357" t="str">
            <v>Ph2-Priority</v>
          </cell>
          <cell r="X357" t="str">
            <v>45</v>
          </cell>
          <cell r="Y357" t="str">
            <v>47</v>
          </cell>
          <cell r="Z357" t="str">
            <v>GBT</v>
          </cell>
          <cell r="AA357" t="str">
            <v>500</v>
          </cell>
          <cell r="AB357" t="str">
            <v>Access</v>
          </cell>
          <cell r="AC357" t="str">
            <v>Class C</v>
          </cell>
          <cell r="BD357" t="str">
            <v>13</v>
          </cell>
          <cell r="BE357" t="str">
            <v>Route 13 Mawlamyine-Dawei</v>
          </cell>
          <cell r="BH357" t="str">
            <v>Camusat</v>
          </cell>
          <cell r="BJ357">
            <v>42165</v>
          </cell>
          <cell r="BK357">
            <v>42167</v>
          </cell>
          <cell r="BL357">
            <v>42170</v>
          </cell>
          <cell r="BM357">
            <v>42174</v>
          </cell>
          <cell r="BT357">
            <v>20</v>
          </cell>
          <cell r="BU357">
            <v>42234</v>
          </cell>
          <cell r="BV357">
            <v>42187</v>
          </cell>
          <cell r="BW357" t="str">
            <v>95.180981</v>
          </cell>
          <cell r="BX357" t="str">
            <v>19.011185</v>
          </cell>
          <cell r="BY357" t="str">
            <v>C1</v>
          </cell>
          <cell r="BZ357" t="str">
            <v>LAT PAN KAN VILLAGE, AUNG LAN TOWNSHIP.</v>
          </cell>
          <cell r="CA357" t="str">
            <v>U MYO MIN SWE</v>
          </cell>
          <cell r="CC357" t="str">
            <v>Residential</v>
          </cell>
          <cell r="CE357">
            <v>5</v>
          </cell>
          <cell r="CF357">
            <v>42235</v>
          </cell>
          <cell r="CG357">
            <v>42192</v>
          </cell>
          <cell r="CH357">
            <v>42237</v>
          </cell>
          <cell r="CJ357">
            <v>42221</v>
          </cell>
          <cell r="CK357" t="str">
            <v>45</v>
          </cell>
          <cell r="CL357" t="str">
            <v>47</v>
          </cell>
          <cell r="CM357" t="str">
            <v>50</v>
          </cell>
          <cell r="CN357">
            <v>31</v>
          </cell>
          <cell r="CO357">
            <v>42240</v>
          </cell>
          <cell r="CP357">
            <v>42223</v>
          </cell>
          <cell r="CQ357" t="str">
            <v>M4: solar + DG + battery</v>
          </cell>
          <cell r="CR357">
            <v>4</v>
          </cell>
          <cell r="CS357">
            <v>42241</v>
          </cell>
          <cell r="CT357">
            <v>42227</v>
          </cell>
          <cell r="CU357" t="str">
            <v>MG0424</v>
          </cell>
          <cell r="DH357">
            <v>6</v>
          </cell>
          <cell r="DI357">
            <v>42251</v>
          </cell>
          <cell r="DJ357">
            <v>42209</v>
          </cell>
          <cell r="DK357">
            <v>42248</v>
          </cell>
          <cell r="DM357">
            <v>42252</v>
          </cell>
          <cell r="DO357">
            <v>0</v>
          </cell>
          <cell r="DP357">
            <v>42251</v>
          </cell>
          <cell r="DQ357">
            <v>42209</v>
          </cell>
          <cell r="DT357">
            <v>0</v>
          </cell>
          <cell r="DU357">
            <v>42266</v>
          </cell>
          <cell r="DW357">
            <v>0</v>
          </cell>
          <cell r="DY357">
            <v>42252</v>
          </cell>
          <cell r="DZ357">
            <v>42205</v>
          </cell>
          <cell r="EA357" t="str">
            <v>Camusat</v>
          </cell>
          <cell r="EJ357">
            <v>0</v>
          </cell>
          <cell r="EK357">
            <v>42269</v>
          </cell>
          <cell r="EM357">
            <v>42270</v>
          </cell>
          <cell r="EQ357">
            <v>42279</v>
          </cell>
          <cell r="EW357">
            <v>0</v>
          </cell>
          <cell r="EX357">
            <v>42293</v>
          </cell>
          <cell r="EZ357">
            <v>42289</v>
          </cell>
          <cell r="FB357">
            <v>42291</v>
          </cell>
          <cell r="FU357">
            <v>42293</v>
          </cell>
          <cell r="FW357">
            <v>42293</v>
          </cell>
          <cell r="GI357">
            <v>42215</v>
          </cell>
          <cell r="GJ357">
            <v>0</v>
          </cell>
          <cell r="GN357" t="str">
            <v>ERICSSON</v>
          </cell>
          <cell r="GS357" t="str">
            <v>4/4/4</v>
          </cell>
          <cell r="GU357" t="str">
            <v xml:space="preserve">		</v>
          </cell>
          <cell r="HD357">
            <v>1</v>
          </cell>
        </row>
        <row r="358">
          <cell r="A358" t="str">
            <v>MG0425</v>
          </cell>
          <cell r="B358" t="str">
            <v>ANMG_0161</v>
          </cell>
          <cell r="C358" t="str">
            <v>Apollo</v>
          </cell>
          <cell r="D358" t="str">
            <v>Chris Thomson</v>
          </cell>
          <cell r="F358" t="str">
            <v>Mya Kyauk</v>
          </cell>
          <cell r="G358" t="str">
            <v>Si Thu Moe</v>
          </cell>
          <cell r="H358" t="str">
            <v>RED</v>
          </cell>
          <cell r="I358" t="str">
            <v>North</v>
          </cell>
          <cell r="J358" t="str">
            <v>95.185751</v>
          </cell>
          <cell r="K358" t="str">
            <v>19.522302</v>
          </cell>
          <cell r="L358" t="str">
            <v>Rural</v>
          </cell>
          <cell r="M358" t="str">
            <v>Magway</v>
          </cell>
          <cell r="N358" t="str">
            <v>Sinbaungwe</v>
          </cell>
          <cell r="O358" t="str">
            <v>Sinbaungwe</v>
          </cell>
          <cell r="P358" t="str">
            <v>Magway</v>
          </cell>
          <cell r="Q358" t="str">
            <v>7</v>
          </cell>
          <cell r="R358" t="str">
            <v>Sinbaungwe</v>
          </cell>
          <cell r="S358" t="str">
            <v>133</v>
          </cell>
          <cell r="T358" t="str">
            <v>GSM+UMTS</v>
          </cell>
          <cell r="W358" t="str">
            <v>Ph2-Priority</v>
          </cell>
          <cell r="X358" t="str">
            <v>53</v>
          </cell>
          <cell r="Y358" t="str">
            <v>55</v>
          </cell>
          <cell r="Z358" t="str">
            <v>GBT</v>
          </cell>
          <cell r="AA358" t="str">
            <v>500</v>
          </cell>
          <cell r="AB358" t="str">
            <v>Access</v>
          </cell>
          <cell r="AC358" t="str">
            <v>Class C</v>
          </cell>
          <cell r="BH358" t="str">
            <v>Camusat</v>
          </cell>
          <cell r="BJ358">
            <v>42165</v>
          </cell>
          <cell r="BK358">
            <v>42171</v>
          </cell>
          <cell r="BL358">
            <v>42170</v>
          </cell>
          <cell r="BM358">
            <v>42178</v>
          </cell>
          <cell r="BT358">
            <v>33</v>
          </cell>
          <cell r="BU358">
            <v>42209</v>
          </cell>
          <cell r="BV358">
            <v>42204</v>
          </cell>
          <cell r="BW358" t="str">
            <v>95.183024</v>
          </cell>
          <cell r="BX358" t="str">
            <v>19.521959</v>
          </cell>
          <cell r="BY358" t="str">
            <v>C1</v>
          </cell>
          <cell r="BZ358" t="str">
            <v>BarBuKone, Village, Kyaik Ma Yaw Township.</v>
          </cell>
          <cell r="CA358" t="str">
            <v>Khin Mar Cho, 940160490</v>
          </cell>
          <cell r="CB358" t="str">
            <v>17Jun15: C4 SAR Sub</v>
          </cell>
          <cell r="CE358">
            <v>2</v>
          </cell>
          <cell r="CF358">
            <v>42210</v>
          </cell>
          <cell r="CG358">
            <v>42206</v>
          </cell>
          <cell r="CH358">
            <v>42212</v>
          </cell>
          <cell r="CJ358">
            <v>42227</v>
          </cell>
          <cell r="CK358" t="str">
            <v>45</v>
          </cell>
          <cell r="CL358" t="str">
            <v>47</v>
          </cell>
          <cell r="CM358" t="str">
            <v>50</v>
          </cell>
          <cell r="CN358">
            <v>27</v>
          </cell>
          <cell r="CO358">
            <v>42215</v>
          </cell>
          <cell r="CP358">
            <v>42229</v>
          </cell>
          <cell r="CQ358" t="str">
            <v>M4: solar + DG + battery</v>
          </cell>
          <cell r="CR358">
            <v>0</v>
          </cell>
          <cell r="CS358">
            <v>42216</v>
          </cell>
          <cell r="CT358">
            <v>42233</v>
          </cell>
          <cell r="CU358" t="str">
            <v>MG0425</v>
          </cell>
          <cell r="DH358">
            <v>0</v>
          </cell>
          <cell r="DI358">
            <v>42226</v>
          </cell>
          <cell r="DK358">
            <v>42223</v>
          </cell>
          <cell r="DM358">
            <v>42227</v>
          </cell>
          <cell r="DO358">
            <v>0</v>
          </cell>
          <cell r="DP358">
            <v>42226</v>
          </cell>
          <cell r="DT358">
            <v>0</v>
          </cell>
          <cell r="DU358">
            <v>42241</v>
          </cell>
          <cell r="DW358">
            <v>0</v>
          </cell>
          <cell r="DY358">
            <v>42227</v>
          </cell>
          <cell r="EA358" t="str">
            <v>Camusat</v>
          </cell>
          <cell r="EJ358">
            <v>0</v>
          </cell>
          <cell r="EK358">
            <v>42249</v>
          </cell>
          <cell r="EM358">
            <v>42250</v>
          </cell>
          <cell r="EQ358">
            <v>42262</v>
          </cell>
          <cell r="EW358">
            <v>0</v>
          </cell>
          <cell r="EX358">
            <v>42294</v>
          </cell>
          <cell r="EZ358">
            <v>42272</v>
          </cell>
          <cell r="FB358">
            <v>42274</v>
          </cell>
          <cell r="FU358">
            <v>42276</v>
          </cell>
          <cell r="FW358">
            <v>42276</v>
          </cell>
          <cell r="GI358">
            <v>42215</v>
          </cell>
          <cell r="GJ358">
            <v>0</v>
          </cell>
          <cell r="GN358" t="str">
            <v>ERICSSON</v>
          </cell>
          <cell r="GU358" t="str">
            <v xml:space="preserve">		</v>
          </cell>
          <cell r="HD358">
            <v>1</v>
          </cell>
        </row>
        <row r="359">
          <cell r="A359" t="str">
            <v>MG0426</v>
          </cell>
          <cell r="B359" t="str">
            <v>ANMG_0162</v>
          </cell>
          <cell r="C359" t="str">
            <v>Apollo</v>
          </cell>
          <cell r="D359" t="str">
            <v>Adriaan Coetsee</v>
          </cell>
          <cell r="F359" t="str">
            <v>Mya Kyauk</v>
          </cell>
          <cell r="G359" t="str">
            <v>Si Thu Moe</v>
          </cell>
          <cell r="H359" t="str">
            <v>AMBER</v>
          </cell>
          <cell r="I359" t="str">
            <v>North</v>
          </cell>
          <cell r="J359" t="str">
            <v>94.901764</v>
          </cell>
          <cell r="K359" t="str">
            <v>20.766944</v>
          </cell>
          <cell r="L359" t="str">
            <v>Rural</v>
          </cell>
          <cell r="M359" t="str">
            <v>Magway</v>
          </cell>
          <cell r="N359" t="str">
            <v>Chauk</v>
          </cell>
          <cell r="O359" t="str">
            <v>Chauk</v>
          </cell>
          <cell r="P359" t="str">
            <v>Magway</v>
          </cell>
          <cell r="Q359" t="str">
            <v>7</v>
          </cell>
          <cell r="R359" t="str">
            <v>Chauk</v>
          </cell>
          <cell r="S359" t="str">
            <v>119</v>
          </cell>
          <cell r="T359" t="str">
            <v>GSM+UMTS</v>
          </cell>
          <cell r="W359" t="str">
            <v>Ph2-Priority</v>
          </cell>
          <cell r="X359" t="str">
            <v>53</v>
          </cell>
          <cell r="Y359" t="str">
            <v>55</v>
          </cell>
          <cell r="Z359" t="str">
            <v>GBT</v>
          </cell>
          <cell r="AA359" t="str">
            <v>500</v>
          </cell>
          <cell r="AB359" t="str">
            <v>Access</v>
          </cell>
          <cell r="AC359" t="str">
            <v>Class C</v>
          </cell>
          <cell r="BH359" t="str">
            <v>Camusat</v>
          </cell>
          <cell r="BJ359">
            <v>42168</v>
          </cell>
          <cell r="BK359">
            <v>42170</v>
          </cell>
          <cell r="BL359">
            <v>42173</v>
          </cell>
          <cell r="BM359">
            <v>42177</v>
          </cell>
          <cell r="BT359">
            <v>12</v>
          </cell>
          <cell r="BU359">
            <v>42230</v>
          </cell>
          <cell r="BV359">
            <v>42182</v>
          </cell>
          <cell r="BW359" t="str">
            <v>94.90166</v>
          </cell>
          <cell r="BX359" t="str">
            <v>20.76351</v>
          </cell>
          <cell r="BY359" t="str">
            <v>C1</v>
          </cell>
          <cell r="BZ359" t="str">
            <v>Kan Touk Kyaung Village, Htein San Village Track, Chouk Township, Magway Division.</v>
          </cell>
          <cell r="CA359" t="str">
            <v>U Tin Htun</v>
          </cell>
          <cell r="CC359" t="str">
            <v>VILLAGE</v>
          </cell>
          <cell r="CE359">
            <v>3</v>
          </cell>
          <cell r="CF359">
            <v>42231</v>
          </cell>
          <cell r="CG359">
            <v>42185</v>
          </cell>
          <cell r="CH359">
            <v>42233</v>
          </cell>
          <cell r="CJ359">
            <v>42202</v>
          </cell>
          <cell r="CK359" t="str">
            <v>53</v>
          </cell>
          <cell r="CL359" t="str">
            <v>55</v>
          </cell>
          <cell r="CM359" t="str">
            <v>60</v>
          </cell>
          <cell r="CN359">
            <v>19</v>
          </cell>
          <cell r="CO359">
            <v>42236</v>
          </cell>
          <cell r="CP359">
            <v>42204</v>
          </cell>
          <cell r="CQ359" t="str">
            <v>M4: solar + DG + battery</v>
          </cell>
          <cell r="CR359">
            <v>1</v>
          </cell>
          <cell r="CS359">
            <v>42237</v>
          </cell>
          <cell r="CT359">
            <v>42205</v>
          </cell>
          <cell r="CU359" t="str">
            <v>MG0426</v>
          </cell>
          <cell r="DH359">
            <v>28</v>
          </cell>
          <cell r="DI359">
            <v>42247</v>
          </cell>
          <cell r="DK359">
            <v>42244</v>
          </cell>
          <cell r="DL359">
            <v>42242</v>
          </cell>
          <cell r="DM359">
            <v>42248</v>
          </cell>
          <cell r="DO359">
            <v>0</v>
          </cell>
          <cell r="DP359">
            <v>42247</v>
          </cell>
          <cell r="DT359">
            <v>0</v>
          </cell>
          <cell r="DU359">
            <v>42262</v>
          </cell>
          <cell r="DW359">
            <v>0</v>
          </cell>
          <cell r="DY359">
            <v>42248</v>
          </cell>
          <cell r="DZ359">
            <v>42219</v>
          </cell>
          <cell r="EA359" t="str">
            <v>Camusat</v>
          </cell>
          <cell r="EE359" t="str">
            <v xml:space="preserve">10 Aug 15:Rain affected_Progress affected; 4-Aug-15: SKOM done Aug 03.								</v>
          </cell>
          <cell r="EJ359">
            <v>14</v>
          </cell>
          <cell r="EK359">
            <v>42270</v>
          </cell>
          <cell r="EM359">
            <v>42271</v>
          </cell>
          <cell r="EQ359">
            <v>42283</v>
          </cell>
          <cell r="EW359">
            <v>14</v>
          </cell>
          <cell r="EX359">
            <v>42297</v>
          </cell>
          <cell r="EZ359">
            <v>42293</v>
          </cell>
          <cell r="FB359">
            <v>42295</v>
          </cell>
          <cell r="FU359">
            <v>42297</v>
          </cell>
          <cell r="FW359">
            <v>42297</v>
          </cell>
          <cell r="GF359">
            <v>42173</v>
          </cell>
          <cell r="GI359">
            <v>42027</v>
          </cell>
          <cell r="GJ359">
            <v>0</v>
          </cell>
          <cell r="GN359" t="str">
            <v>ERICSSON</v>
          </cell>
          <cell r="GU359" t="str">
            <v xml:space="preserve">		</v>
          </cell>
          <cell r="HD359">
            <v>1</v>
          </cell>
        </row>
        <row r="360">
          <cell r="A360" t="str">
            <v>MG0427</v>
          </cell>
          <cell r="B360" t="str">
            <v>ANMG_0163</v>
          </cell>
          <cell r="C360" t="str">
            <v>Apollo</v>
          </cell>
          <cell r="D360" t="str">
            <v>Adriaan Coetsee</v>
          </cell>
          <cell r="F360" t="str">
            <v>Mya Kyauk</v>
          </cell>
          <cell r="G360" t="str">
            <v>Si Thu Moe</v>
          </cell>
          <cell r="H360" t="str">
            <v>RED</v>
          </cell>
          <cell r="I360" t="str">
            <v>North</v>
          </cell>
          <cell r="J360" t="str">
            <v>94.76143</v>
          </cell>
          <cell r="K360" t="str">
            <v>21.5146</v>
          </cell>
          <cell r="L360" t="str">
            <v>Rural</v>
          </cell>
          <cell r="M360" t="str">
            <v>Magway</v>
          </cell>
          <cell r="N360" t="str">
            <v>Myaing</v>
          </cell>
          <cell r="O360" t="str">
            <v>Myaing</v>
          </cell>
          <cell r="P360" t="str">
            <v>Magway</v>
          </cell>
          <cell r="Q360" t="str">
            <v>7</v>
          </cell>
          <cell r="R360" t="str">
            <v>Myaing</v>
          </cell>
          <cell r="S360" t="str">
            <v>136</v>
          </cell>
          <cell r="T360" t="str">
            <v>GSM+UMTS</v>
          </cell>
          <cell r="W360" t="str">
            <v>Ph2-Priority</v>
          </cell>
          <cell r="X360" t="str">
            <v>53</v>
          </cell>
          <cell r="Y360" t="str">
            <v>55</v>
          </cell>
          <cell r="Z360" t="str">
            <v>GBT</v>
          </cell>
          <cell r="AA360" t="str">
            <v>500</v>
          </cell>
          <cell r="AB360" t="str">
            <v>Access</v>
          </cell>
          <cell r="AC360" t="str">
            <v>Class C</v>
          </cell>
          <cell r="BE360" t="str">
            <v>Route 12 Taunggyi-Taungoo</v>
          </cell>
          <cell r="BH360" t="str">
            <v>Camusat</v>
          </cell>
          <cell r="BJ360">
            <v>42168</v>
          </cell>
          <cell r="BK360">
            <v>42165</v>
          </cell>
          <cell r="BL360">
            <v>42173</v>
          </cell>
          <cell r="BT360">
            <v>56</v>
          </cell>
          <cell r="BU360">
            <v>42266</v>
          </cell>
          <cell r="BV360">
            <v>42221</v>
          </cell>
          <cell r="BW360" t="str">
            <v>94.76156</v>
          </cell>
          <cell r="BX360" t="str">
            <v>21.517202</v>
          </cell>
          <cell r="BY360" t="str">
            <v>C2</v>
          </cell>
          <cell r="BZ360" t="str">
            <v>Nyaung Gone Village, Kine Taw Ma Village Track, Myaing Township, Magway Division.</v>
          </cell>
          <cell r="CA360" t="str">
            <v>U Maung Kyal</v>
          </cell>
          <cell r="CB360" t="str">
            <v>5 Aug 15 :C2-SAR submission; (C1-rejected due to NOC issue);17 Jul 15 : C1 TSSR app;15 Jul 15 : C1 TSSR sub;6 Jul 15 : C1 SAR app;3 Jul 15 : C1 SAR sub</v>
          </cell>
          <cell r="CC360" t="str">
            <v>Village</v>
          </cell>
          <cell r="CE360">
            <v>1</v>
          </cell>
          <cell r="CF360">
            <v>42267</v>
          </cell>
          <cell r="CG360">
            <v>42222</v>
          </cell>
          <cell r="CH360">
            <v>42269</v>
          </cell>
          <cell r="CJ360">
            <v>42242</v>
          </cell>
          <cell r="CK360" t="str">
            <v>55</v>
          </cell>
          <cell r="CL360" t="str">
            <v>57</v>
          </cell>
          <cell r="CM360" t="str">
            <v>60</v>
          </cell>
          <cell r="CN360">
            <v>11</v>
          </cell>
          <cell r="CO360">
            <v>42272</v>
          </cell>
          <cell r="CP360">
            <v>42244</v>
          </cell>
          <cell r="CQ360" t="str">
            <v>M1: grid power + battery</v>
          </cell>
          <cell r="CR360">
            <v>0</v>
          </cell>
          <cell r="CS360">
            <v>42273</v>
          </cell>
          <cell r="CT360">
            <v>42247</v>
          </cell>
          <cell r="CU360" t="str">
            <v>MG0427</v>
          </cell>
          <cell r="DH360">
            <v>0</v>
          </cell>
          <cell r="DI360">
            <v>42283</v>
          </cell>
          <cell r="DK360">
            <v>42280</v>
          </cell>
          <cell r="DL360">
            <v>42208</v>
          </cell>
          <cell r="DM360">
            <v>42284</v>
          </cell>
          <cell r="DO360">
            <v>0</v>
          </cell>
          <cell r="DP360">
            <v>42283</v>
          </cell>
          <cell r="DT360">
            <v>0</v>
          </cell>
          <cell r="DU360">
            <v>42298</v>
          </cell>
          <cell r="DW360">
            <v>0</v>
          </cell>
          <cell r="DY360">
            <v>42284</v>
          </cell>
          <cell r="EA360" t="str">
            <v>Camusat</v>
          </cell>
          <cell r="EJ360">
            <v>0</v>
          </cell>
          <cell r="EK360">
            <v>42306</v>
          </cell>
          <cell r="EM360">
            <v>42307</v>
          </cell>
          <cell r="EQ360">
            <v>42319</v>
          </cell>
          <cell r="EW360">
            <v>0</v>
          </cell>
          <cell r="EX360">
            <v>42333</v>
          </cell>
          <cell r="EZ360">
            <v>42329</v>
          </cell>
          <cell r="FB360">
            <v>42331</v>
          </cell>
          <cell r="FU360">
            <v>42333</v>
          </cell>
          <cell r="FW360">
            <v>42333</v>
          </cell>
          <cell r="GI360">
            <v>42035</v>
          </cell>
          <cell r="GJ360">
            <v>0</v>
          </cell>
          <cell r="GN360" t="str">
            <v>ERICSSON</v>
          </cell>
          <cell r="GU360" t="str">
            <v xml:space="preserve">		</v>
          </cell>
          <cell r="HD360">
            <v>1</v>
          </cell>
        </row>
        <row r="361">
          <cell r="A361" t="str">
            <v>MG0429</v>
          </cell>
          <cell r="B361" t="str">
            <v>ANMG_0164</v>
          </cell>
          <cell r="C361" t="str">
            <v>Apollo</v>
          </cell>
          <cell r="D361" t="str">
            <v>Adriaan Coetsee</v>
          </cell>
          <cell r="F361" t="str">
            <v>Mya Kyauk</v>
          </cell>
          <cell r="G361" t="str">
            <v>Si Thu Moe</v>
          </cell>
          <cell r="H361" t="str">
            <v>RED</v>
          </cell>
          <cell r="I361" t="str">
            <v>North</v>
          </cell>
          <cell r="J361" t="str">
            <v>94.601</v>
          </cell>
          <cell r="K361" t="str">
            <v>21.6602</v>
          </cell>
          <cell r="L361" t="str">
            <v>Rural</v>
          </cell>
          <cell r="M361" t="str">
            <v>Magway</v>
          </cell>
          <cell r="N361" t="str">
            <v>Pauk</v>
          </cell>
          <cell r="O361" t="str">
            <v>Pauk</v>
          </cell>
          <cell r="P361" t="str">
            <v>Magway</v>
          </cell>
          <cell r="Q361" t="str">
            <v>7</v>
          </cell>
          <cell r="R361" t="str">
            <v>Pauk</v>
          </cell>
          <cell r="S361" t="str">
            <v>137</v>
          </cell>
          <cell r="T361" t="str">
            <v>GSM+UMTS</v>
          </cell>
          <cell r="W361" t="str">
            <v>Ph2-Priority</v>
          </cell>
          <cell r="X361" t="str">
            <v>45</v>
          </cell>
          <cell r="Y361" t="str">
            <v>47</v>
          </cell>
          <cell r="Z361" t="str">
            <v>GBT</v>
          </cell>
          <cell r="AA361" t="str">
            <v>500</v>
          </cell>
          <cell r="AB361" t="str">
            <v>Access</v>
          </cell>
          <cell r="AC361" t="str">
            <v>Class C</v>
          </cell>
          <cell r="BH361" t="str">
            <v>Camusat</v>
          </cell>
          <cell r="BJ361">
            <v>42165</v>
          </cell>
          <cell r="BK361">
            <v>42167</v>
          </cell>
          <cell r="BL361">
            <v>42170</v>
          </cell>
          <cell r="BM361">
            <v>42174</v>
          </cell>
          <cell r="BT361">
            <v>13</v>
          </cell>
          <cell r="BU361">
            <v>42231</v>
          </cell>
          <cell r="BV361">
            <v>42180</v>
          </cell>
          <cell r="BW361" t="str">
            <v>94.59545</v>
          </cell>
          <cell r="BX361" t="str">
            <v>21.668038</v>
          </cell>
          <cell r="BY361" t="str">
            <v>C1</v>
          </cell>
          <cell r="BZ361" t="str">
            <v>Thayet Kan Village,Thayet Kan Track,Pouk o w Mnashgiwp,ay Division.</v>
          </cell>
          <cell r="CA361" t="str">
            <v>KO KO AUNG;(U Win Maung;9798982101)</v>
          </cell>
          <cell r="CB361" t="str">
            <v>12Jun15: C1 SAR Sub</v>
          </cell>
          <cell r="CC361" t="str">
            <v>Village</v>
          </cell>
          <cell r="CE361">
            <v>2</v>
          </cell>
          <cell r="CF361">
            <v>42232</v>
          </cell>
          <cell r="CG361">
            <v>42182</v>
          </cell>
          <cell r="CH361">
            <v>42234</v>
          </cell>
          <cell r="CJ361">
            <v>42192</v>
          </cell>
          <cell r="CK361" t="str">
            <v>45</v>
          </cell>
          <cell r="CL361" t="str">
            <v>47</v>
          </cell>
          <cell r="CM361" t="str">
            <v>50</v>
          </cell>
          <cell r="CN361">
            <v>12</v>
          </cell>
          <cell r="CO361">
            <v>42237</v>
          </cell>
          <cell r="CP361">
            <v>42194</v>
          </cell>
          <cell r="CQ361" t="str">
            <v>M4: solar + DG + battery</v>
          </cell>
          <cell r="CR361">
            <v>1</v>
          </cell>
          <cell r="CS361">
            <v>42238</v>
          </cell>
          <cell r="CT361">
            <v>42195</v>
          </cell>
          <cell r="CU361" t="str">
            <v>MG0429</v>
          </cell>
          <cell r="DH361">
            <v>38</v>
          </cell>
          <cell r="DI361">
            <v>42248</v>
          </cell>
          <cell r="DK361">
            <v>42245</v>
          </cell>
          <cell r="DL361">
            <v>42201</v>
          </cell>
          <cell r="DM361">
            <v>42249</v>
          </cell>
          <cell r="DO361">
            <v>0</v>
          </cell>
          <cell r="DP361">
            <v>42248</v>
          </cell>
          <cell r="DT361">
            <v>0</v>
          </cell>
          <cell r="DU361">
            <v>42263</v>
          </cell>
          <cell r="DW361">
            <v>0</v>
          </cell>
          <cell r="DY361">
            <v>42249</v>
          </cell>
          <cell r="DZ361">
            <v>42229</v>
          </cell>
          <cell r="EA361" t="str">
            <v>Camusat</v>
          </cell>
          <cell r="EJ361">
            <v>0</v>
          </cell>
          <cell r="EK361">
            <v>42266</v>
          </cell>
          <cell r="EM361">
            <v>42267</v>
          </cell>
          <cell r="EQ361">
            <v>42276</v>
          </cell>
          <cell r="EW361">
            <v>0</v>
          </cell>
          <cell r="EX361">
            <v>42254</v>
          </cell>
          <cell r="EZ361">
            <v>42286</v>
          </cell>
          <cell r="FB361">
            <v>42288</v>
          </cell>
          <cell r="FU361">
            <v>42290</v>
          </cell>
          <cell r="FW361">
            <v>42290</v>
          </cell>
          <cell r="FY361" t="str">
            <v>CFVL</v>
          </cell>
          <cell r="GI361">
            <v>42048</v>
          </cell>
          <cell r="GJ361">
            <v>0</v>
          </cell>
          <cell r="GN361" t="str">
            <v>ERICSSON</v>
          </cell>
          <cell r="HD361">
            <v>1</v>
          </cell>
        </row>
        <row r="362">
          <cell r="A362" t="str">
            <v>MG0430</v>
          </cell>
          <cell r="B362" t="str">
            <v>ANMG_0165</v>
          </cell>
          <cell r="C362" t="str">
            <v>Apollo</v>
          </cell>
          <cell r="D362" t="str">
            <v>Adriaan Coetsee</v>
          </cell>
          <cell r="F362" t="str">
            <v>Mya Kyauk</v>
          </cell>
          <cell r="G362" t="str">
            <v>Si Thu Moe</v>
          </cell>
          <cell r="H362" t="str">
            <v>AMBER</v>
          </cell>
          <cell r="I362" t="str">
            <v>North</v>
          </cell>
          <cell r="J362" t="str">
            <v>94.5999</v>
          </cell>
          <cell r="K362" t="str">
            <v>21.7305</v>
          </cell>
          <cell r="L362" t="str">
            <v>Rural</v>
          </cell>
          <cell r="M362" t="str">
            <v>Magway</v>
          </cell>
          <cell r="N362" t="str">
            <v>Myaing</v>
          </cell>
          <cell r="O362" t="str">
            <v>Myaing</v>
          </cell>
          <cell r="P362" t="str">
            <v>Magway</v>
          </cell>
          <cell r="Q362" t="str">
            <v>7</v>
          </cell>
          <cell r="R362" t="str">
            <v>Myaing</v>
          </cell>
          <cell r="S362" t="str">
            <v>136</v>
          </cell>
          <cell r="T362" t="str">
            <v>GSM+UMTS</v>
          </cell>
          <cell r="W362" t="str">
            <v>Ph2-Priority</v>
          </cell>
          <cell r="X362" t="str">
            <v>45</v>
          </cell>
          <cell r="Y362" t="str">
            <v>47</v>
          </cell>
          <cell r="Z362" t="str">
            <v>GBT</v>
          </cell>
          <cell r="AA362" t="str">
            <v>500</v>
          </cell>
          <cell r="AB362" t="str">
            <v>Access</v>
          </cell>
          <cell r="AC362" t="str">
            <v>Class C</v>
          </cell>
          <cell r="BE362" t="str">
            <v>Route 1 Yangon - Mandalay</v>
          </cell>
          <cell r="BH362" t="str">
            <v>Camusat</v>
          </cell>
          <cell r="BJ362">
            <v>42168</v>
          </cell>
          <cell r="BK362">
            <v>42165</v>
          </cell>
          <cell r="BL362">
            <v>42173</v>
          </cell>
          <cell r="BM362">
            <v>42172</v>
          </cell>
          <cell r="BT362">
            <v>35</v>
          </cell>
          <cell r="BU362">
            <v>42269</v>
          </cell>
          <cell r="BV362">
            <v>42200</v>
          </cell>
          <cell r="BW362" t="str">
            <v>94.59433</v>
          </cell>
          <cell r="BX362" t="str">
            <v>21.72855</v>
          </cell>
          <cell r="BY362" t="str">
            <v>C1</v>
          </cell>
          <cell r="BZ362" t="str">
            <v>WEL TAUNG (NORTH) VILLAGE, WEL TAUNG TRACK, MYAING TOWNSHIP, MAGWAY.</v>
          </cell>
          <cell r="CA362" t="str">
            <v>U THAUNG SHWE;96570092</v>
          </cell>
          <cell r="CB362" t="str">
            <v>20 July 15 : C1 TSSR  approved  and  C1 SAR rev also approved;16 July 15 : C1 TSSR sub;15 July 15 : C1-SAR_Coordinates revision sub;6 July 15 : C1 SAR app;3 July 15 : C1 SAR sub</v>
          </cell>
          <cell r="CC362" t="str">
            <v>VILLAGE</v>
          </cell>
          <cell r="CE362">
            <v>5</v>
          </cell>
          <cell r="CF362">
            <v>42270</v>
          </cell>
          <cell r="CG362">
            <v>42205</v>
          </cell>
          <cell r="CH362">
            <v>42272</v>
          </cell>
          <cell r="CJ362">
            <v>42199</v>
          </cell>
          <cell r="CK362" t="str">
            <v>45</v>
          </cell>
          <cell r="CL362" t="str">
            <v>47</v>
          </cell>
          <cell r="CM362" t="str">
            <v>50</v>
          </cell>
          <cell r="CN362">
            <v>-4</v>
          </cell>
          <cell r="CO362">
            <v>42275</v>
          </cell>
          <cell r="CP362">
            <v>42201</v>
          </cell>
          <cell r="CQ362" t="str">
            <v>M4: solar + DG + battery</v>
          </cell>
          <cell r="CR362">
            <v>4</v>
          </cell>
          <cell r="CS362">
            <v>42276</v>
          </cell>
          <cell r="CT362">
            <v>42205</v>
          </cell>
          <cell r="CU362" t="str">
            <v>MG0430</v>
          </cell>
          <cell r="DH362">
            <v>28</v>
          </cell>
          <cell r="DI362">
            <v>42286</v>
          </cell>
          <cell r="DK362">
            <v>42283</v>
          </cell>
          <cell r="DL362">
            <v>42208</v>
          </cell>
          <cell r="DM362">
            <v>42287</v>
          </cell>
          <cell r="DN362">
            <v>42227</v>
          </cell>
          <cell r="DO362">
            <v>0</v>
          </cell>
          <cell r="DP362">
            <v>42286</v>
          </cell>
          <cell r="DT362">
            <v>0</v>
          </cell>
          <cell r="DU362">
            <v>42301</v>
          </cell>
          <cell r="DW362">
            <v>0</v>
          </cell>
          <cell r="DY362">
            <v>42287</v>
          </cell>
          <cell r="DZ362">
            <v>42227</v>
          </cell>
          <cell r="EA362" t="str">
            <v>Camusat</v>
          </cell>
          <cell r="EJ362">
            <v>6</v>
          </cell>
          <cell r="EK362">
            <v>42304</v>
          </cell>
          <cell r="EL362">
            <v>42244</v>
          </cell>
          <cell r="EM362">
            <v>42305</v>
          </cell>
          <cell r="EQ362">
            <v>42314</v>
          </cell>
          <cell r="EW362">
            <v>6</v>
          </cell>
          <cell r="EX362">
            <v>42316</v>
          </cell>
          <cell r="EZ362">
            <v>42324</v>
          </cell>
          <cell r="FB362">
            <v>42326</v>
          </cell>
          <cell r="FU362">
            <v>42328</v>
          </cell>
          <cell r="FW362">
            <v>42328</v>
          </cell>
          <cell r="GI362">
            <v>41896</v>
          </cell>
          <cell r="GJ362">
            <v>0</v>
          </cell>
          <cell r="GN362" t="str">
            <v>ERICSSON</v>
          </cell>
          <cell r="HD362">
            <v>1</v>
          </cell>
        </row>
        <row r="363">
          <cell r="A363" t="str">
            <v>MG0431</v>
          </cell>
          <cell r="B363" t="str">
            <v>ANMG_0166</v>
          </cell>
          <cell r="C363" t="str">
            <v>Apollo</v>
          </cell>
          <cell r="D363" t="str">
            <v>Chris Thomson</v>
          </cell>
          <cell r="F363" t="str">
            <v>Mya Kyauk</v>
          </cell>
          <cell r="G363" t="str">
            <v>Si Thu Moe</v>
          </cell>
          <cell r="H363" t="str">
            <v>RED</v>
          </cell>
          <cell r="I363" t="str">
            <v>North</v>
          </cell>
          <cell r="J363" t="str">
            <v>95.6265</v>
          </cell>
          <cell r="K363" t="str">
            <v>19.8603</v>
          </cell>
          <cell r="L363" t="str">
            <v>Rural</v>
          </cell>
          <cell r="M363" t="str">
            <v>Magway</v>
          </cell>
          <cell r="N363" t="str">
            <v>Taungdwingyi</v>
          </cell>
          <cell r="O363" t="str">
            <v>Taungdwingyi</v>
          </cell>
          <cell r="P363" t="str">
            <v>Magway</v>
          </cell>
          <cell r="Q363" t="str">
            <v>7</v>
          </cell>
          <cell r="R363" t="str">
            <v>Taungdwingyi</v>
          </cell>
          <cell r="S363" t="str">
            <v>120</v>
          </cell>
          <cell r="T363" t="str">
            <v>GSM+UMTS</v>
          </cell>
          <cell r="W363" t="str">
            <v>Ph2-Priority</v>
          </cell>
          <cell r="X363" t="str">
            <v>45</v>
          </cell>
          <cell r="Y363" t="str">
            <v>47</v>
          </cell>
          <cell r="Z363" t="str">
            <v>GBT</v>
          </cell>
          <cell r="AA363" t="str">
            <v>500</v>
          </cell>
          <cell r="AB363" t="str">
            <v>Access</v>
          </cell>
          <cell r="AC363" t="str">
            <v>Class C</v>
          </cell>
          <cell r="BE363" t="str">
            <v>Route 2 Yangon -Mawlamyine</v>
          </cell>
          <cell r="BH363" t="str">
            <v>Camusat</v>
          </cell>
          <cell r="BJ363">
            <v>42165</v>
          </cell>
          <cell r="BK363">
            <v>42165</v>
          </cell>
          <cell r="BL363">
            <v>42170</v>
          </cell>
          <cell r="BM363">
            <v>42172</v>
          </cell>
          <cell r="BT363">
            <v>22</v>
          </cell>
          <cell r="BU363">
            <v>42234</v>
          </cell>
          <cell r="BV363">
            <v>42187</v>
          </cell>
          <cell r="BW363" t="str">
            <v>95.626824</v>
          </cell>
          <cell r="BX363" t="str">
            <v>19.859253</v>
          </cell>
          <cell r="BY363" t="str">
            <v>C1</v>
          </cell>
          <cell r="BZ363" t="str">
            <v>Hsel Gyi Village, Taung Twin Gyi Township, Magway Division.</v>
          </cell>
          <cell r="CA363" t="str">
            <v>U Kyaw Soe Moe</v>
          </cell>
          <cell r="CB363" t="str">
            <v>3 July 15 : C2 SAR sub;17 June 15 : C1 SAR rejected. RND rejected because this site is 592m far from the nominal point. Please find the new candidate at the nominal point.);16Jun15: C1 SAR Sub.</v>
          </cell>
          <cell r="CC363" t="str">
            <v>Residential</v>
          </cell>
          <cell r="CE363">
            <v>5</v>
          </cell>
          <cell r="CF363">
            <v>42235</v>
          </cell>
          <cell r="CG363">
            <v>42192</v>
          </cell>
          <cell r="CH363">
            <v>42237</v>
          </cell>
          <cell r="CJ363">
            <v>42233</v>
          </cell>
          <cell r="CK363" t="str">
            <v>45</v>
          </cell>
          <cell r="CL363" t="str">
            <v>47</v>
          </cell>
          <cell r="CM363" t="str">
            <v>50</v>
          </cell>
          <cell r="CN363">
            <v>41</v>
          </cell>
          <cell r="CO363">
            <v>42240</v>
          </cell>
          <cell r="CP363">
            <v>42235</v>
          </cell>
          <cell r="CQ363" t="str">
            <v>M4: solar + DG + battery</v>
          </cell>
          <cell r="CR363">
            <v>0</v>
          </cell>
          <cell r="CS363">
            <v>42241</v>
          </cell>
          <cell r="CT363">
            <v>42237</v>
          </cell>
          <cell r="CU363" t="str">
            <v>MG0431</v>
          </cell>
          <cell r="DH363">
            <v>0</v>
          </cell>
          <cell r="DI363">
            <v>42251</v>
          </cell>
          <cell r="DK363">
            <v>42248</v>
          </cell>
          <cell r="DM363">
            <v>42252</v>
          </cell>
          <cell r="DO363">
            <v>0</v>
          </cell>
          <cell r="DP363">
            <v>42251</v>
          </cell>
          <cell r="DT363">
            <v>0</v>
          </cell>
          <cell r="DU363">
            <v>42266</v>
          </cell>
          <cell r="DW363">
            <v>0</v>
          </cell>
          <cell r="DY363">
            <v>42252</v>
          </cell>
          <cell r="DZ363">
            <v>42235</v>
          </cell>
          <cell r="EA363" t="str">
            <v>Camusat</v>
          </cell>
          <cell r="EJ363">
            <v>0</v>
          </cell>
          <cell r="EK363">
            <v>42269</v>
          </cell>
          <cell r="EM363">
            <v>42270</v>
          </cell>
          <cell r="EQ363">
            <v>42279</v>
          </cell>
          <cell r="EW363">
            <v>0</v>
          </cell>
          <cell r="EX363">
            <v>42293</v>
          </cell>
          <cell r="EZ363">
            <v>42289</v>
          </cell>
          <cell r="FB363">
            <v>42291</v>
          </cell>
          <cell r="FU363">
            <v>42293</v>
          </cell>
          <cell r="FW363">
            <v>42293</v>
          </cell>
          <cell r="GI363">
            <v>42004</v>
          </cell>
          <cell r="GJ363">
            <v>0</v>
          </cell>
          <cell r="GN363" t="str">
            <v>ERICSSON</v>
          </cell>
          <cell r="GS363" t="str">
            <v>4/4/4</v>
          </cell>
          <cell r="GU363" t="str">
            <v xml:space="preserve">		</v>
          </cell>
          <cell r="HD363">
            <v>1</v>
          </cell>
        </row>
        <row r="364">
          <cell r="A364" t="str">
            <v>MG0432</v>
          </cell>
          <cell r="B364" t="str">
            <v>ANMG_0167</v>
          </cell>
          <cell r="C364" t="str">
            <v>Apollo</v>
          </cell>
          <cell r="D364" t="str">
            <v>Chris Thomson</v>
          </cell>
          <cell r="F364" t="str">
            <v>Mya Kyauk</v>
          </cell>
          <cell r="G364" t="str">
            <v>Si Thu Moe</v>
          </cell>
          <cell r="H364" t="str">
            <v>RED</v>
          </cell>
          <cell r="I364" t="str">
            <v>North</v>
          </cell>
          <cell r="J364" t="str">
            <v>95.5308</v>
          </cell>
          <cell r="K364" t="str">
            <v>19.8325</v>
          </cell>
          <cell r="L364" t="str">
            <v>Rural</v>
          </cell>
          <cell r="M364" t="str">
            <v>Magway</v>
          </cell>
          <cell r="N364" t="str">
            <v>Taungdwingyi</v>
          </cell>
          <cell r="O364" t="str">
            <v>Taungdwingyi</v>
          </cell>
          <cell r="P364" t="str">
            <v>Magway</v>
          </cell>
          <cell r="Q364" t="str">
            <v>7</v>
          </cell>
          <cell r="R364" t="str">
            <v>Taungdwingyi</v>
          </cell>
          <cell r="S364" t="str">
            <v>120</v>
          </cell>
          <cell r="T364" t="str">
            <v>GSM+UMTS</v>
          </cell>
          <cell r="W364" t="str">
            <v>Ph2-Priority</v>
          </cell>
          <cell r="X364" t="str">
            <v>45</v>
          </cell>
          <cell r="Y364" t="str">
            <v>47</v>
          </cell>
          <cell r="Z364" t="str">
            <v>GBT</v>
          </cell>
          <cell r="AA364" t="str">
            <v>500</v>
          </cell>
          <cell r="AB364" t="str">
            <v>Access</v>
          </cell>
          <cell r="AC364" t="str">
            <v>Class C</v>
          </cell>
          <cell r="BE364" t="str">
            <v>Route 13 Mawlamyine-Dawei</v>
          </cell>
          <cell r="BH364" t="str">
            <v>Camusat</v>
          </cell>
          <cell r="BJ364">
            <v>42165</v>
          </cell>
          <cell r="BK364">
            <v>42170</v>
          </cell>
          <cell r="BL364">
            <v>42170</v>
          </cell>
          <cell r="BM364">
            <v>42177</v>
          </cell>
          <cell r="BT364">
            <v>20</v>
          </cell>
          <cell r="BU364">
            <v>42234</v>
          </cell>
          <cell r="BV364">
            <v>42190</v>
          </cell>
          <cell r="BW364" t="str">
            <v>95.53244</v>
          </cell>
          <cell r="BX364" t="str">
            <v>19.832287</v>
          </cell>
          <cell r="BY364" t="str">
            <v>C1</v>
          </cell>
          <cell r="BZ364" t="str">
            <v>Kan Thar Village, Taung Twin Gyi Township, Magway Division</v>
          </cell>
          <cell r="CA364" t="str">
            <v>U Kyi Win</v>
          </cell>
          <cell r="CB364" t="str">
            <v>5 July 15 : C1 SAR sub</v>
          </cell>
          <cell r="CC364" t="str">
            <v>Residential</v>
          </cell>
          <cell r="CE364">
            <v>2</v>
          </cell>
          <cell r="CF364">
            <v>42235</v>
          </cell>
          <cell r="CG364">
            <v>42192</v>
          </cell>
          <cell r="CH364">
            <v>42237</v>
          </cell>
          <cell r="CJ364">
            <v>42239</v>
          </cell>
          <cell r="CK364" t="str">
            <v>45</v>
          </cell>
          <cell r="CL364" t="str">
            <v>47</v>
          </cell>
          <cell r="CM364" t="str">
            <v>50</v>
          </cell>
          <cell r="CN364">
            <v>41</v>
          </cell>
          <cell r="CO364">
            <v>42240</v>
          </cell>
          <cell r="CP364">
            <v>42241</v>
          </cell>
          <cell r="CQ364" t="str">
            <v>M4: solar + DG + battery</v>
          </cell>
          <cell r="CR364">
            <v>0</v>
          </cell>
          <cell r="CS364">
            <v>42241</v>
          </cell>
          <cell r="CT364">
            <v>42243</v>
          </cell>
          <cell r="CU364" t="str">
            <v>MG0432</v>
          </cell>
          <cell r="DH364">
            <v>0</v>
          </cell>
          <cell r="DI364">
            <v>42251</v>
          </cell>
          <cell r="DJ364">
            <v>42209</v>
          </cell>
          <cell r="DK364">
            <v>42248</v>
          </cell>
          <cell r="DM364">
            <v>42252</v>
          </cell>
          <cell r="DO364">
            <v>0</v>
          </cell>
          <cell r="DP364">
            <v>42251</v>
          </cell>
          <cell r="DQ364">
            <v>42209</v>
          </cell>
          <cell r="DT364">
            <v>0</v>
          </cell>
          <cell r="DU364">
            <v>42266</v>
          </cell>
          <cell r="DW364">
            <v>0</v>
          </cell>
          <cell r="DY364">
            <v>42252</v>
          </cell>
          <cell r="DZ364">
            <v>42208</v>
          </cell>
          <cell r="EA364" t="str">
            <v>Camusat</v>
          </cell>
          <cell r="ED364" t="str">
            <v xml:space="preserve">17Aug15 :ThantZin.Oo: 13/8/15 : Footing and Pedestal rebar-work in progress .
</v>
          </cell>
          <cell r="EE364" t="str">
            <v xml:space="preserve">10 Aug 15:Rain affected_Progress affected; 3-Aug-15: Rain Affected								</v>
          </cell>
          <cell r="EJ364">
            <v>0</v>
          </cell>
          <cell r="EK364">
            <v>42269</v>
          </cell>
          <cell r="EL364">
            <v>42231</v>
          </cell>
          <cell r="EM364">
            <v>42270</v>
          </cell>
          <cell r="EQ364">
            <v>42279</v>
          </cell>
          <cell r="ES364">
            <v>42234</v>
          </cell>
          <cell r="EW364">
            <v>0</v>
          </cell>
          <cell r="EX364">
            <v>42293</v>
          </cell>
          <cell r="EZ364">
            <v>42289</v>
          </cell>
          <cell r="FB364">
            <v>42291</v>
          </cell>
          <cell r="FU364">
            <v>42293</v>
          </cell>
          <cell r="FW364">
            <v>42293</v>
          </cell>
          <cell r="GI364">
            <v>42004</v>
          </cell>
          <cell r="GJ364">
            <v>0</v>
          </cell>
          <cell r="GN364" t="str">
            <v>ERICSSON</v>
          </cell>
          <cell r="GS364" t="str">
            <v>4/4/4</v>
          </cell>
          <cell r="GU364" t="str">
            <v xml:space="preserve">		</v>
          </cell>
          <cell r="HD364">
            <v>1</v>
          </cell>
        </row>
        <row r="365">
          <cell r="A365" t="str">
            <v>MG0433</v>
          </cell>
          <cell r="B365" t="str">
            <v>ANMG_0168</v>
          </cell>
          <cell r="C365" t="str">
            <v>Apollo</v>
          </cell>
          <cell r="D365" t="str">
            <v>Adriaan Coetsee</v>
          </cell>
          <cell r="F365" t="str">
            <v>Mya Kyauk</v>
          </cell>
          <cell r="G365" t="str">
            <v>Si Thu Moe</v>
          </cell>
          <cell r="H365" t="str">
            <v>YELLOW</v>
          </cell>
          <cell r="I365" t="str">
            <v>North</v>
          </cell>
          <cell r="J365" t="str">
            <v>94.7786</v>
          </cell>
          <cell r="K365" t="str">
            <v>21.3871</v>
          </cell>
          <cell r="L365" t="str">
            <v>Rural</v>
          </cell>
          <cell r="M365" t="str">
            <v>Magway</v>
          </cell>
          <cell r="N365" t="str">
            <v>Pakokku</v>
          </cell>
          <cell r="O365" t="str">
            <v>Pakokku</v>
          </cell>
          <cell r="P365" t="str">
            <v>Magway</v>
          </cell>
          <cell r="Q365" t="str">
            <v>7</v>
          </cell>
          <cell r="R365" t="str">
            <v>Pakokku</v>
          </cell>
          <cell r="S365" t="str">
            <v>134</v>
          </cell>
          <cell r="T365" t="str">
            <v>GSM+UMTS</v>
          </cell>
          <cell r="W365" t="str">
            <v>Ph2-Priority</v>
          </cell>
          <cell r="X365" t="str">
            <v>45</v>
          </cell>
          <cell r="Y365" t="str">
            <v>47</v>
          </cell>
          <cell r="Z365" t="str">
            <v>GBT</v>
          </cell>
          <cell r="AA365" t="str">
            <v>500</v>
          </cell>
          <cell r="AB365" t="str">
            <v>Access</v>
          </cell>
          <cell r="AC365" t="str">
            <v>Class C</v>
          </cell>
          <cell r="BH365" t="str">
            <v>Camusat</v>
          </cell>
          <cell r="BJ365">
            <v>42165</v>
          </cell>
          <cell r="BK365">
            <v>42153</v>
          </cell>
          <cell r="BL365">
            <v>42170</v>
          </cell>
          <cell r="BM365">
            <v>42160</v>
          </cell>
          <cell r="BT365">
            <v>17</v>
          </cell>
          <cell r="BU365">
            <v>42201</v>
          </cell>
          <cell r="BV365">
            <v>42170</v>
          </cell>
          <cell r="BW365" t="str">
            <v>94.77597</v>
          </cell>
          <cell r="BX365" t="str">
            <v>21.38555</v>
          </cell>
          <cell r="BY365" t="str">
            <v>C1</v>
          </cell>
          <cell r="BZ365" t="str">
            <v>GYO PYAN VILLAGE,KAM MA GROUP,PAKKOKU TOWNSHIP,MAGWAY DIVISION.</v>
          </cell>
          <cell r="CA365" t="str">
            <v>U Hla Win Maung;09-259140895</v>
          </cell>
          <cell r="CB365" t="str">
            <v>15Jun15: C1 SAR Sub</v>
          </cell>
          <cell r="CE365">
            <v>1</v>
          </cell>
          <cell r="CF365">
            <v>42202</v>
          </cell>
          <cell r="CG365">
            <v>42171</v>
          </cell>
          <cell r="CH365">
            <v>42204</v>
          </cell>
          <cell r="CJ365">
            <v>42179</v>
          </cell>
          <cell r="CK365" t="str">
            <v>45</v>
          </cell>
          <cell r="CL365" t="str">
            <v>47</v>
          </cell>
          <cell r="CM365" t="str">
            <v>50</v>
          </cell>
          <cell r="CN365">
            <v>10</v>
          </cell>
          <cell r="CO365">
            <v>42207</v>
          </cell>
          <cell r="CP365">
            <v>42181</v>
          </cell>
          <cell r="CQ365" t="str">
            <v>M1: grid power + battery</v>
          </cell>
          <cell r="CR365">
            <v>3</v>
          </cell>
          <cell r="CS365">
            <v>42208</v>
          </cell>
          <cell r="CT365">
            <v>42184</v>
          </cell>
          <cell r="CU365" t="str">
            <v>MG0433</v>
          </cell>
          <cell r="DH365">
            <v>4</v>
          </cell>
          <cell r="DI365">
            <v>42218</v>
          </cell>
          <cell r="DJ365">
            <v>42188</v>
          </cell>
          <cell r="DK365">
            <v>42215</v>
          </cell>
          <cell r="DL365">
            <v>42186</v>
          </cell>
          <cell r="DM365">
            <v>42219</v>
          </cell>
          <cell r="DN365">
            <v>42192</v>
          </cell>
          <cell r="DO365">
            <v>0</v>
          </cell>
          <cell r="DP365">
            <v>42218</v>
          </cell>
          <cell r="DQ365">
            <v>42188</v>
          </cell>
          <cell r="DT365">
            <v>45</v>
          </cell>
          <cell r="DU365">
            <v>42233</v>
          </cell>
          <cell r="DW365">
            <v>0</v>
          </cell>
          <cell r="DY365">
            <v>42219</v>
          </cell>
          <cell r="DZ365">
            <v>42193</v>
          </cell>
          <cell r="EA365" t="str">
            <v>Camusat</v>
          </cell>
          <cell r="ED365" t="str">
            <v xml:space="preserve">17Aug15 :SiThu.Moe: 11/8/15:Tower foundation is done.Tower materials are not at site.Backfilling is ongoing.
</v>
          </cell>
          <cell r="EE365" t="str">
            <v xml:space="preserve">10 Aug 15:Rain affected_Progress affected; 3-Aug-15: Rain affected_ Site is progressing but rain is affecting the work every day.  Tower base casted and Pedestal IP								</v>
          </cell>
          <cell r="EJ365">
            <v>34</v>
          </cell>
          <cell r="EK365">
            <v>42236</v>
          </cell>
          <cell r="EL365">
            <v>42227</v>
          </cell>
          <cell r="EM365">
            <v>42237</v>
          </cell>
          <cell r="EN365">
            <v>42238</v>
          </cell>
          <cell r="EQ365">
            <v>42246</v>
          </cell>
          <cell r="ER365">
            <v>42242</v>
          </cell>
          <cell r="ES365">
            <v>42241</v>
          </cell>
          <cell r="ET365">
            <v>42244</v>
          </cell>
          <cell r="EU365">
            <v>42244</v>
          </cell>
          <cell r="EW365">
            <v>40</v>
          </cell>
          <cell r="EX365">
            <v>42260</v>
          </cell>
          <cell r="EZ365">
            <v>42256</v>
          </cell>
          <cell r="FA365">
            <v>42244</v>
          </cell>
          <cell r="FB365">
            <v>42258</v>
          </cell>
          <cell r="FC365">
            <v>42249</v>
          </cell>
          <cell r="FU365">
            <v>42260</v>
          </cell>
          <cell r="FW365">
            <v>42260</v>
          </cell>
          <cell r="FX365">
            <v>42249</v>
          </cell>
          <cell r="FY365" t="str">
            <v>AZM</v>
          </cell>
          <cell r="FZ365">
            <v>42245</v>
          </cell>
          <cell r="GA365">
            <v>42250</v>
          </cell>
          <cell r="GI365">
            <v>42307</v>
          </cell>
          <cell r="GJ365" t="str">
            <v>44-2015</v>
          </cell>
          <cell r="GN365" t="str">
            <v>ERICSSON</v>
          </cell>
          <cell r="GO365">
            <v>42201</v>
          </cell>
          <cell r="HD365">
            <v>1</v>
          </cell>
        </row>
        <row r="366">
          <cell r="A366" t="str">
            <v>MG0434</v>
          </cell>
          <cell r="B366" t="str">
            <v>ANMG_0169</v>
          </cell>
          <cell r="C366" t="str">
            <v>Apollo</v>
          </cell>
          <cell r="D366" t="str">
            <v>Adriaan Coetsee</v>
          </cell>
          <cell r="F366" t="str">
            <v>Mya Kyauk</v>
          </cell>
          <cell r="G366" t="str">
            <v>Si Thu Moe</v>
          </cell>
          <cell r="H366" t="str">
            <v>RED</v>
          </cell>
          <cell r="I366" t="str">
            <v>North</v>
          </cell>
          <cell r="J366" t="str">
            <v>95.0295</v>
          </cell>
          <cell r="K366" t="str">
            <v>21.7253</v>
          </cell>
          <cell r="L366" t="str">
            <v>Rural</v>
          </cell>
          <cell r="M366" t="str">
            <v>Magway</v>
          </cell>
          <cell r="N366" t="str">
            <v>Yesagyo</v>
          </cell>
          <cell r="O366" t="str">
            <v>Yesagyo</v>
          </cell>
          <cell r="P366" t="str">
            <v>Magway</v>
          </cell>
          <cell r="Q366" t="str">
            <v>7</v>
          </cell>
          <cell r="R366" t="str">
            <v>Yesagyo</v>
          </cell>
          <cell r="S366" t="str">
            <v>135</v>
          </cell>
          <cell r="T366" t="str">
            <v>GSM+UMTS</v>
          </cell>
          <cell r="W366" t="str">
            <v>Ph2-Priority</v>
          </cell>
          <cell r="X366" t="str">
            <v>45</v>
          </cell>
          <cell r="Y366" t="str">
            <v>47</v>
          </cell>
          <cell r="Z366" t="str">
            <v>GBT</v>
          </cell>
          <cell r="AA366" t="str">
            <v>500</v>
          </cell>
          <cell r="AB366" t="str">
            <v>Access</v>
          </cell>
          <cell r="AC366" t="str">
            <v>Class C</v>
          </cell>
          <cell r="BE366" t="str">
            <v>Magwe - Sittwe</v>
          </cell>
          <cell r="BH366" t="str">
            <v>Camusat</v>
          </cell>
          <cell r="BJ366">
            <v>42168</v>
          </cell>
          <cell r="BK366">
            <v>42167</v>
          </cell>
          <cell r="BL366">
            <v>42173</v>
          </cell>
          <cell r="BM366">
            <v>42174</v>
          </cell>
          <cell r="BT366">
            <v>18</v>
          </cell>
          <cell r="BU366">
            <v>42269</v>
          </cell>
          <cell r="BV366">
            <v>42185</v>
          </cell>
          <cell r="BW366" t="str">
            <v>95.032306</v>
          </cell>
          <cell r="BX366" t="str">
            <v>21.725076</v>
          </cell>
          <cell r="BY366" t="str">
            <v>C1</v>
          </cell>
          <cell r="BZ366" t="str">
            <v>Ni Pa Say Taw Village, Yay Sa Kyo Township, Magway Division.</v>
          </cell>
          <cell r="CA366" t="str">
            <v>U Aung Ko Oo</v>
          </cell>
          <cell r="CC366" t="str">
            <v>VILLAGE</v>
          </cell>
          <cell r="CE366">
            <v>1</v>
          </cell>
          <cell r="CF366">
            <v>42270</v>
          </cell>
          <cell r="CG366">
            <v>42186</v>
          </cell>
          <cell r="CH366">
            <v>42272</v>
          </cell>
          <cell r="CJ366">
            <v>42199</v>
          </cell>
          <cell r="CK366" t="str">
            <v>45</v>
          </cell>
          <cell r="CL366" t="str">
            <v>47</v>
          </cell>
          <cell r="CM366" t="str">
            <v>50</v>
          </cell>
          <cell r="CN366">
            <v>15</v>
          </cell>
          <cell r="CO366">
            <v>42275</v>
          </cell>
          <cell r="CP366">
            <v>42201</v>
          </cell>
          <cell r="CQ366" t="str">
            <v>M4: solar + DG + battery</v>
          </cell>
          <cell r="CR366">
            <v>1</v>
          </cell>
          <cell r="CS366">
            <v>42276</v>
          </cell>
          <cell r="CT366">
            <v>42202</v>
          </cell>
          <cell r="CU366" t="str">
            <v>MG0434</v>
          </cell>
          <cell r="DH366">
            <v>31</v>
          </cell>
          <cell r="DI366">
            <v>42286</v>
          </cell>
          <cell r="DK366">
            <v>42283</v>
          </cell>
          <cell r="DL366">
            <v>42208</v>
          </cell>
          <cell r="DM366">
            <v>42287</v>
          </cell>
          <cell r="DO366">
            <v>0</v>
          </cell>
          <cell r="DP366">
            <v>42286</v>
          </cell>
          <cell r="DT366">
            <v>0</v>
          </cell>
          <cell r="DU366">
            <v>42301</v>
          </cell>
          <cell r="DW366">
            <v>0</v>
          </cell>
          <cell r="DY366">
            <v>42287</v>
          </cell>
          <cell r="EA366" t="str">
            <v>Camusat</v>
          </cell>
          <cell r="EJ366">
            <v>0</v>
          </cell>
          <cell r="EK366">
            <v>42304</v>
          </cell>
          <cell r="EM366">
            <v>42305</v>
          </cell>
          <cell r="EQ366">
            <v>42314</v>
          </cell>
          <cell r="EW366">
            <v>0</v>
          </cell>
          <cell r="EX366">
            <v>42316</v>
          </cell>
          <cell r="EZ366">
            <v>42324</v>
          </cell>
          <cell r="FB366">
            <v>42326</v>
          </cell>
          <cell r="FU366">
            <v>42328</v>
          </cell>
          <cell r="FW366">
            <v>42328</v>
          </cell>
          <cell r="GI366">
            <v>42168</v>
          </cell>
          <cell r="GJ366">
            <v>0</v>
          </cell>
          <cell r="GN366" t="str">
            <v>ERICSSON</v>
          </cell>
          <cell r="HD366">
            <v>1</v>
          </cell>
        </row>
        <row r="367">
          <cell r="A367" t="str">
            <v>MG0435</v>
          </cell>
          <cell r="B367" t="str">
            <v>ANMG_0170</v>
          </cell>
          <cell r="C367" t="str">
            <v>Apollo</v>
          </cell>
          <cell r="D367" t="str">
            <v>Adriaan Coetsee</v>
          </cell>
          <cell r="F367" t="str">
            <v>Mya Kyauk</v>
          </cell>
          <cell r="G367" t="str">
            <v>Si Thu Moe</v>
          </cell>
          <cell r="H367" t="str">
            <v>YELLOW</v>
          </cell>
          <cell r="I367" t="str">
            <v>North</v>
          </cell>
          <cell r="J367" t="str">
            <v>94.9247</v>
          </cell>
          <cell r="K367" t="str">
            <v>21.2626</v>
          </cell>
          <cell r="L367" t="str">
            <v>Rural</v>
          </cell>
          <cell r="M367" t="str">
            <v>Magway</v>
          </cell>
          <cell r="N367" t="str">
            <v>Pakokku</v>
          </cell>
          <cell r="O367" t="str">
            <v>Pakokku</v>
          </cell>
          <cell r="P367" t="str">
            <v>Magway</v>
          </cell>
          <cell r="Q367" t="str">
            <v>7</v>
          </cell>
          <cell r="R367" t="str">
            <v>Pakokku</v>
          </cell>
          <cell r="S367" t="str">
            <v>134</v>
          </cell>
          <cell r="T367" t="str">
            <v>GSM+UMTS</v>
          </cell>
          <cell r="W367" t="str">
            <v>Ph2-Priority</v>
          </cell>
          <cell r="X367" t="str">
            <v>45</v>
          </cell>
          <cell r="Y367" t="str">
            <v>47</v>
          </cell>
          <cell r="Z367" t="str">
            <v>GBT</v>
          </cell>
          <cell r="AA367" t="str">
            <v>500</v>
          </cell>
          <cell r="AB367" t="str">
            <v>Access</v>
          </cell>
          <cell r="AC367" t="str">
            <v>Class C</v>
          </cell>
          <cell r="BE367" t="str">
            <v>Route 10 Mandalay - Myitkyina</v>
          </cell>
          <cell r="BH367" t="str">
            <v>Camusat</v>
          </cell>
          <cell r="BJ367">
            <v>42165</v>
          </cell>
          <cell r="BK367">
            <v>42153</v>
          </cell>
          <cell r="BL367">
            <v>42170</v>
          </cell>
          <cell r="BM367">
            <v>42160</v>
          </cell>
          <cell r="BT367">
            <v>17</v>
          </cell>
          <cell r="BU367">
            <v>42201</v>
          </cell>
          <cell r="BV367">
            <v>42170</v>
          </cell>
          <cell r="BW367" t="str">
            <v>94.924088</v>
          </cell>
          <cell r="BX367" t="str">
            <v>21.263046</v>
          </cell>
          <cell r="BY367" t="str">
            <v>C1</v>
          </cell>
          <cell r="BZ367" t="str">
            <v>BE GYI VILLAGE, PAKKOKU TOWNSHIP, MAGWAY DIVISION.</v>
          </cell>
          <cell r="CA367" t="str">
            <v>DAW WIN MYINT;09-794893404</v>
          </cell>
          <cell r="CB367" t="str">
            <v>15Jun15: C1 SAR Sub</v>
          </cell>
          <cell r="CC367" t="str">
            <v>Village</v>
          </cell>
          <cell r="CE367">
            <v>1</v>
          </cell>
          <cell r="CF367">
            <v>42202</v>
          </cell>
          <cell r="CG367">
            <v>42171</v>
          </cell>
          <cell r="CH367">
            <v>42204</v>
          </cell>
          <cell r="CJ367">
            <v>42177</v>
          </cell>
          <cell r="CK367" t="str">
            <v>45</v>
          </cell>
          <cell r="CL367" t="str">
            <v>47</v>
          </cell>
          <cell r="CM367" t="str">
            <v>50</v>
          </cell>
          <cell r="CN367">
            <v>8</v>
          </cell>
          <cell r="CO367">
            <v>42207</v>
          </cell>
          <cell r="CP367">
            <v>42179</v>
          </cell>
          <cell r="CQ367" t="str">
            <v>M1: grid power + battery</v>
          </cell>
          <cell r="CR367">
            <v>2</v>
          </cell>
          <cell r="CS367">
            <v>42208</v>
          </cell>
          <cell r="CT367">
            <v>42181</v>
          </cell>
          <cell r="CU367" t="str">
            <v>MG0435</v>
          </cell>
          <cell r="DH367">
            <v>14</v>
          </cell>
          <cell r="DI367">
            <v>42218</v>
          </cell>
          <cell r="DJ367">
            <v>42195</v>
          </cell>
          <cell r="DK367">
            <v>42215</v>
          </cell>
          <cell r="DL367">
            <v>42186</v>
          </cell>
          <cell r="DM367">
            <v>42219</v>
          </cell>
          <cell r="DN367">
            <v>42192</v>
          </cell>
          <cell r="DO367">
            <v>0</v>
          </cell>
          <cell r="DP367">
            <v>42218</v>
          </cell>
          <cell r="DQ367">
            <v>42195</v>
          </cell>
          <cell r="DT367">
            <v>38</v>
          </cell>
          <cell r="DU367">
            <v>42233</v>
          </cell>
          <cell r="DW367">
            <v>0</v>
          </cell>
          <cell r="DY367">
            <v>42219</v>
          </cell>
          <cell r="DZ367">
            <v>42192</v>
          </cell>
          <cell r="EA367" t="str">
            <v>Camusat</v>
          </cell>
          <cell r="EB367">
            <v>42210</v>
          </cell>
          <cell r="ED367" t="str">
            <v xml:space="preserve">17Aug15 :SiThu.Moe: 11/8/15:Tower foundation casting is ongoing.
</v>
          </cell>
          <cell r="EE367" t="str">
            <v xml:space="preserve">10 Aug 15:Rain affected_Progress affected; 3-Aug-15: Rain affected_ Site is progressing but rain is affecting the work every day. Lean concrete done and rebars to proceed								</v>
          </cell>
          <cell r="EJ367">
            <v>39</v>
          </cell>
          <cell r="EK367">
            <v>42236</v>
          </cell>
          <cell r="EL367">
            <v>42231</v>
          </cell>
          <cell r="EM367">
            <v>42237</v>
          </cell>
          <cell r="EN367">
            <v>42238</v>
          </cell>
          <cell r="EQ367">
            <v>42246</v>
          </cell>
          <cell r="ER367">
            <v>42247</v>
          </cell>
          <cell r="ES367">
            <v>42241</v>
          </cell>
          <cell r="ET367">
            <v>42247</v>
          </cell>
          <cell r="EU367">
            <v>42247</v>
          </cell>
          <cell r="EW367">
            <v>41</v>
          </cell>
          <cell r="EX367">
            <v>42260</v>
          </cell>
          <cell r="EZ367">
            <v>42256</v>
          </cell>
          <cell r="FA367">
            <v>42246</v>
          </cell>
          <cell r="FB367">
            <v>42258</v>
          </cell>
          <cell r="FC367">
            <v>42247</v>
          </cell>
          <cell r="FU367">
            <v>42260</v>
          </cell>
          <cell r="FW367">
            <v>42260</v>
          </cell>
          <cell r="FX367">
            <v>42247</v>
          </cell>
          <cell r="FY367" t="str">
            <v>AZM</v>
          </cell>
          <cell r="FZ367">
            <v>42245</v>
          </cell>
          <cell r="GA367">
            <v>42250</v>
          </cell>
          <cell r="GI367">
            <v>41896</v>
          </cell>
          <cell r="GJ367" t="str">
            <v>44-2015</v>
          </cell>
          <cell r="GN367" t="str">
            <v>ERICSSON</v>
          </cell>
          <cell r="GO367">
            <v>42201</v>
          </cell>
          <cell r="GQ367">
            <v>0</v>
          </cell>
          <cell r="GS367">
            <v>0</v>
          </cell>
          <cell r="GT367">
            <v>0</v>
          </cell>
          <cell r="GU367">
            <v>0</v>
          </cell>
          <cell r="HD367">
            <v>1</v>
          </cell>
        </row>
        <row r="368">
          <cell r="A368" t="str">
            <v>MG0436</v>
          </cell>
          <cell r="B368" t="str">
            <v>ANMG_0171</v>
          </cell>
          <cell r="C368" t="str">
            <v>Apollo</v>
          </cell>
          <cell r="D368" t="str">
            <v>Adriaan Coetsee</v>
          </cell>
          <cell r="F368" t="str">
            <v>Mya Kyauk</v>
          </cell>
          <cell r="G368" t="str">
            <v>Si Thu Moe</v>
          </cell>
          <cell r="H368" t="str">
            <v>AMBER</v>
          </cell>
          <cell r="I368" t="str">
            <v>North</v>
          </cell>
          <cell r="J368" t="str">
            <v>94.8069</v>
          </cell>
          <cell r="K368" t="str">
            <v>20.9594</v>
          </cell>
          <cell r="L368" t="str">
            <v>Rural</v>
          </cell>
          <cell r="M368" t="str">
            <v>Magway</v>
          </cell>
          <cell r="N368" t="str">
            <v>Pakokku</v>
          </cell>
          <cell r="O368" t="str">
            <v>Pakokku</v>
          </cell>
          <cell r="P368" t="str">
            <v>Magway</v>
          </cell>
          <cell r="Q368" t="str">
            <v>7</v>
          </cell>
          <cell r="R368" t="str">
            <v>Pakokku</v>
          </cell>
          <cell r="S368" t="str">
            <v>134</v>
          </cell>
          <cell r="T368" t="str">
            <v>GSM+UMTS</v>
          </cell>
          <cell r="W368" t="str">
            <v>Ph2-Priority</v>
          </cell>
          <cell r="X368" t="str">
            <v>45</v>
          </cell>
          <cell r="Y368" t="str">
            <v>47</v>
          </cell>
          <cell r="Z368" t="str">
            <v>GBT</v>
          </cell>
          <cell r="AA368" t="str">
            <v>500</v>
          </cell>
          <cell r="AB368" t="str">
            <v>Access</v>
          </cell>
          <cell r="AC368" t="str">
            <v>Class C</v>
          </cell>
          <cell r="BH368" t="str">
            <v>Camusat</v>
          </cell>
          <cell r="BJ368">
            <v>42165</v>
          </cell>
          <cell r="BK368">
            <v>42167</v>
          </cell>
          <cell r="BL368">
            <v>42170</v>
          </cell>
          <cell r="BM368">
            <v>42174</v>
          </cell>
          <cell r="BT368">
            <v>11</v>
          </cell>
          <cell r="BU368">
            <v>42201</v>
          </cell>
          <cell r="BV368">
            <v>42178</v>
          </cell>
          <cell r="BW368" t="str">
            <v>94.81817</v>
          </cell>
          <cell r="BX368" t="str">
            <v>20.968307</v>
          </cell>
          <cell r="BY368" t="str">
            <v>C1</v>
          </cell>
          <cell r="BZ368" t="str">
            <v>Lan Ywar Village, Lan Ywar Village Track, Pakokku Township, Magway Division.</v>
          </cell>
          <cell r="CA368" t="str">
            <v>U Kyaw Kyaw Htoo</v>
          </cell>
          <cell r="CB368" t="str">
            <v>15 July 15 :C1-TSSR_REV1 submission (Azimuth revision);8 July 15 : C1 TSSR app;6 July 15 : C1 TSSR sub;29 June 15 : C1 SAR app</v>
          </cell>
          <cell r="CC368" t="str">
            <v>Village</v>
          </cell>
          <cell r="CE368">
            <v>6</v>
          </cell>
          <cell r="CF368">
            <v>42202</v>
          </cell>
          <cell r="CG368">
            <v>42184</v>
          </cell>
          <cell r="CH368">
            <v>42204</v>
          </cell>
          <cell r="CJ368">
            <v>42189</v>
          </cell>
          <cell r="CK368" t="str">
            <v>45</v>
          </cell>
          <cell r="CL368" t="str">
            <v>47</v>
          </cell>
          <cell r="CM368" t="str">
            <v>50</v>
          </cell>
          <cell r="CN368">
            <v>7</v>
          </cell>
          <cell r="CO368">
            <v>42207</v>
          </cell>
          <cell r="CP368">
            <v>42191</v>
          </cell>
          <cell r="CQ368" t="str">
            <v>M1: grid power + battery</v>
          </cell>
          <cell r="CR368">
            <v>2</v>
          </cell>
          <cell r="CS368">
            <v>42208</v>
          </cell>
          <cell r="CT368">
            <v>42193</v>
          </cell>
          <cell r="CU368" t="str">
            <v>MG0436</v>
          </cell>
          <cell r="DH368">
            <v>9</v>
          </cell>
          <cell r="DI368">
            <v>42218</v>
          </cell>
          <cell r="DJ368">
            <v>42202</v>
          </cell>
          <cell r="DK368">
            <v>42215</v>
          </cell>
          <cell r="DL368">
            <v>42198</v>
          </cell>
          <cell r="DM368">
            <v>42219</v>
          </cell>
          <cell r="DN368">
            <v>42198</v>
          </cell>
          <cell r="DO368">
            <v>0</v>
          </cell>
          <cell r="DP368">
            <v>42218</v>
          </cell>
          <cell r="DQ368">
            <v>42202</v>
          </cell>
          <cell r="DT368">
            <v>31</v>
          </cell>
          <cell r="DU368">
            <v>42233</v>
          </cell>
          <cell r="DW368">
            <v>0</v>
          </cell>
          <cell r="DY368">
            <v>42219</v>
          </cell>
          <cell r="DZ368">
            <v>42206</v>
          </cell>
          <cell r="EA368" t="str">
            <v>Camusat</v>
          </cell>
          <cell r="EE368" t="str">
            <v xml:space="preserve">10 Aug 15:Rain affected_Progress affected; 2-Aug-15: CW started and excavation IP								</v>
          </cell>
          <cell r="EJ368">
            <v>27</v>
          </cell>
          <cell r="EK368">
            <v>42236</v>
          </cell>
          <cell r="EL368">
            <v>42240</v>
          </cell>
          <cell r="EM368">
            <v>42237</v>
          </cell>
          <cell r="EN368">
            <v>42242</v>
          </cell>
          <cell r="EQ368">
            <v>42246</v>
          </cell>
          <cell r="ER368">
            <v>42250</v>
          </cell>
          <cell r="EW368">
            <v>27</v>
          </cell>
          <cell r="EX368">
            <v>42260</v>
          </cell>
          <cell r="EZ368">
            <v>42256</v>
          </cell>
          <cell r="FB368">
            <v>42258</v>
          </cell>
          <cell r="FU368">
            <v>42260</v>
          </cell>
          <cell r="FW368">
            <v>42260</v>
          </cell>
          <cell r="FY368" t="str">
            <v>CFVL</v>
          </cell>
          <cell r="GF368">
            <v>42207</v>
          </cell>
          <cell r="GI368">
            <v>42169</v>
          </cell>
          <cell r="GJ368" t="str">
            <v>44-2015</v>
          </cell>
          <cell r="GN368" t="str">
            <v>ERICSSON</v>
          </cell>
          <cell r="HD368">
            <v>1</v>
          </cell>
        </row>
        <row r="369">
          <cell r="A369" t="str">
            <v>MG0437</v>
          </cell>
          <cell r="B369" t="str">
            <v>ANMG_0172</v>
          </cell>
          <cell r="C369" t="str">
            <v>Apollo</v>
          </cell>
          <cell r="D369" t="str">
            <v>Adriaan Coetsee</v>
          </cell>
          <cell r="F369" t="str">
            <v>Mya Kyauk</v>
          </cell>
          <cell r="G369" t="str">
            <v>Si Thu Moe</v>
          </cell>
          <cell r="H369" t="str">
            <v>RED</v>
          </cell>
          <cell r="I369" t="str">
            <v>North</v>
          </cell>
          <cell r="J369" t="str">
            <v>95.1925</v>
          </cell>
          <cell r="K369" t="str">
            <v>21.4971</v>
          </cell>
          <cell r="L369" t="str">
            <v>Rural</v>
          </cell>
          <cell r="M369" t="str">
            <v>Magway</v>
          </cell>
          <cell r="N369" t="str">
            <v>Yesagyo</v>
          </cell>
          <cell r="O369" t="str">
            <v>Yesagyo</v>
          </cell>
          <cell r="P369" t="str">
            <v>Magway</v>
          </cell>
          <cell r="Q369" t="str">
            <v>7</v>
          </cell>
          <cell r="R369" t="str">
            <v>Yesagyo</v>
          </cell>
          <cell r="S369" t="str">
            <v>135</v>
          </cell>
          <cell r="T369" t="str">
            <v>GSM+UMTS</v>
          </cell>
          <cell r="W369" t="str">
            <v>Ph2-Priority</v>
          </cell>
          <cell r="X369" t="str">
            <v>45</v>
          </cell>
          <cell r="Y369" t="str">
            <v>47</v>
          </cell>
          <cell r="Z369" t="str">
            <v>GBT</v>
          </cell>
          <cell r="AA369" t="str">
            <v>500</v>
          </cell>
          <cell r="AB369" t="str">
            <v>Access</v>
          </cell>
          <cell r="AC369" t="str">
            <v>Class C</v>
          </cell>
          <cell r="BH369" t="str">
            <v>Camusat</v>
          </cell>
          <cell r="BJ369">
            <v>42168</v>
          </cell>
          <cell r="BK369">
            <v>42165</v>
          </cell>
          <cell r="BL369">
            <v>42173</v>
          </cell>
          <cell r="BM369">
            <v>42177</v>
          </cell>
          <cell r="BT369">
            <v>56</v>
          </cell>
          <cell r="BU369">
            <v>42269</v>
          </cell>
          <cell r="BV369">
            <v>42221</v>
          </cell>
          <cell r="BW369" t="str">
            <v>95.192756</v>
          </cell>
          <cell r="BX369" t="str">
            <v>21.492949</v>
          </cell>
          <cell r="BY369" t="str">
            <v>C1</v>
          </cell>
          <cell r="BZ369" t="str">
            <v>Si Thar Village, Yay Sa Kyo Township, Magway Division.</v>
          </cell>
          <cell r="CA369" t="str">
            <v>U Khaing Ngwe</v>
          </cell>
          <cell r="CB369" t="str">
            <v>6 Aug 15 : C1 SAR rev 1 approved as an option 1;5 Aug 15 :C1-rev1 SAR submission (coordinates revision) ;17 Jul 15 : C1 TSSR app;15 Jul 15 : C1 TSSR sub;3 July 15 : C1 SAR app;1 Jul 15 : C1 SAR sub</v>
          </cell>
          <cell r="CC369" t="str">
            <v>Village</v>
          </cell>
          <cell r="CE369">
            <v>1</v>
          </cell>
          <cell r="CF369">
            <v>42270</v>
          </cell>
          <cell r="CG369">
            <v>42222</v>
          </cell>
          <cell r="CH369">
            <v>42272</v>
          </cell>
          <cell r="CJ369">
            <v>42247</v>
          </cell>
          <cell r="CK369" t="str">
            <v>45</v>
          </cell>
          <cell r="CL369" t="str">
            <v>47</v>
          </cell>
          <cell r="CM369" t="str">
            <v>50</v>
          </cell>
          <cell r="CN369">
            <v>11</v>
          </cell>
          <cell r="CO369">
            <v>42275</v>
          </cell>
          <cell r="CP369">
            <v>42249</v>
          </cell>
          <cell r="CQ369" t="str">
            <v>M1: grid power + battery</v>
          </cell>
          <cell r="CR369">
            <v>0</v>
          </cell>
          <cell r="CS369">
            <v>42276</v>
          </cell>
          <cell r="CT369">
            <v>42250</v>
          </cell>
          <cell r="CU369" t="str">
            <v>MG0437</v>
          </cell>
          <cell r="DH369">
            <v>0</v>
          </cell>
          <cell r="DI369">
            <v>42286</v>
          </cell>
          <cell r="DK369">
            <v>42283</v>
          </cell>
          <cell r="DL369">
            <v>42242</v>
          </cell>
          <cell r="DM369">
            <v>42287</v>
          </cell>
          <cell r="DO369">
            <v>0</v>
          </cell>
          <cell r="DP369">
            <v>42286</v>
          </cell>
          <cell r="DT369">
            <v>0</v>
          </cell>
          <cell r="DU369">
            <v>42301</v>
          </cell>
          <cell r="DW369">
            <v>0</v>
          </cell>
          <cell r="DY369">
            <v>42287</v>
          </cell>
          <cell r="DZ369">
            <v>42241</v>
          </cell>
          <cell r="EA369" t="str">
            <v>Camusat</v>
          </cell>
          <cell r="EE369" t="str">
            <v xml:space="preserve">10 Aug 15:Rain affected_Progress affected; 4-Aug-15: SKOM done Aug 03.								</v>
          </cell>
          <cell r="EJ369">
            <v>0</v>
          </cell>
          <cell r="EK369">
            <v>42304</v>
          </cell>
          <cell r="EM369">
            <v>42305</v>
          </cell>
          <cell r="EQ369">
            <v>42314</v>
          </cell>
          <cell r="EW369">
            <v>0</v>
          </cell>
          <cell r="EX369">
            <v>42319</v>
          </cell>
          <cell r="EZ369">
            <v>42324</v>
          </cell>
          <cell r="FB369">
            <v>42326</v>
          </cell>
          <cell r="FU369">
            <v>42328</v>
          </cell>
          <cell r="FW369">
            <v>42328</v>
          </cell>
          <cell r="GF369">
            <v>42173</v>
          </cell>
          <cell r="GI369">
            <v>41897</v>
          </cell>
          <cell r="GJ369">
            <v>0</v>
          </cell>
          <cell r="GN369" t="str">
            <v>ERICSSON</v>
          </cell>
          <cell r="GO369">
            <v>42200</v>
          </cell>
          <cell r="HD369">
            <v>1</v>
          </cell>
        </row>
        <row r="370">
          <cell r="A370" t="str">
            <v>MG0438</v>
          </cell>
          <cell r="B370" t="str">
            <v>ANMG_0173</v>
          </cell>
          <cell r="C370" t="str">
            <v>Apollo</v>
          </cell>
          <cell r="D370" t="str">
            <v>Adriaan Coetsee</v>
          </cell>
          <cell r="F370" t="str">
            <v>Mya Kyauk</v>
          </cell>
          <cell r="G370" t="str">
            <v>Si Thu Moe</v>
          </cell>
          <cell r="H370" t="str">
            <v>RED</v>
          </cell>
          <cell r="I370" t="str">
            <v>North</v>
          </cell>
          <cell r="J370" t="str">
            <v>95.1863</v>
          </cell>
          <cell r="K370" t="str">
            <v>21.7369</v>
          </cell>
          <cell r="L370" t="str">
            <v>Rural</v>
          </cell>
          <cell r="M370" t="str">
            <v>Magway</v>
          </cell>
          <cell r="N370" t="str">
            <v>Yesagyo</v>
          </cell>
          <cell r="O370" t="str">
            <v>Yesagyo</v>
          </cell>
          <cell r="P370" t="str">
            <v>Magway</v>
          </cell>
          <cell r="Q370" t="str">
            <v>7</v>
          </cell>
          <cell r="R370" t="str">
            <v>Yesagyo</v>
          </cell>
          <cell r="S370" t="str">
            <v>135</v>
          </cell>
          <cell r="T370" t="str">
            <v>GSM+UMTS</v>
          </cell>
          <cell r="W370" t="str">
            <v>Ph2-Priority</v>
          </cell>
          <cell r="X370" t="str">
            <v>45</v>
          </cell>
          <cell r="Y370" t="str">
            <v>47</v>
          </cell>
          <cell r="Z370" t="str">
            <v>GBT</v>
          </cell>
          <cell r="AA370" t="str">
            <v>500</v>
          </cell>
          <cell r="AB370" t="str">
            <v>Access</v>
          </cell>
          <cell r="AC370" t="str">
            <v>Class C</v>
          </cell>
          <cell r="BH370" t="str">
            <v>Camusat</v>
          </cell>
          <cell r="BJ370">
            <v>42168</v>
          </cell>
          <cell r="BK370">
            <v>42165</v>
          </cell>
          <cell r="BL370">
            <v>42173</v>
          </cell>
          <cell r="BM370">
            <v>42172</v>
          </cell>
          <cell r="BT370">
            <v>21</v>
          </cell>
          <cell r="BU370">
            <v>42269</v>
          </cell>
          <cell r="BV370">
            <v>42186</v>
          </cell>
          <cell r="BW370" t="str">
            <v>95.18563</v>
          </cell>
          <cell r="BX370" t="str">
            <v>21.73772</v>
          </cell>
          <cell r="BY370" t="str">
            <v>C1</v>
          </cell>
          <cell r="BZ370" t="str">
            <v>Maau Alel Village, Yay Sa Kyo Township, Magway Division.</v>
          </cell>
          <cell r="CA370" t="str">
            <v>U Than Zaw</v>
          </cell>
          <cell r="CB370" t="str">
            <v>3 July 15 : C1 SAR sub</v>
          </cell>
          <cell r="CC370" t="str">
            <v>Village</v>
          </cell>
          <cell r="CE370">
            <v>2</v>
          </cell>
          <cell r="CF370">
            <v>42270</v>
          </cell>
          <cell r="CG370">
            <v>42188</v>
          </cell>
          <cell r="CH370">
            <v>42272</v>
          </cell>
          <cell r="CJ370">
            <v>42203</v>
          </cell>
          <cell r="CK370" t="str">
            <v>45</v>
          </cell>
          <cell r="CL370" t="str">
            <v>47</v>
          </cell>
          <cell r="CM370" t="str">
            <v>50</v>
          </cell>
          <cell r="CN370">
            <v>17</v>
          </cell>
          <cell r="CO370">
            <v>42275</v>
          </cell>
          <cell r="CP370">
            <v>42205</v>
          </cell>
          <cell r="CQ370" t="str">
            <v>M1: grid power + battery</v>
          </cell>
          <cell r="CR370">
            <v>2</v>
          </cell>
          <cell r="CS370">
            <v>42276</v>
          </cell>
          <cell r="CT370">
            <v>42207</v>
          </cell>
          <cell r="CU370" t="str">
            <v>MG0438</v>
          </cell>
          <cell r="DH370">
            <v>26</v>
          </cell>
          <cell r="DI370">
            <v>42286</v>
          </cell>
          <cell r="DK370">
            <v>42283</v>
          </cell>
          <cell r="DL370">
            <v>42242</v>
          </cell>
          <cell r="DM370">
            <v>42287</v>
          </cell>
          <cell r="DO370">
            <v>0</v>
          </cell>
          <cell r="DP370">
            <v>42286</v>
          </cell>
          <cell r="DT370">
            <v>0</v>
          </cell>
          <cell r="DU370">
            <v>42301</v>
          </cell>
          <cell r="DW370">
            <v>0</v>
          </cell>
          <cell r="DY370">
            <v>42287</v>
          </cell>
          <cell r="EA370" t="str">
            <v>Camusat</v>
          </cell>
          <cell r="EJ370">
            <v>0</v>
          </cell>
          <cell r="EK370">
            <v>42304</v>
          </cell>
          <cell r="EM370">
            <v>42305</v>
          </cell>
          <cell r="EQ370">
            <v>42314</v>
          </cell>
          <cell r="EW370">
            <v>0</v>
          </cell>
          <cell r="EX370">
            <v>42319</v>
          </cell>
          <cell r="EZ370">
            <v>42324</v>
          </cell>
          <cell r="FB370">
            <v>42326</v>
          </cell>
          <cell r="FU370">
            <v>42328</v>
          </cell>
          <cell r="FW370">
            <v>42328</v>
          </cell>
          <cell r="GI370">
            <v>42143</v>
          </cell>
          <cell r="GJ370">
            <v>0</v>
          </cell>
          <cell r="GN370" t="str">
            <v>ERICSSON</v>
          </cell>
          <cell r="GO370">
            <v>42200</v>
          </cell>
          <cell r="HD370">
            <v>1</v>
          </cell>
        </row>
        <row r="371">
          <cell r="A371" t="str">
            <v>MG0439</v>
          </cell>
          <cell r="B371" t="str">
            <v>ANMG_0174</v>
          </cell>
          <cell r="C371" t="str">
            <v>Apollo</v>
          </cell>
          <cell r="D371" t="str">
            <v>Chris Thomson</v>
          </cell>
          <cell r="F371" t="str">
            <v>Mya Kyauk</v>
          </cell>
          <cell r="G371" t="str">
            <v>Si Thu Moe</v>
          </cell>
          <cell r="H371" t="str">
            <v>RED</v>
          </cell>
          <cell r="I371" t="str">
            <v>North</v>
          </cell>
          <cell r="J371" t="str">
            <v>95.036</v>
          </cell>
          <cell r="K371" t="str">
            <v>19.1088</v>
          </cell>
          <cell r="L371" t="str">
            <v>Rural</v>
          </cell>
          <cell r="M371" t="str">
            <v>Magway</v>
          </cell>
          <cell r="N371" t="str">
            <v>Kamma</v>
          </cell>
          <cell r="O371" t="str">
            <v>Kamma</v>
          </cell>
          <cell r="P371" t="str">
            <v>Magway</v>
          </cell>
          <cell r="Q371" t="str">
            <v>7</v>
          </cell>
          <cell r="R371" t="str">
            <v>Kamma</v>
          </cell>
          <cell r="S371" t="str">
            <v>131</v>
          </cell>
          <cell r="T371" t="str">
            <v>GSM+UMTS</v>
          </cell>
          <cell r="W371" t="str">
            <v>Ph2-Priority</v>
          </cell>
          <cell r="X371" t="str">
            <v>45</v>
          </cell>
          <cell r="Y371" t="str">
            <v>47</v>
          </cell>
          <cell r="Z371" t="str">
            <v>GBT</v>
          </cell>
          <cell r="AA371" t="str">
            <v>500</v>
          </cell>
          <cell r="AB371" t="str">
            <v>Access</v>
          </cell>
          <cell r="AC371" t="str">
            <v>Class C</v>
          </cell>
          <cell r="BE371" t="str">
            <v>MDL DC</v>
          </cell>
          <cell r="BH371" t="str">
            <v>Camusat</v>
          </cell>
          <cell r="BJ371">
            <v>42165</v>
          </cell>
          <cell r="BK371">
            <v>42167</v>
          </cell>
          <cell r="BL371">
            <v>42170</v>
          </cell>
          <cell r="BM371">
            <v>42174</v>
          </cell>
          <cell r="BT371">
            <v>20</v>
          </cell>
          <cell r="BU371">
            <v>42234</v>
          </cell>
          <cell r="BV371">
            <v>42187</v>
          </cell>
          <cell r="BW371" t="str">
            <v>95.036042</v>
          </cell>
          <cell r="BX371" t="str">
            <v>19.108405</v>
          </cell>
          <cell r="BY371" t="str">
            <v>C1</v>
          </cell>
          <cell r="BZ371" t="str">
            <v>Kyauk Chaw Village, Shwe Sar Yan Village Group, Patheingyi Township,Mandalay Division.</v>
          </cell>
          <cell r="CA371" t="str">
            <v>Daw Mya Than;09 257457665</v>
          </cell>
          <cell r="CB371" t="str">
            <v>30 June 15 : C2 TSSR approved and also restore C2 SAR submission and approoval date ;29 June 15 : C2 TSSR sub (C1 has been rejected since during soil test NOC issue occured. C2-Variation order has been eliminated thus this C2 is now the active candidate.) and change cadidate number and sub date;23 June 15: C1 TSSR sub;20Jun15: TSS failed on C2 due to very high variation. Requested to TN for reactivation of C1 and waiting for confirmation before sending the C1-TSSR. Family issue for C1 has been settled. June 15: SAR_C2 approved and ready for TSS/Soil by Camusat Mandalay
 12Jun15: C2-SAR submission; C1-family dispute and no longer interested; 24May15: C1 SAR Sub. C2-SAR submission; C1-family dispute and no longer interested</v>
          </cell>
          <cell r="CC371" t="str">
            <v>Residential</v>
          </cell>
          <cell r="CE371">
            <v>4</v>
          </cell>
          <cell r="CF371">
            <v>42235</v>
          </cell>
          <cell r="CG371">
            <v>42191</v>
          </cell>
          <cell r="CH371">
            <v>42237</v>
          </cell>
          <cell r="CJ371">
            <v>42182</v>
          </cell>
          <cell r="CK371" t="str">
            <v>45</v>
          </cell>
          <cell r="CL371" t="str">
            <v>47</v>
          </cell>
          <cell r="CM371" t="str">
            <v>45</v>
          </cell>
          <cell r="CN371">
            <v>42</v>
          </cell>
          <cell r="CO371">
            <v>42240</v>
          </cell>
          <cell r="CP371">
            <v>42184</v>
          </cell>
          <cell r="CQ371" t="str">
            <v>M4: solar + DG + battery</v>
          </cell>
          <cell r="CR371">
            <v>0</v>
          </cell>
          <cell r="CS371">
            <v>42241</v>
          </cell>
          <cell r="CT371">
            <v>42185</v>
          </cell>
          <cell r="CU371" t="str">
            <v>MG0439</v>
          </cell>
          <cell r="DH371">
            <v>0</v>
          </cell>
          <cell r="DI371">
            <v>42251</v>
          </cell>
          <cell r="DJ371">
            <v>42191</v>
          </cell>
          <cell r="DK371">
            <v>42248</v>
          </cell>
          <cell r="DL371">
            <v>42187</v>
          </cell>
          <cell r="DM371">
            <v>42252</v>
          </cell>
          <cell r="DN371">
            <v>42196</v>
          </cell>
          <cell r="DO371">
            <v>0</v>
          </cell>
          <cell r="DP371">
            <v>42251</v>
          </cell>
          <cell r="DQ371">
            <v>42191</v>
          </cell>
          <cell r="DT371">
            <v>0</v>
          </cell>
          <cell r="DU371">
            <v>42266</v>
          </cell>
          <cell r="DV371">
            <v>42201</v>
          </cell>
          <cell r="DW371">
            <v>0</v>
          </cell>
          <cell r="DY371">
            <v>42252</v>
          </cell>
          <cell r="DZ371">
            <v>42195</v>
          </cell>
          <cell r="EA371" t="str">
            <v>Camusat</v>
          </cell>
          <cell r="EE371" t="str">
            <v xml:space="preserve">10 Aug 15:Rain affected_Progress affected; 3-Aug-15: Rain affected_ Site is progressing but rain is affecting the work every day.  Tower base casted and Pedestal IP								</v>
          </cell>
          <cell r="EJ371">
            <v>0</v>
          </cell>
          <cell r="EK371">
            <v>42269</v>
          </cell>
          <cell r="EL371">
            <v>42223</v>
          </cell>
          <cell r="EM371">
            <v>42270</v>
          </cell>
          <cell r="EN371">
            <v>42233</v>
          </cell>
          <cell r="EQ371">
            <v>42279</v>
          </cell>
          <cell r="ES371">
            <v>42228</v>
          </cell>
          <cell r="EW371">
            <v>0</v>
          </cell>
          <cell r="EX371">
            <v>42293</v>
          </cell>
          <cell r="EZ371">
            <v>42289</v>
          </cell>
          <cell r="FB371">
            <v>42291</v>
          </cell>
          <cell r="FU371">
            <v>42293</v>
          </cell>
          <cell r="FW371">
            <v>42293</v>
          </cell>
          <cell r="FY371" t="str">
            <v>TN</v>
          </cell>
          <cell r="GI371">
            <v>42094</v>
          </cell>
          <cell r="GJ371">
            <v>0</v>
          </cell>
          <cell r="GN371" t="str">
            <v>ERICSSON</v>
          </cell>
          <cell r="GP371">
            <v>42206</v>
          </cell>
          <cell r="HD371">
            <v>1</v>
          </cell>
        </row>
        <row r="372">
          <cell r="A372" t="str">
            <v>MG0440</v>
          </cell>
          <cell r="B372" t="str">
            <v>ANMG_0175</v>
          </cell>
          <cell r="C372" t="str">
            <v>Apollo</v>
          </cell>
          <cell r="D372" t="str">
            <v>Adriaan Coetsee</v>
          </cell>
          <cell r="E372" t="str">
            <v>Rommel Salamanca :09254439968</v>
          </cell>
          <cell r="F372" t="str">
            <v>Mya Kyauk</v>
          </cell>
          <cell r="G372" t="str">
            <v>Si Thu Moe</v>
          </cell>
          <cell r="H372" t="str">
            <v>AMBER</v>
          </cell>
          <cell r="I372" t="str">
            <v>North</v>
          </cell>
          <cell r="J372" t="str">
            <v>94.8589</v>
          </cell>
          <cell r="K372" t="str">
            <v>21.3691</v>
          </cell>
          <cell r="L372" t="str">
            <v>Rural</v>
          </cell>
          <cell r="M372" t="str">
            <v>Magway</v>
          </cell>
          <cell r="N372" t="str">
            <v>Pakokku</v>
          </cell>
          <cell r="O372" t="str">
            <v>Pakokku</v>
          </cell>
          <cell r="P372" t="str">
            <v>Magway</v>
          </cell>
          <cell r="Q372" t="str">
            <v>7</v>
          </cell>
          <cell r="R372" t="str">
            <v>Pakokku</v>
          </cell>
          <cell r="S372" t="str">
            <v>134</v>
          </cell>
          <cell r="T372" t="str">
            <v>GSM+UMTS</v>
          </cell>
          <cell r="U372" t="str">
            <v>MON-N003</v>
          </cell>
          <cell r="V372">
            <v>5.0999999999999996</v>
          </cell>
          <cell r="W372" t="str">
            <v>Ph2-Priority</v>
          </cell>
          <cell r="X372" t="str">
            <v>45</v>
          </cell>
          <cell r="Y372" t="str">
            <v>47</v>
          </cell>
          <cell r="Z372" t="str">
            <v>GBT</v>
          </cell>
          <cell r="AA372" t="str">
            <v>500</v>
          </cell>
          <cell r="AB372" t="str">
            <v>Access</v>
          </cell>
          <cell r="AC372" t="str">
            <v>Class C</v>
          </cell>
          <cell r="AD372">
            <v>925</v>
          </cell>
          <cell r="AE372">
            <v>935</v>
          </cell>
          <cell r="AF372">
            <v>2</v>
          </cell>
          <cell r="AG372" t="str">
            <v>MO0088</v>
          </cell>
          <cell r="BC372" t="str">
            <v>MO0088</v>
          </cell>
          <cell r="BD372">
            <v>2</v>
          </cell>
          <cell r="BE372" t="str">
            <v>Route 1 Yangon - Mandalay</v>
          </cell>
          <cell r="BF372">
            <v>42003</v>
          </cell>
          <cell r="BG372">
            <v>41925</v>
          </cell>
          <cell r="BH372" t="str">
            <v>Camusat</v>
          </cell>
          <cell r="BJ372">
            <v>42165</v>
          </cell>
          <cell r="BK372">
            <v>42158</v>
          </cell>
          <cell r="BL372">
            <v>42170</v>
          </cell>
          <cell r="BM372">
            <v>42166</v>
          </cell>
          <cell r="BQ372" t="str">
            <v>Railway</v>
          </cell>
          <cell r="BT372">
            <v>18</v>
          </cell>
          <cell r="BU372">
            <v>42201</v>
          </cell>
          <cell r="BV372">
            <v>42176</v>
          </cell>
          <cell r="BW372" t="str">
            <v>94.859724</v>
          </cell>
          <cell r="BX372" t="str">
            <v>21.367277</v>
          </cell>
          <cell r="BY372" t="str">
            <v>C1</v>
          </cell>
          <cell r="BZ372" t="str">
            <v>U YIN MYOUK SU VILLAGE,NYAUNG PIN HLA VILLAGE TRACK,PAKOKKU TOWNSHIP,MAGWAY.</v>
          </cell>
          <cell r="CA372" t="str">
            <v>U HTAY ZAW LWIN;9256040155</v>
          </cell>
          <cell r="CB372" t="str">
            <v>21Jun15: C1 SAR Sub</v>
          </cell>
          <cell r="CE372">
            <v>1</v>
          </cell>
          <cell r="CF372">
            <v>42202</v>
          </cell>
          <cell r="CG372">
            <v>42177</v>
          </cell>
          <cell r="CH372">
            <v>42204</v>
          </cell>
          <cell r="CJ372">
            <v>42180</v>
          </cell>
          <cell r="CK372" t="str">
            <v>45</v>
          </cell>
          <cell r="CL372" t="str">
            <v>47</v>
          </cell>
          <cell r="CM372" t="str">
            <v>50</v>
          </cell>
          <cell r="CN372">
            <v>5</v>
          </cell>
          <cell r="CO372">
            <v>42207</v>
          </cell>
          <cell r="CP372">
            <v>42182</v>
          </cell>
          <cell r="CQ372" t="str">
            <v>M4: solar + DG + battery</v>
          </cell>
          <cell r="CR372">
            <v>3</v>
          </cell>
          <cell r="CS372">
            <v>42208</v>
          </cell>
          <cell r="CT372">
            <v>42185</v>
          </cell>
          <cell r="CU372" t="str">
            <v>MG0440</v>
          </cell>
          <cell r="DH372">
            <v>10</v>
          </cell>
          <cell r="DI372">
            <v>42218</v>
          </cell>
          <cell r="DJ372">
            <v>42195</v>
          </cell>
          <cell r="DK372">
            <v>42215</v>
          </cell>
          <cell r="DL372">
            <v>42199</v>
          </cell>
          <cell r="DM372">
            <v>42219</v>
          </cell>
          <cell r="DN372">
            <v>42199</v>
          </cell>
          <cell r="DO372">
            <v>0</v>
          </cell>
          <cell r="DP372">
            <v>42218</v>
          </cell>
          <cell r="DQ372">
            <v>42195</v>
          </cell>
          <cell r="DR372" t="str">
            <v>Thahton CDC</v>
          </cell>
          <cell r="DT372">
            <v>38</v>
          </cell>
          <cell r="DU372">
            <v>42233</v>
          </cell>
          <cell r="DW372">
            <v>0</v>
          </cell>
          <cell r="DY372">
            <v>42219</v>
          </cell>
          <cell r="DZ372">
            <v>42199</v>
          </cell>
          <cell r="EA372" t="str">
            <v>Camusat</v>
          </cell>
          <cell r="ED372" t="str">
            <v xml:space="preserve">17Aug15 :SiThu.Moe: 11/8/15:Excavation is ongoing.
</v>
          </cell>
          <cell r="EE372" t="str">
            <v xml:space="preserve">10 Aug 15:Rain affected_Progress affected; 2-Aug-15: CW started and excavation to start								</v>
          </cell>
          <cell r="EI372" t="str">
            <v>M5: grid power + DG + battery      </v>
          </cell>
          <cell r="EJ372">
            <v>34</v>
          </cell>
          <cell r="EK372">
            <v>42236</v>
          </cell>
          <cell r="EL372">
            <v>42238</v>
          </cell>
          <cell r="EM372">
            <v>42237</v>
          </cell>
          <cell r="EN372">
            <v>42242</v>
          </cell>
          <cell r="EQ372">
            <v>42246</v>
          </cell>
          <cell r="ER372">
            <v>42250</v>
          </cell>
          <cell r="ES372">
            <v>42241</v>
          </cell>
          <cell r="ET372">
            <v>42206</v>
          </cell>
          <cell r="EU372">
            <v>42206</v>
          </cell>
          <cell r="EW372">
            <v>34</v>
          </cell>
          <cell r="EX372">
            <v>42260</v>
          </cell>
          <cell r="EZ372">
            <v>42256</v>
          </cell>
          <cell r="FA372">
            <v>42249</v>
          </cell>
          <cell r="FB372">
            <v>42258</v>
          </cell>
          <cell r="FC372">
            <v>42250</v>
          </cell>
          <cell r="FD372">
            <v>41932</v>
          </cell>
          <cell r="FE372">
            <v>42193</v>
          </cell>
          <cell r="FF372">
            <v>41939</v>
          </cell>
          <cell r="FH372">
            <v>41941</v>
          </cell>
          <cell r="FJ372">
            <v>41944</v>
          </cell>
          <cell r="FN372">
            <v>41948</v>
          </cell>
          <cell r="FP372">
            <v>41950</v>
          </cell>
          <cell r="FR372">
            <v>41964</v>
          </cell>
          <cell r="FU372">
            <v>42260</v>
          </cell>
          <cell r="FW372">
            <v>42260</v>
          </cell>
          <cell r="FX372">
            <v>42212</v>
          </cell>
          <cell r="FY372" t="str">
            <v>AZM</v>
          </cell>
          <cell r="FZ372">
            <v>42245</v>
          </cell>
          <cell r="GA372">
            <v>42250</v>
          </cell>
          <cell r="GB372">
            <v>42218</v>
          </cell>
          <cell r="GC372">
            <v>42219</v>
          </cell>
          <cell r="GD372">
            <v>42219</v>
          </cell>
          <cell r="GE372">
            <v>42219</v>
          </cell>
          <cell r="GG372">
            <v>42219</v>
          </cell>
          <cell r="GH372">
            <v>42219</v>
          </cell>
          <cell r="GI372">
            <v>42307</v>
          </cell>
          <cell r="GJ372" t="str">
            <v>44-2015</v>
          </cell>
          <cell r="GK372">
            <v>42219</v>
          </cell>
          <cell r="GN372" t="str">
            <v>ERICSSON</v>
          </cell>
          <cell r="HD372">
            <v>1</v>
          </cell>
        </row>
        <row r="373">
          <cell r="A373" t="str">
            <v>MO0098</v>
          </cell>
          <cell r="B373" t="str">
            <v>ASMO_0192</v>
          </cell>
          <cell r="C373" t="str">
            <v>Apollo</v>
          </cell>
          <cell r="D373" t="str">
            <v>Robert</v>
          </cell>
          <cell r="E373" t="str">
            <v>Rommel Salamanca :09254439968</v>
          </cell>
          <cell r="F373" t="str">
            <v>Phyo Wai Maung</v>
          </cell>
          <cell r="G373" t="str">
            <v>Shine Ko Ko</v>
          </cell>
          <cell r="H373" t="str">
            <v>RED</v>
          </cell>
          <cell r="I373" t="str">
            <v>South</v>
          </cell>
          <cell r="J373" t="str">
            <v>97.36786554</v>
          </cell>
          <cell r="K373" t="str">
            <v>16.84779093</v>
          </cell>
          <cell r="L373" t="str">
            <v>Rural</v>
          </cell>
          <cell r="M373" t="str">
            <v>Mon</v>
          </cell>
          <cell r="N373" t="str">
            <v>Thaton Township</v>
          </cell>
          <cell r="O373" t="str">
            <v>Thaton</v>
          </cell>
          <cell r="P373" t="str">
            <v>Mon</v>
          </cell>
          <cell r="Q373" t="str">
            <v>22</v>
          </cell>
          <cell r="R373" t="str">
            <v>Thaton</v>
          </cell>
          <cell r="S373" t="str">
            <v>176</v>
          </cell>
          <cell r="T373" t="str">
            <v>GSM+UMTS</v>
          </cell>
          <cell r="U373" t="str">
            <v>MON-N003</v>
          </cell>
          <cell r="V373" t="str">
            <v>5.1</v>
          </cell>
          <cell r="W373" t="str">
            <v>Ph2-Priority</v>
          </cell>
          <cell r="X373" t="str">
            <v>55</v>
          </cell>
          <cell r="Y373" t="str">
            <v>57</v>
          </cell>
          <cell r="Z373" t="str">
            <v>GBT</v>
          </cell>
          <cell r="AA373" t="str">
            <v>500</v>
          </cell>
          <cell r="AB373" t="str">
            <v>Access</v>
          </cell>
          <cell r="AC373" t="str">
            <v>Class C</v>
          </cell>
          <cell r="AD373" t="str">
            <v>925</v>
          </cell>
          <cell r="AE373" t="str">
            <v>935</v>
          </cell>
          <cell r="AF373" t="str">
            <v>2</v>
          </cell>
          <cell r="AG373" t="str">
            <v>MO0088</v>
          </cell>
          <cell r="BC373" t="str">
            <v>MO0088</v>
          </cell>
          <cell r="BD373" t="str">
            <v>2</v>
          </cell>
          <cell r="BE373" t="str">
            <v>Route 2 Yangon -Mawlamyine</v>
          </cell>
          <cell r="BF373">
            <v>42003</v>
          </cell>
          <cell r="BG373">
            <v>41925</v>
          </cell>
          <cell r="BH373" t="str">
            <v>Apollo</v>
          </cell>
          <cell r="BJ373">
            <v>42128</v>
          </cell>
          <cell r="BK373">
            <v>41712</v>
          </cell>
          <cell r="BL373">
            <v>42133</v>
          </cell>
          <cell r="BM373">
            <v>42027</v>
          </cell>
          <cell r="BQ373" t="str">
            <v>Railway</v>
          </cell>
          <cell r="BT373">
            <v>325</v>
          </cell>
          <cell r="BU373">
            <v>42134</v>
          </cell>
          <cell r="BV373">
            <v>42037</v>
          </cell>
          <cell r="BW373" t="str">
            <v>97.36932</v>
          </cell>
          <cell r="BX373" t="str">
            <v>16.83485</v>
          </cell>
          <cell r="BY373" t="str">
            <v>C9</v>
          </cell>
          <cell r="BZ373" t="str">
            <v>NO.(187),THA YAT TAW VILLAGE,THA HTON TSP,MON STATE.</v>
          </cell>
          <cell r="CA373" t="str">
            <v>(Owner Name -U THAN in TSSR );Daw Myint Khin;No.(187),Tha Yat Taw Village,Tha Hton Tsp,Mon State;09-970731819</v>
          </cell>
          <cell r="CB373" t="str">
            <v>12Jun15: C9 TSSR Sub at 8PM friday. 4 Feb 15 L C9 SAR approved as an option 3( RND approved with 55m / 60m GBT as priority 3. This site is 1.44km far from the nominal point);2Feb15 2Feb15: C9 SAR Sub .29 Dec 14 : C8 SAR rejected(  Candidate Elevation is too 11m is too low than the nominal point 70m 
so that this candidate is rejected. We suggest to find the candidate at minimum elevation 40m for this site). 29Dec14: C8 SAR Sub. 02 Dec14 : C7 SAR rejected(  RND rejected as elevation is too lower than nominal elevation)1Dec14: C07 SAR Sub. Nov 14 : C5 SAR rejected ( it is 1800m far from the nominal point.) and also C6 SAR rejected( it is 1800m far from the nominal point.); 04Nov14: C5 &amp; C6 SAR Sub, prev C3 SAR Reject; 30 Oct 14 : C3 SAR rejected(RND rejected. TM radio point out (Candidate location is too lower than nominal point.) and C4 SAR also rejected (RND rejected. TM radio point out(Candidate location is too lower than nominal point.)); 29Oct14: C3 C4 SAR Sub, prev C2 Reject; 24 Sept 14 : C2 SAR has been rejected:(Terrain obstacle is totally blocked in MW2. This site should be rejected);prev C1 SAR rejected;16Sep14: C1 &amp; C2 SAR Sub;</v>
          </cell>
          <cell r="CC373" t="str">
            <v>Village</v>
          </cell>
          <cell r="CE373">
            <v>2</v>
          </cell>
          <cell r="CF373">
            <v>42135</v>
          </cell>
          <cell r="CG373">
            <v>42039</v>
          </cell>
          <cell r="CH373">
            <v>42160</v>
          </cell>
          <cell r="CJ373">
            <v>42165</v>
          </cell>
          <cell r="CK373" t="str">
            <v>55</v>
          </cell>
          <cell r="CL373" t="str">
            <v>57</v>
          </cell>
          <cell r="CM373" t="str">
            <v>60</v>
          </cell>
          <cell r="CN373">
            <v>128</v>
          </cell>
          <cell r="CO373">
            <v>42163</v>
          </cell>
          <cell r="CP373">
            <v>42167</v>
          </cell>
          <cell r="CQ373" t="str">
            <v>M1: grid power + battery</v>
          </cell>
          <cell r="CR373">
            <v>3</v>
          </cell>
          <cell r="CS373">
            <v>42164</v>
          </cell>
          <cell r="CT373">
            <v>42170</v>
          </cell>
          <cell r="CU373" t="str">
            <v>MO0098</v>
          </cell>
          <cell r="DE373" t="str">
            <v>Y</v>
          </cell>
          <cell r="DH373">
            <v>-13</v>
          </cell>
          <cell r="DI373">
            <v>42174</v>
          </cell>
          <cell r="DJ373">
            <v>42157</v>
          </cell>
          <cell r="DK373">
            <v>42171</v>
          </cell>
          <cell r="DL373">
            <v>42186</v>
          </cell>
          <cell r="DM373">
            <v>42175</v>
          </cell>
          <cell r="DN373">
            <v>42186</v>
          </cell>
          <cell r="DO373">
            <v>0</v>
          </cell>
          <cell r="DP373">
            <v>42174</v>
          </cell>
          <cell r="DQ373">
            <v>42157</v>
          </cell>
          <cell r="DR373" t="str">
            <v>Thahton CDC</v>
          </cell>
          <cell r="DT373">
            <v>76</v>
          </cell>
          <cell r="DU373">
            <v>42189</v>
          </cell>
          <cell r="DW373">
            <v>0</v>
          </cell>
          <cell r="DY373">
            <v>42175</v>
          </cell>
          <cell r="EA373" t="str">
            <v>Leadcom</v>
          </cell>
          <cell r="EJ373">
            <v>0</v>
          </cell>
          <cell r="EK373">
            <v>42197</v>
          </cell>
          <cell r="EM373">
            <v>42198</v>
          </cell>
          <cell r="EQ373">
            <v>42210</v>
          </cell>
          <cell r="EW373">
            <v>0</v>
          </cell>
          <cell r="EX373">
            <v>42224</v>
          </cell>
          <cell r="EZ373">
            <v>42220</v>
          </cell>
          <cell r="FB373">
            <v>42222</v>
          </cell>
          <cell r="FD373">
            <v>41932</v>
          </cell>
          <cell r="FF373">
            <v>41939</v>
          </cell>
          <cell r="FH373">
            <v>41941</v>
          </cell>
          <cell r="FJ373">
            <v>41944</v>
          </cell>
          <cell r="FN373">
            <v>41948</v>
          </cell>
          <cell r="FP373">
            <v>41950</v>
          </cell>
          <cell r="FR373">
            <v>41964</v>
          </cell>
          <cell r="FU373">
            <v>42224</v>
          </cell>
          <cell r="FW373">
            <v>42224</v>
          </cell>
          <cell r="GI373">
            <v>42185</v>
          </cell>
          <cell r="GJ373">
            <v>0</v>
          </cell>
          <cell r="GN373" t="str">
            <v>ERICSSON</v>
          </cell>
          <cell r="GO373">
            <v>41758</v>
          </cell>
          <cell r="GU373" t="str">
            <v xml:space="preserve">		</v>
          </cell>
          <cell r="HD373">
            <v>1</v>
          </cell>
        </row>
        <row r="374">
          <cell r="A374" t="str">
            <v>MO0100</v>
          </cell>
          <cell r="B374" t="str">
            <v>ASMO_0193</v>
          </cell>
          <cell r="C374" t="str">
            <v>Apollo</v>
          </cell>
          <cell r="D374" t="str">
            <v>Robert</v>
          </cell>
          <cell r="E374" t="str">
            <v>Rommel Salamanca :09254439968</v>
          </cell>
          <cell r="F374" t="str">
            <v>Phyo Wai Maung</v>
          </cell>
          <cell r="G374" t="str">
            <v>Shine Ko Ko</v>
          </cell>
          <cell r="H374" t="str">
            <v>WHITE</v>
          </cell>
          <cell r="I374" t="str">
            <v>South</v>
          </cell>
          <cell r="J374" t="str">
            <v>97.38405058</v>
          </cell>
          <cell r="K374" t="str">
            <v>16.79382536</v>
          </cell>
          <cell r="L374" t="str">
            <v>Rural</v>
          </cell>
          <cell r="M374" t="str">
            <v>Mon</v>
          </cell>
          <cell r="N374" t="str">
            <v>Thaton Township</v>
          </cell>
          <cell r="O374" t="str">
            <v>Paung</v>
          </cell>
          <cell r="P374" t="str">
            <v>Mon</v>
          </cell>
          <cell r="Q374" t="str">
            <v>22</v>
          </cell>
          <cell r="R374" t="str">
            <v>Paung</v>
          </cell>
          <cell r="S374" t="str">
            <v>177</v>
          </cell>
          <cell r="T374" t="str">
            <v>GSM+UMTS</v>
          </cell>
          <cell r="U374" t="str">
            <v>MON-N004</v>
          </cell>
          <cell r="V374" t="str">
            <v>5.2</v>
          </cell>
          <cell r="W374" t="str">
            <v>Ph2-Priority</v>
          </cell>
          <cell r="X374" t="str">
            <v>55</v>
          </cell>
          <cell r="Y374" t="str">
            <v>57</v>
          </cell>
          <cell r="Z374" t="str">
            <v>GBT</v>
          </cell>
          <cell r="AA374" t="str">
            <v>500</v>
          </cell>
          <cell r="AB374" t="str">
            <v>Access</v>
          </cell>
          <cell r="AC374" t="str">
            <v>Class C</v>
          </cell>
          <cell r="AD374" t="str">
            <v>925</v>
          </cell>
          <cell r="AE374" t="str">
            <v>935</v>
          </cell>
          <cell r="AF374" t="str">
            <v>5</v>
          </cell>
          <cell r="BC374" t="str">
            <v>MO0100</v>
          </cell>
          <cell r="BD374" t="str">
            <v>2</v>
          </cell>
          <cell r="BE374" t="str">
            <v>Route 2 Bago -Mawlamyine</v>
          </cell>
          <cell r="BF374">
            <v>42034</v>
          </cell>
          <cell r="BG374">
            <v>42108</v>
          </cell>
          <cell r="BH374" t="str">
            <v>Apollo</v>
          </cell>
          <cell r="BJ374">
            <v>42166</v>
          </cell>
          <cell r="BK374">
            <v>41712</v>
          </cell>
          <cell r="BL374">
            <v>42171</v>
          </cell>
          <cell r="BM374">
            <v>41719</v>
          </cell>
          <cell r="BQ374" t="str">
            <v>Railway</v>
          </cell>
          <cell r="BT374">
            <v>320</v>
          </cell>
          <cell r="BU374">
            <v>42191</v>
          </cell>
          <cell r="BV374">
            <v>42032</v>
          </cell>
          <cell r="BW374" t="str">
            <v>97.38287977</v>
          </cell>
          <cell r="BX374" t="str">
            <v>16.78890822</v>
          </cell>
          <cell r="BY374" t="str">
            <v>C8</v>
          </cell>
          <cell r="BZ374" t="str">
            <v>No.[141] Myat Lay Chaung St. (14)Ward,Yinnyein,Village, Pound Township,Mon State.</v>
          </cell>
          <cell r="CA374" t="str">
            <v>U Tin Phay;No.(141),Myat Lay Chaung Str,(14)Ward,Pound Township;09-255824659</v>
          </cell>
          <cell r="CB374" t="str">
            <v>17 July 15:C8 TSSR updated checklist given from E// because of adding new links at TND 's ends; 29 June 15 : C8 SAR , TSSR sub and approval date taken from 10 May 15 Tracker because Gourav  said (the CW for the C8 candidate which was approved earlier as a phase 1 site, this site was later transferred to phase -2 and Owner backout is old comment, Owner (U Tin Phay) is already paid on June 19th and CW has started on site. We are building 60m tower on this site.);11may15: C8 owner Backout. 28Jan15: C8 Rev SAR Sub due to coordinate change. 12 Jan 15 : C8 SAR approved as an option 5(RND approved with 55m / 60m GBT as priority 5;MW antenna height for MO0100_C08 must be 65M in minimum for excess LOS clearance. If not we'll reject this site) and already informed  to  Apollo and  need to make a special order for that tower type; 9 Jan 15: C8 SAR Submitted; 30 Dec 14 : C7 SAR rejected(TND rejected for LOS clearance is very low in hilly regions. Propose new location (16.79471,97.38919722) for MO0100.);  29Dec14:C7 SAR Sub. 2Dec14: C5, C6 SAR Rejected. 1Dec14: C5 &amp; C6 New SAR; 03Oct14: Cleaned up due to Re-Hunt, prev C3;</v>
          </cell>
          <cell r="CC374" t="str">
            <v>GARDEN LAND</v>
          </cell>
          <cell r="CE374">
            <v>1</v>
          </cell>
          <cell r="CF374">
            <v>42192</v>
          </cell>
          <cell r="CG374">
            <v>42033</v>
          </cell>
          <cell r="CH374">
            <v>42194</v>
          </cell>
          <cell r="CJ374">
            <v>42035</v>
          </cell>
          <cell r="CK374" t="str">
            <v>58</v>
          </cell>
          <cell r="CL374" t="str">
            <v>62</v>
          </cell>
          <cell r="CM374" t="str">
            <v>60</v>
          </cell>
          <cell r="CN374">
            <v>4</v>
          </cell>
          <cell r="CO374">
            <v>42197</v>
          </cell>
          <cell r="CP374">
            <v>42037</v>
          </cell>
          <cell r="CQ374" t="str">
            <v>M1: grid power + battery</v>
          </cell>
          <cell r="CR374">
            <v>1</v>
          </cell>
          <cell r="CS374">
            <v>42198</v>
          </cell>
          <cell r="CT374">
            <v>42038</v>
          </cell>
          <cell r="CU374" t="str">
            <v>MO0100</v>
          </cell>
          <cell r="DE374" t="str">
            <v>Y</v>
          </cell>
          <cell r="DH374">
            <v>119</v>
          </cell>
          <cell r="DI374">
            <v>42208</v>
          </cell>
          <cell r="DJ374">
            <v>42157</v>
          </cell>
          <cell r="DK374">
            <v>42205</v>
          </cell>
          <cell r="DL374">
            <v>42174</v>
          </cell>
          <cell r="DM374">
            <v>42209</v>
          </cell>
          <cell r="DN374">
            <v>42174</v>
          </cell>
          <cell r="DO374">
            <v>0</v>
          </cell>
          <cell r="DP374">
            <v>42208</v>
          </cell>
          <cell r="DQ374">
            <v>42157</v>
          </cell>
          <cell r="DR374" t="str">
            <v>Paung CDC</v>
          </cell>
          <cell r="DT374">
            <v>76</v>
          </cell>
          <cell r="DU374">
            <v>42223</v>
          </cell>
          <cell r="DW374">
            <v>0</v>
          </cell>
          <cell r="DY374">
            <v>42209</v>
          </cell>
          <cell r="DZ374">
            <v>42175</v>
          </cell>
          <cell r="EA374" t="str">
            <v>Leadcom</v>
          </cell>
          <cell r="ED374" t="str">
            <v xml:space="preserve">17Aug15 :ThantZin.Oo: 12/8/15 : Fencing work in progress . Site is on-air .
</v>
          </cell>
          <cell r="EE374" t="str">
            <v xml:space="preserve">10 Aug 15:Rain affected_Progress affected; 31-Jul-15:Pending tower erection &amp; all area surrounding site is flooded,muddy access road and heavy rain -slow progress								</v>
          </cell>
          <cell r="EJ374">
            <v>25</v>
          </cell>
          <cell r="EK374">
            <v>42231</v>
          </cell>
          <cell r="EL374">
            <v>42200</v>
          </cell>
          <cell r="EM374">
            <v>42232</v>
          </cell>
          <cell r="EN374">
            <v>42205</v>
          </cell>
          <cell r="EQ374">
            <v>42244</v>
          </cell>
          <cell r="ER374">
            <v>42219</v>
          </cell>
          <cell r="ES374">
            <v>42219</v>
          </cell>
          <cell r="ET374">
            <v>42221</v>
          </cell>
          <cell r="EU374">
            <v>42221</v>
          </cell>
          <cell r="EW374">
            <v>58</v>
          </cell>
          <cell r="EX374">
            <v>42223</v>
          </cell>
          <cell r="EZ374">
            <v>42254</v>
          </cell>
          <cell r="FA374">
            <v>42224</v>
          </cell>
          <cell r="FB374">
            <v>42256</v>
          </cell>
          <cell r="FC374">
            <v>42226</v>
          </cell>
          <cell r="FD374">
            <v>41931</v>
          </cell>
          <cell r="FE374">
            <v>42193</v>
          </cell>
          <cell r="FF374">
            <v>41938</v>
          </cell>
          <cell r="FH374">
            <v>41940</v>
          </cell>
          <cell r="FJ374">
            <v>41943</v>
          </cell>
          <cell r="FN374">
            <v>41947</v>
          </cell>
          <cell r="FP374">
            <v>41949</v>
          </cell>
          <cell r="FR374">
            <v>41963</v>
          </cell>
          <cell r="FU374">
            <v>42258</v>
          </cell>
          <cell r="FW374">
            <v>42258</v>
          </cell>
          <cell r="FX374">
            <v>42226</v>
          </cell>
          <cell r="FY374" t="str">
            <v>CFVL</v>
          </cell>
          <cell r="FZ374">
            <v>42202</v>
          </cell>
          <cell r="GA374">
            <v>42206</v>
          </cell>
          <cell r="GB374">
            <v>42223</v>
          </cell>
          <cell r="GC374">
            <v>42223</v>
          </cell>
          <cell r="GD374">
            <v>42225</v>
          </cell>
          <cell r="GE374">
            <v>42225</v>
          </cell>
          <cell r="GF374">
            <v>42227</v>
          </cell>
          <cell r="GG374">
            <v>42227</v>
          </cell>
          <cell r="GH374">
            <v>42227</v>
          </cell>
          <cell r="GI374">
            <v>42246</v>
          </cell>
          <cell r="GJ374" t="str">
            <v>36-2015</v>
          </cell>
          <cell r="GK374">
            <v>42227</v>
          </cell>
          <cell r="GN374" t="str">
            <v>ERICSSON</v>
          </cell>
          <cell r="GO374">
            <v>41758</v>
          </cell>
          <cell r="GP374">
            <v>42206</v>
          </cell>
          <cell r="GU374" t="str">
            <v xml:space="preserve">		</v>
          </cell>
          <cell r="HD374">
            <v>1</v>
          </cell>
        </row>
        <row r="375">
          <cell r="A375" t="str">
            <v>MO0111</v>
          </cell>
          <cell r="B375" t="str">
            <v>ASMO_0198</v>
          </cell>
          <cell r="C375" t="str">
            <v>Apollo</v>
          </cell>
          <cell r="D375" t="str">
            <v>Robert</v>
          </cell>
          <cell r="F375" t="str">
            <v>Phyo Wai Maung</v>
          </cell>
          <cell r="G375" t="str">
            <v>Thant Zin Oo</v>
          </cell>
          <cell r="H375" t="str">
            <v>RED</v>
          </cell>
          <cell r="I375" t="str">
            <v>South</v>
          </cell>
          <cell r="J375" t="str">
            <v>97.447401</v>
          </cell>
          <cell r="K375" t="str">
            <v>16.655819</v>
          </cell>
          <cell r="L375" t="str">
            <v>Rural</v>
          </cell>
          <cell r="M375" t="str">
            <v>Mon</v>
          </cell>
          <cell r="N375" t="str">
            <v>Paung</v>
          </cell>
          <cell r="O375" t="str">
            <v>Paung</v>
          </cell>
          <cell r="P375" t="str">
            <v>Mon</v>
          </cell>
          <cell r="Q375" t="str">
            <v>22</v>
          </cell>
          <cell r="R375" t="str">
            <v>Paung</v>
          </cell>
          <cell r="S375" t="str">
            <v>177</v>
          </cell>
          <cell r="T375" t="str">
            <v>GSM+UMTS</v>
          </cell>
          <cell r="W375" t="str">
            <v>Ph2-Priority</v>
          </cell>
          <cell r="X375" t="str">
            <v>45</v>
          </cell>
          <cell r="Y375" t="str">
            <v>47</v>
          </cell>
          <cell r="Z375" t="str">
            <v>GBT</v>
          </cell>
          <cell r="AA375" t="str">
            <v>500</v>
          </cell>
          <cell r="AB375" t="str">
            <v>Access</v>
          </cell>
          <cell r="AC375" t="str">
            <v>Class C</v>
          </cell>
          <cell r="BH375" t="str">
            <v>Leadcom</v>
          </cell>
          <cell r="BJ375">
            <v>42164</v>
          </cell>
          <cell r="BK375">
            <v>42165</v>
          </cell>
          <cell r="BL375">
            <v>42169</v>
          </cell>
          <cell r="BM375">
            <v>42165</v>
          </cell>
          <cell r="BT375">
            <v>68</v>
          </cell>
          <cell r="BU375">
            <v>42210</v>
          </cell>
          <cell r="BV375">
            <v>42146</v>
          </cell>
          <cell r="BW375" t="str">
            <v>96.44485</v>
          </cell>
          <cell r="BX375" t="str">
            <v>16.51272</v>
          </cell>
          <cell r="BY375" t="str">
            <v>Reject</v>
          </cell>
          <cell r="BZ375" t="str">
            <v>Zawtika Street,Kalatan Village Tract,Kalatan Village,Kyauktan Township,Yangon Division.</v>
          </cell>
          <cell r="CA375" t="str">
            <v>U Soe Myint;No. 574, Field No.153, Oh Aim Street, Kalatan Village Tract, Kalatan Village, Kyauktan Township, Yangon Division.(Phone Number: None)</v>
          </cell>
          <cell r="CB375" t="str">
            <v>23 June 15 : C4 SAR rejected(RND rejected this candidate because it is 3.58km far from the nominal and the elevation is 880m lower than the nominal.);20Jun15: C4 SAR Sub. C1 to C3 Rejected bt AT</v>
          </cell>
          <cell r="CE375">
            <v>0</v>
          </cell>
          <cell r="CF375">
            <v>42211</v>
          </cell>
          <cell r="CG375">
            <v>42150</v>
          </cell>
          <cell r="CH375">
            <v>42213</v>
          </cell>
          <cell r="CJ375">
            <v>42157</v>
          </cell>
          <cell r="CK375" t="str">
            <v>45</v>
          </cell>
          <cell r="CL375" t="str">
            <v>47</v>
          </cell>
          <cell r="CM375" t="str">
            <v>50</v>
          </cell>
          <cell r="CN375">
            <v>0</v>
          </cell>
          <cell r="CO375">
            <v>42216</v>
          </cell>
          <cell r="CP375">
            <v>42159</v>
          </cell>
          <cell r="CQ375" t="str">
            <v>M1: grid power + battery</v>
          </cell>
          <cell r="CR375">
            <v>0</v>
          </cell>
          <cell r="CS375">
            <v>42217</v>
          </cell>
          <cell r="CT375">
            <v>42165</v>
          </cell>
          <cell r="CU375" t="str">
            <v>MO0111</v>
          </cell>
          <cell r="DH375">
            <v>0</v>
          </cell>
          <cell r="DI375">
            <v>42227</v>
          </cell>
          <cell r="DJ375">
            <v>42165</v>
          </cell>
          <cell r="DK375">
            <v>42224</v>
          </cell>
          <cell r="DL375">
            <v>42174</v>
          </cell>
          <cell r="DM375">
            <v>42228</v>
          </cell>
          <cell r="DN375">
            <v>42174</v>
          </cell>
          <cell r="DO375">
            <v>0</v>
          </cell>
          <cell r="DP375">
            <v>42227</v>
          </cell>
          <cell r="DQ375">
            <v>42165</v>
          </cell>
          <cell r="DT375">
            <v>0</v>
          </cell>
          <cell r="DU375">
            <v>42242</v>
          </cell>
          <cell r="DW375">
            <v>0</v>
          </cell>
          <cell r="DY375">
            <v>42228</v>
          </cell>
          <cell r="DZ375">
            <v>42175</v>
          </cell>
          <cell r="EA375" t="str">
            <v>Leadcom</v>
          </cell>
          <cell r="EE375" t="str">
            <v xml:space="preserve">10 Aug 15:Rain affected_Progress affected; 4-Aug-15:Site is affected by heavy rain								</v>
          </cell>
          <cell r="EJ375">
            <v>0</v>
          </cell>
          <cell r="EK375">
            <v>42245</v>
          </cell>
          <cell r="EM375">
            <v>42246</v>
          </cell>
          <cell r="EQ375">
            <v>42255</v>
          </cell>
          <cell r="EW375">
            <v>0</v>
          </cell>
          <cell r="EX375">
            <v>42284</v>
          </cell>
          <cell r="EZ375">
            <v>42265</v>
          </cell>
          <cell r="FB375">
            <v>42267</v>
          </cell>
          <cell r="FE375">
            <v>42193</v>
          </cell>
          <cell r="FU375">
            <v>42269</v>
          </cell>
          <cell r="FW375">
            <v>42269</v>
          </cell>
          <cell r="GJ375">
            <v>0</v>
          </cell>
          <cell r="GN375" t="str">
            <v>ERICSSON</v>
          </cell>
          <cell r="GO375">
            <v>42166</v>
          </cell>
          <cell r="GS375" t="str">
            <v>4/4/4</v>
          </cell>
          <cell r="GU375" t="str">
            <v xml:space="preserve">		</v>
          </cell>
          <cell r="HD375">
            <v>1</v>
          </cell>
        </row>
        <row r="376">
          <cell r="A376" t="str">
            <v>MO0312</v>
          </cell>
          <cell r="B376" t="str">
            <v>ASMO_0199</v>
          </cell>
          <cell r="C376" t="str">
            <v>Apollo</v>
          </cell>
          <cell r="D376" t="str">
            <v>Robert</v>
          </cell>
          <cell r="F376" t="str">
            <v>Phyo Wai Maung</v>
          </cell>
          <cell r="G376" t="str">
            <v>Thant Zin Oo</v>
          </cell>
          <cell r="H376" t="str">
            <v>RED</v>
          </cell>
          <cell r="I376" t="str">
            <v>South</v>
          </cell>
          <cell r="J376" t="str">
            <v>97.03</v>
          </cell>
          <cell r="K376" t="str">
            <v>17.2897</v>
          </cell>
          <cell r="L376" t="str">
            <v>Rural</v>
          </cell>
          <cell r="M376" t="str">
            <v>Mon</v>
          </cell>
          <cell r="N376" t="str">
            <v>Kyaikto</v>
          </cell>
          <cell r="O376" t="str">
            <v>Kyaikto</v>
          </cell>
          <cell r="P376" t="str">
            <v>Mon</v>
          </cell>
          <cell r="Q376" t="str">
            <v>22</v>
          </cell>
          <cell r="R376" t="str">
            <v>Kyaikto</v>
          </cell>
          <cell r="S376" t="str">
            <v>178</v>
          </cell>
          <cell r="T376" t="str">
            <v>GSM+UMTS</v>
          </cell>
          <cell r="W376" t="str">
            <v>Ph2-Priority</v>
          </cell>
          <cell r="X376" t="str">
            <v>45</v>
          </cell>
          <cell r="Y376" t="str">
            <v>47</v>
          </cell>
          <cell r="Z376" t="str">
            <v>GBT</v>
          </cell>
          <cell r="AA376" t="str">
            <v>250</v>
          </cell>
          <cell r="AB376" t="str">
            <v>Access</v>
          </cell>
          <cell r="AC376" t="str">
            <v>Class C</v>
          </cell>
          <cell r="BE376" t="str">
            <v>Route 2 Yangon -Mawlamyine</v>
          </cell>
          <cell r="BH376" t="str">
            <v>Leadcom</v>
          </cell>
          <cell r="BJ376">
            <v>42165</v>
          </cell>
          <cell r="BK376">
            <v>42130</v>
          </cell>
          <cell r="BL376">
            <v>42170</v>
          </cell>
          <cell r="BT376">
            <v>102</v>
          </cell>
          <cell r="BU376">
            <v>42269</v>
          </cell>
          <cell r="BV376">
            <v>42227</v>
          </cell>
          <cell r="BW376" t="str">
            <v>97.03111</v>
          </cell>
          <cell r="BX376" t="str">
            <v>17.29153</v>
          </cell>
          <cell r="BY376" t="str">
            <v>C1</v>
          </cell>
          <cell r="CB376" t="str">
            <v>11 Aug 15 : C1 SAR sub</v>
          </cell>
          <cell r="CC376" t="str">
            <v>GARDEN LAND</v>
          </cell>
          <cell r="CE376">
            <v>1</v>
          </cell>
          <cell r="CF376">
            <v>42270</v>
          </cell>
          <cell r="CG376">
            <v>42228</v>
          </cell>
          <cell r="CH376">
            <v>42272</v>
          </cell>
          <cell r="CN376">
            <v>5</v>
          </cell>
          <cell r="CO376">
            <v>42275</v>
          </cell>
          <cell r="CQ376" t="str">
            <v>M1: grid power + battery</v>
          </cell>
          <cell r="CR376">
            <v>0</v>
          </cell>
          <cell r="CS376">
            <v>42276</v>
          </cell>
          <cell r="CU376" t="str">
            <v>MO0312</v>
          </cell>
          <cell r="DH376">
            <v>0</v>
          </cell>
          <cell r="DI376">
            <v>42286</v>
          </cell>
          <cell r="DK376">
            <v>42283</v>
          </cell>
          <cell r="DM376">
            <v>42287</v>
          </cell>
          <cell r="DO376">
            <v>0</v>
          </cell>
          <cell r="DP376">
            <v>42286</v>
          </cell>
          <cell r="DT376">
            <v>0</v>
          </cell>
          <cell r="DU376">
            <v>42301</v>
          </cell>
          <cell r="DW376">
            <v>0</v>
          </cell>
          <cell r="DY376">
            <v>42287</v>
          </cell>
          <cell r="EA376" t="str">
            <v>Leadcom</v>
          </cell>
          <cell r="EJ376">
            <v>0</v>
          </cell>
          <cell r="EK376">
            <v>42304</v>
          </cell>
          <cell r="EM376">
            <v>42305</v>
          </cell>
          <cell r="EQ376">
            <v>42314</v>
          </cell>
          <cell r="EW376">
            <v>0</v>
          </cell>
          <cell r="EX376">
            <v>42318</v>
          </cell>
          <cell r="EZ376">
            <v>42324</v>
          </cell>
          <cell r="FB376">
            <v>42326</v>
          </cell>
          <cell r="FU376">
            <v>42328</v>
          </cell>
          <cell r="FW376">
            <v>42328</v>
          </cell>
          <cell r="GJ376">
            <v>0</v>
          </cell>
          <cell r="GN376" t="str">
            <v>ERICSSON</v>
          </cell>
          <cell r="GO376">
            <v>42200</v>
          </cell>
          <cell r="GS376" t="str">
            <v>4/4/4</v>
          </cell>
          <cell r="GU376" t="str">
            <v xml:space="preserve">		</v>
          </cell>
          <cell r="HD376">
            <v>1</v>
          </cell>
        </row>
        <row r="377">
          <cell r="A377" t="str">
            <v>MO0313</v>
          </cell>
          <cell r="B377" t="str">
            <v>ASMO_0200</v>
          </cell>
          <cell r="C377" t="str">
            <v>Apollo</v>
          </cell>
          <cell r="D377" t="str">
            <v>Robert</v>
          </cell>
          <cell r="F377" t="str">
            <v>Phyo Wai Maung</v>
          </cell>
          <cell r="G377" t="str">
            <v>Thant Zin Oo</v>
          </cell>
          <cell r="H377" t="str">
            <v>RED</v>
          </cell>
          <cell r="I377" t="str">
            <v>South</v>
          </cell>
          <cell r="J377" t="str">
            <v>97.0357</v>
          </cell>
          <cell r="K377" t="str">
            <v>17.3454</v>
          </cell>
          <cell r="L377" t="str">
            <v>Rural</v>
          </cell>
          <cell r="M377" t="str">
            <v>Mon</v>
          </cell>
          <cell r="N377" t="str">
            <v>Kyaikto</v>
          </cell>
          <cell r="O377" t="str">
            <v>Kyaikto</v>
          </cell>
          <cell r="P377" t="str">
            <v>Mon</v>
          </cell>
          <cell r="Q377" t="str">
            <v>22</v>
          </cell>
          <cell r="R377" t="str">
            <v>Kyaikto</v>
          </cell>
          <cell r="S377" t="str">
            <v>178</v>
          </cell>
          <cell r="T377" t="str">
            <v>GSM+UMTS</v>
          </cell>
          <cell r="W377" t="str">
            <v>Ph2-Priority</v>
          </cell>
          <cell r="X377" t="str">
            <v>45</v>
          </cell>
          <cell r="Y377" t="str">
            <v>47</v>
          </cell>
          <cell r="Z377" t="str">
            <v>GBT</v>
          </cell>
          <cell r="AA377" t="str">
            <v>500</v>
          </cell>
          <cell r="AB377" t="str">
            <v>Access</v>
          </cell>
          <cell r="AC377" t="str">
            <v>Class C</v>
          </cell>
          <cell r="BE377" t="str">
            <v>Route 2 Yangon -Mawlamyine</v>
          </cell>
          <cell r="BH377" t="str">
            <v>Leadcom</v>
          </cell>
          <cell r="BJ377">
            <v>42166</v>
          </cell>
          <cell r="BK377">
            <v>42169</v>
          </cell>
          <cell r="BL377">
            <v>42171</v>
          </cell>
          <cell r="BM377">
            <v>42176</v>
          </cell>
          <cell r="BT377">
            <v>64</v>
          </cell>
          <cell r="BU377">
            <v>42178</v>
          </cell>
          <cell r="BV377">
            <v>42226</v>
          </cell>
          <cell r="BW377" t="str">
            <v>97.03332</v>
          </cell>
          <cell r="BX377" t="str">
            <v>17.34304</v>
          </cell>
          <cell r="BY377" t="str">
            <v>C1</v>
          </cell>
          <cell r="CB377" t="str">
            <v>10 Aug 15 : C1 SAR sub</v>
          </cell>
          <cell r="CC377" t="str">
            <v>GARDEN LAND</v>
          </cell>
          <cell r="CE377">
            <v>2</v>
          </cell>
          <cell r="CF377">
            <v>42179</v>
          </cell>
          <cell r="CG377">
            <v>42228</v>
          </cell>
          <cell r="CH377">
            <v>42181</v>
          </cell>
          <cell r="CN377">
            <v>5</v>
          </cell>
          <cell r="CO377">
            <v>42184</v>
          </cell>
          <cell r="CQ377" t="str">
            <v>M1: grid power + battery</v>
          </cell>
          <cell r="CR377">
            <v>0</v>
          </cell>
          <cell r="CS377">
            <v>42185</v>
          </cell>
          <cell r="CU377" t="str">
            <v>MO0313</v>
          </cell>
          <cell r="DH377">
            <v>0</v>
          </cell>
          <cell r="DI377">
            <v>42195</v>
          </cell>
          <cell r="DK377">
            <v>42192</v>
          </cell>
          <cell r="DM377">
            <v>42196</v>
          </cell>
          <cell r="DO377">
            <v>0</v>
          </cell>
          <cell r="DP377">
            <v>42195</v>
          </cell>
          <cell r="DT377">
            <v>0</v>
          </cell>
          <cell r="DU377">
            <v>42210</v>
          </cell>
          <cell r="DW377">
            <v>0</v>
          </cell>
          <cell r="DY377">
            <v>42196</v>
          </cell>
          <cell r="EA377" t="str">
            <v>Leadcom</v>
          </cell>
          <cell r="EJ377">
            <v>0</v>
          </cell>
          <cell r="EK377">
            <v>42213</v>
          </cell>
          <cell r="EM377">
            <v>42214</v>
          </cell>
          <cell r="EQ377">
            <v>42223</v>
          </cell>
          <cell r="EW377">
            <v>0</v>
          </cell>
          <cell r="EX377">
            <v>42237</v>
          </cell>
          <cell r="EZ377">
            <v>42233</v>
          </cell>
          <cell r="FB377">
            <v>42235</v>
          </cell>
          <cell r="FU377">
            <v>42237</v>
          </cell>
          <cell r="FW377">
            <v>42237</v>
          </cell>
          <cell r="GJ377">
            <v>0</v>
          </cell>
          <cell r="GN377" t="str">
            <v>ERICSSON</v>
          </cell>
          <cell r="GS377" t="str">
            <v>4/4/4</v>
          </cell>
          <cell r="GU377" t="str">
            <v xml:space="preserve">		</v>
          </cell>
          <cell r="HD377">
            <v>1</v>
          </cell>
        </row>
        <row r="378">
          <cell r="A378" t="str">
            <v>MO0318</v>
          </cell>
          <cell r="B378" t="str">
            <v>ASMO_0201</v>
          </cell>
          <cell r="C378" t="str">
            <v>Apollo</v>
          </cell>
          <cell r="D378" t="str">
            <v>Robert</v>
          </cell>
          <cell r="F378" t="str">
            <v>Phyo Wai Maung</v>
          </cell>
          <cell r="G378" t="str">
            <v>Thant Zin Oo</v>
          </cell>
          <cell r="H378" t="str">
            <v>RED</v>
          </cell>
          <cell r="I378" t="str">
            <v>South</v>
          </cell>
          <cell r="J378" t="str">
            <v>97.0774</v>
          </cell>
          <cell r="K378" t="str">
            <v>17.4007</v>
          </cell>
          <cell r="L378" t="str">
            <v>Rural</v>
          </cell>
          <cell r="M378" t="str">
            <v>Mon</v>
          </cell>
          <cell r="N378" t="str">
            <v>Kyaikto</v>
          </cell>
          <cell r="O378" t="str">
            <v>Kyaikto</v>
          </cell>
          <cell r="P378" t="str">
            <v>Mon</v>
          </cell>
          <cell r="Q378" t="str">
            <v>22</v>
          </cell>
          <cell r="R378" t="str">
            <v>Kyaikto</v>
          </cell>
          <cell r="S378" t="str">
            <v>178</v>
          </cell>
          <cell r="T378" t="str">
            <v>GSM+UMTS</v>
          </cell>
          <cell r="W378" t="str">
            <v>Ph2-Priority</v>
          </cell>
          <cell r="X378" t="str">
            <v>45</v>
          </cell>
          <cell r="Y378" t="str">
            <v>47</v>
          </cell>
          <cell r="Z378" t="str">
            <v>GBT</v>
          </cell>
          <cell r="AA378" t="str">
            <v>500</v>
          </cell>
          <cell r="AB378" t="str">
            <v>Access</v>
          </cell>
          <cell r="AC378" t="str">
            <v>Class C</v>
          </cell>
          <cell r="BE378" t="str">
            <v>Route 2 Yangon -Mawlamyine</v>
          </cell>
          <cell r="BH378" t="str">
            <v>Leadcom</v>
          </cell>
          <cell r="BJ378">
            <v>42165</v>
          </cell>
          <cell r="BK378">
            <v>42165</v>
          </cell>
          <cell r="BL378">
            <v>42170</v>
          </cell>
          <cell r="BM378">
            <v>42165</v>
          </cell>
          <cell r="BT378">
            <v>16</v>
          </cell>
          <cell r="BU378">
            <v>42266</v>
          </cell>
          <cell r="BV378">
            <v>42181</v>
          </cell>
          <cell r="BW378" t="str">
            <v>97.67312</v>
          </cell>
          <cell r="BX378" t="str">
            <v>16.48294</v>
          </cell>
          <cell r="BY378" t="str">
            <v>Reject</v>
          </cell>
          <cell r="CB378" t="str">
            <v>2 Sept 15: C1 SAR rejected( As per TM radio suggestion, RND rejected because this site is 600m far from the nominal point and 1 sector will not be fully utilized. Please fined the new candidate near the nominal point.);1 Sept 15: C1 SAR sub(No enough space in the Nominal and NOC issue)</v>
          </cell>
          <cell r="CC378" t="str">
            <v>GARDEN LAND</v>
          </cell>
          <cell r="CE378">
            <v>0</v>
          </cell>
          <cell r="CF378">
            <v>42267</v>
          </cell>
          <cell r="CG378">
            <v>42184</v>
          </cell>
          <cell r="CH378">
            <v>42269</v>
          </cell>
          <cell r="CN378">
            <v>0</v>
          </cell>
          <cell r="CO378">
            <v>42272</v>
          </cell>
          <cell r="CQ378" t="str">
            <v>M1: grid power + battery</v>
          </cell>
          <cell r="CR378">
            <v>0</v>
          </cell>
          <cell r="CS378">
            <v>42273</v>
          </cell>
          <cell r="CU378" t="str">
            <v>MO0318</v>
          </cell>
          <cell r="DH378">
            <v>0</v>
          </cell>
          <cell r="DI378">
            <v>42283</v>
          </cell>
          <cell r="DK378">
            <v>42280</v>
          </cell>
          <cell r="DM378">
            <v>42284</v>
          </cell>
          <cell r="DO378">
            <v>0</v>
          </cell>
          <cell r="DP378">
            <v>42283</v>
          </cell>
          <cell r="DT378">
            <v>0</v>
          </cell>
          <cell r="DU378">
            <v>42298</v>
          </cell>
          <cell r="DW378">
            <v>0</v>
          </cell>
          <cell r="DY378">
            <v>42284</v>
          </cell>
          <cell r="EA378" t="str">
            <v>Leadcom</v>
          </cell>
          <cell r="EJ378">
            <v>0</v>
          </cell>
          <cell r="EK378">
            <v>42306</v>
          </cell>
          <cell r="EM378">
            <v>42307</v>
          </cell>
          <cell r="EQ378">
            <v>42319</v>
          </cell>
          <cell r="EW378">
            <v>0</v>
          </cell>
          <cell r="EX378">
            <v>42333</v>
          </cell>
          <cell r="EZ378">
            <v>42329</v>
          </cell>
          <cell r="FB378">
            <v>42331</v>
          </cell>
          <cell r="FU378">
            <v>42333</v>
          </cell>
          <cell r="FW378">
            <v>42333</v>
          </cell>
          <cell r="GJ378">
            <v>0</v>
          </cell>
          <cell r="GN378" t="str">
            <v>ERICSSON</v>
          </cell>
          <cell r="GS378" t="str">
            <v>4/4/4</v>
          </cell>
          <cell r="GU378" t="str">
            <v xml:space="preserve">		</v>
          </cell>
          <cell r="HD378">
            <v>1</v>
          </cell>
        </row>
        <row r="379">
          <cell r="A379" t="str">
            <v>MO0319</v>
          </cell>
          <cell r="B379" t="str">
            <v>ASMO_0202</v>
          </cell>
          <cell r="C379" t="str">
            <v>Apollo</v>
          </cell>
          <cell r="D379" t="str">
            <v>Robert</v>
          </cell>
          <cell r="F379" t="str">
            <v>Phyo Wai Maung</v>
          </cell>
          <cell r="G379" t="str">
            <v>Thant Zin Oo</v>
          </cell>
          <cell r="H379" t="str">
            <v>RED</v>
          </cell>
          <cell r="I379" t="str">
            <v>South</v>
          </cell>
          <cell r="J379" t="str">
            <v>97.655776</v>
          </cell>
          <cell r="K379" t="str">
            <v>16.008457</v>
          </cell>
          <cell r="L379" t="str">
            <v>Rural</v>
          </cell>
          <cell r="M379" t="str">
            <v>Mon</v>
          </cell>
          <cell r="N379" t="str">
            <v>Thanbyuzayat</v>
          </cell>
          <cell r="O379" t="str">
            <v>Thanbyuzayat</v>
          </cell>
          <cell r="P379" t="str">
            <v>Mon</v>
          </cell>
          <cell r="Q379" t="str">
            <v>22</v>
          </cell>
          <cell r="R379" t="str">
            <v>Thanbyuzayat</v>
          </cell>
          <cell r="S379" t="str">
            <v>173</v>
          </cell>
          <cell r="T379" t="str">
            <v>GSM+UMTS</v>
          </cell>
          <cell r="U379" t="str">
            <v>NAY_N006</v>
          </cell>
          <cell r="V379" t="str">
            <v>3</v>
          </cell>
          <cell r="W379" t="str">
            <v>Ph2-Priority</v>
          </cell>
          <cell r="X379" t="str">
            <v>45</v>
          </cell>
          <cell r="Y379" t="str">
            <v>47</v>
          </cell>
          <cell r="Z379" t="str">
            <v>GBT</v>
          </cell>
          <cell r="AA379" t="str">
            <v>500</v>
          </cell>
          <cell r="AB379" t="str">
            <v>Access</v>
          </cell>
          <cell r="AC379" t="str">
            <v>Class C</v>
          </cell>
          <cell r="AD379" t="str">
            <v>1146</v>
          </cell>
          <cell r="AE379" t="str">
            <v>1146</v>
          </cell>
          <cell r="AF379" t="str">
            <v>2</v>
          </cell>
          <cell r="AG379" t="str">
            <v>NP0113</v>
          </cell>
          <cell r="AH379" t="str">
            <v>NP0114</v>
          </cell>
          <cell r="AI379" t="str">
            <v>NP0117</v>
          </cell>
          <cell r="AJ379" t="str">
            <v>NP0119</v>
          </cell>
          <cell r="AK379" t="str">
            <v>NP0020</v>
          </cell>
          <cell r="BC379" t="str">
            <v>NP0020</v>
          </cell>
          <cell r="BE379" t="str">
            <v>Route 13 Mawlamyine-Dawei</v>
          </cell>
          <cell r="BG379">
            <v>42025</v>
          </cell>
          <cell r="BH379" t="str">
            <v>Leadcom</v>
          </cell>
          <cell r="BJ379">
            <v>42165</v>
          </cell>
          <cell r="BK379">
            <v>42169</v>
          </cell>
          <cell r="BL379">
            <v>42170</v>
          </cell>
          <cell r="BM379">
            <v>42176</v>
          </cell>
          <cell r="BN379" t="str">
            <v>Govt. Land</v>
          </cell>
          <cell r="BO379">
            <v>41718</v>
          </cell>
          <cell r="BP379" t="str">
            <v>Submit to MCIT</v>
          </cell>
          <cell r="BQ379" t="str">
            <v>Ministry of Forestry</v>
          </cell>
          <cell r="BT379">
            <v>64</v>
          </cell>
          <cell r="BU379">
            <v>42241</v>
          </cell>
          <cell r="BV379">
            <v>42190</v>
          </cell>
          <cell r="BW379" t="str">
            <v>95.88625</v>
          </cell>
          <cell r="BX379" t="str">
            <v>19.94601</v>
          </cell>
          <cell r="BY379" t="str">
            <v>C1</v>
          </cell>
          <cell r="BZ379" t="str">
            <v>Ministry of Forrestry</v>
          </cell>
          <cell r="CA379" t="str">
            <v>Foresrtry</v>
          </cell>
          <cell r="CB379" t="str">
            <v>12 Aug 15 : C1 TSSR sub(Gov't Site, Location was Moved 18 M from SAR); 7 July 15 : C1 SAR app;5 July 15 : C1 SAR sub:Candidate Nominated by Ministry of Forestry</v>
          </cell>
          <cell r="CC379" t="str">
            <v>Forestry</v>
          </cell>
          <cell r="CE379">
            <v>0</v>
          </cell>
          <cell r="CF379">
            <v>42242</v>
          </cell>
          <cell r="CG379">
            <v>42192</v>
          </cell>
          <cell r="CH379">
            <v>42244</v>
          </cell>
          <cell r="CJ379">
            <v>42226</v>
          </cell>
          <cell r="CK379" t="str">
            <v>55</v>
          </cell>
          <cell r="CL379" t="str">
            <v>57</v>
          </cell>
          <cell r="CM379" t="str">
            <v>60</v>
          </cell>
          <cell r="CN379">
            <v>0</v>
          </cell>
          <cell r="CO379">
            <v>42247</v>
          </cell>
          <cell r="CP379">
            <v>42228</v>
          </cell>
          <cell r="CQ379" t="str">
            <v>M4: solar + DG + battery</v>
          </cell>
          <cell r="CR379">
            <v>0</v>
          </cell>
          <cell r="CS379">
            <v>42248</v>
          </cell>
          <cell r="CT379">
            <v>42234</v>
          </cell>
          <cell r="CU379" t="str">
            <v>MO0319</v>
          </cell>
          <cell r="DH379">
            <v>0</v>
          </cell>
          <cell r="DI379">
            <v>42258</v>
          </cell>
          <cell r="DK379">
            <v>42255</v>
          </cell>
          <cell r="DM379">
            <v>42259</v>
          </cell>
          <cell r="DO379">
            <v>0</v>
          </cell>
          <cell r="DP379">
            <v>42258</v>
          </cell>
          <cell r="DR379" t="str">
            <v>NCDC</v>
          </cell>
          <cell r="DT379">
            <v>0</v>
          </cell>
          <cell r="DU379">
            <v>42273</v>
          </cell>
          <cell r="DW379">
            <v>0</v>
          </cell>
          <cell r="DY379">
            <v>42259</v>
          </cell>
          <cell r="DZ379">
            <v>42230</v>
          </cell>
          <cell r="EA379" t="str">
            <v>Leadcom</v>
          </cell>
          <cell r="EJ379">
            <v>0</v>
          </cell>
          <cell r="EK379">
            <v>42281</v>
          </cell>
          <cell r="EM379">
            <v>42282</v>
          </cell>
          <cell r="EQ379">
            <v>42294</v>
          </cell>
          <cell r="EW379">
            <v>0</v>
          </cell>
          <cell r="EX379">
            <v>42308</v>
          </cell>
          <cell r="EZ379">
            <v>42304</v>
          </cell>
          <cell r="FB379">
            <v>42306</v>
          </cell>
          <cell r="FD379">
            <v>41933</v>
          </cell>
          <cell r="FF379">
            <v>41940</v>
          </cell>
          <cell r="FH379">
            <v>41942</v>
          </cell>
          <cell r="FJ379">
            <v>41945</v>
          </cell>
          <cell r="FN379">
            <v>41949</v>
          </cell>
          <cell r="FP379">
            <v>41951</v>
          </cell>
          <cell r="FR379">
            <v>41965</v>
          </cell>
          <cell r="FU379">
            <v>42308</v>
          </cell>
          <cell r="FW379">
            <v>42308</v>
          </cell>
          <cell r="GJ379">
            <v>0</v>
          </cell>
          <cell r="GN379" t="str">
            <v>ERICSSON</v>
          </cell>
          <cell r="GS379" t="str">
            <v>4/4/4</v>
          </cell>
          <cell r="GU379" t="str">
            <v xml:space="preserve">		</v>
          </cell>
          <cell r="HD379">
            <v>1</v>
          </cell>
        </row>
        <row r="380">
          <cell r="A380" t="str">
            <v>MO0320</v>
          </cell>
          <cell r="B380" t="str">
            <v>ASMO_0108</v>
          </cell>
          <cell r="C380" t="str">
            <v>Apollo</v>
          </cell>
          <cell r="D380" t="str">
            <v>Robert</v>
          </cell>
          <cell r="F380" t="str">
            <v>Phyo Wai Maung</v>
          </cell>
          <cell r="G380" t="str">
            <v>Thant Zin Oo</v>
          </cell>
          <cell r="H380" t="str">
            <v>RED</v>
          </cell>
          <cell r="I380" t="str">
            <v>South</v>
          </cell>
          <cell r="J380" t="str">
            <v>97.5993</v>
          </cell>
          <cell r="K380" t="str">
            <v>16.5311</v>
          </cell>
          <cell r="L380" t="str">
            <v>SubUrban</v>
          </cell>
          <cell r="M380" t="str">
            <v>Mon</v>
          </cell>
          <cell r="N380" t="str">
            <v>Paung</v>
          </cell>
          <cell r="O380" t="str">
            <v>Paung</v>
          </cell>
          <cell r="P380" t="str">
            <v>Mon</v>
          </cell>
          <cell r="Q380" t="str">
            <v>22</v>
          </cell>
          <cell r="R380" t="str">
            <v>Paung</v>
          </cell>
          <cell r="S380" t="str">
            <v>177</v>
          </cell>
          <cell r="T380" t="str">
            <v>GSM+UMTS</v>
          </cell>
          <cell r="W380" t="str">
            <v>Ph2-Priority</v>
          </cell>
          <cell r="X380" t="str">
            <v>35</v>
          </cell>
          <cell r="Y380" t="str">
            <v>37</v>
          </cell>
          <cell r="Z380" t="str">
            <v>GBT</v>
          </cell>
          <cell r="AA380" t="str">
            <v>250</v>
          </cell>
          <cell r="AB380" t="str">
            <v>Access</v>
          </cell>
          <cell r="AC380" t="str">
            <v>Class B</v>
          </cell>
          <cell r="BE380" t="str">
            <v>Route 2 Yangon -Mawlamyine</v>
          </cell>
          <cell r="BH380" t="str">
            <v>Leadcom</v>
          </cell>
          <cell r="BJ380">
            <v>42165</v>
          </cell>
          <cell r="BK380">
            <v>42166</v>
          </cell>
          <cell r="BL380">
            <v>42170</v>
          </cell>
          <cell r="BM380">
            <v>42146</v>
          </cell>
          <cell r="BT380">
            <v>67</v>
          </cell>
          <cell r="BU380">
            <v>42178</v>
          </cell>
          <cell r="BV380">
            <v>42241</v>
          </cell>
          <cell r="BW380" t="str">
            <v>97.600546</v>
          </cell>
          <cell r="BX380" t="str">
            <v>16.530086</v>
          </cell>
          <cell r="BY380" t="str">
            <v>Reject</v>
          </cell>
          <cell r="BZ380" t="str">
            <v>North of Chaung Oo Quarter, Chaung Oo township, Sagaing Division.</v>
          </cell>
          <cell r="CA380" t="str">
            <v>U Aung Than Oo;Chaung OO North Ward, Chaung Oo township, Sagaing division;09-400459673</v>
          </cell>
          <cell r="CB380" t="str">
            <v>13 Aug 15: C5 deactivate because of Paddy land thus rejected by Legal;12 Aug 15 : C5 SAR app;10 Aug 15 : C5 SAR sub(C1, C4 NO DOCUMENTS C5 APPROVED AT)</v>
          </cell>
          <cell r="CC380" t="str">
            <v>GARDEN LAND</v>
          </cell>
          <cell r="CE380">
            <v>0</v>
          </cell>
          <cell r="CF380">
            <v>42179</v>
          </cell>
          <cell r="CG380">
            <v>42242</v>
          </cell>
          <cell r="CH380">
            <v>42181</v>
          </cell>
          <cell r="CJ380">
            <v>42164</v>
          </cell>
          <cell r="CK380" t="str">
            <v>35</v>
          </cell>
          <cell r="CL380" t="str">
            <v>37</v>
          </cell>
          <cell r="CM380" t="str">
            <v>40</v>
          </cell>
          <cell r="CN380">
            <v>0</v>
          </cell>
          <cell r="CO380">
            <v>42184</v>
          </cell>
          <cell r="CP380">
            <v>42166</v>
          </cell>
          <cell r="CQ380" t="str">
            <v>M1: grid power + battery</v>
          </cell>
          <cell r="CR380">
            <v>0</v>
          </cell>
          <cell r="CS380">
            <v>42185</v>
          </cell>
          <cell r="CT380">
            <v>42167</v>
          </cell>
          <cell r="CU380" t="str">
            <v>MO0320</v>
          </cell>
          <cell r="DH380">
            <v>0</v>
          </cell>
          <cell r="DI380">
            <v>42195</v>
          </cell>
          <cell r="DJ380">
            <v>42181</v>
          </cell>
          <cell r="DK380">
            <v>42192</v>
          </cell>
          <cell r="DL380">
            <v>42172</v>
          </cell>
          <cell r="DM380">
            <v>42196</v>
          </cell>
          <cell r="DN380">
            <v>42187</v>
          </cell>
          <cell r="DO380">
            <v>0</v>
          </cell>
          <cell r="DP380">
            <v>42195</v>
          </cell>
          <cell r="DQ380">
            <v>42181</v>
          </cell>
          <cell r="DT380">
            <v>0</v>
          </cell>
          <cell r="DU380">
            <v>42210</v>
          </cell>
          <cell r="DW380">
            <v>0</v>
          </cell>
          <cell r="DY380">
            <v>42196</v>
          </cell>
          <cell r="DZ380">
            <v>42188</v>
          </cell>
          <cell r="EA380" t="str">
            <v>Leadcom</v>
          </cell>
          <cell r="ED380" t="str">
            <v xml:space="preserve">25Jul15 :KyawZay.Yar: Rebar for column done.Form work will start today.
</v>
          </cell>
          <cell r="EJ380">
            <v>0</v>
          </cell>
          <cell r="EK380">
            <v>42211</v>
          </cell>
          <cell r="EL380">
            <v>42220</v>
          </cell>
          <cell r="EM380">
            <v>42212</v>
          </cell>
          <cell r="EN380">
            <v>42235</v>
          </cell>
          <cell r="EQ380">
            <v>42219</v>
          </cell>
          <cell r="ES380">
            <v>42233</v>
          </cell>
          <cell r="EW380">
            <v>0</v>
          </cell>
          <cell r="EX380">
            <v>42234</v>
          </cell>
          <cell r="EZ380">
            <v>42229</v>
          </cell>
          <cell r="FB380">
            <v>42231</v>
          </cell>
          <cell r="FU380">
            <v>42233</v>
          </cell>
          <cell r="FW380">
            <v>42233</v>
          </cell>
          <cell r="GJ380">
            <v>0</v>
          </cell>
          <cell r="GN380" t="str">
            <v>ERICSSON</v>
          </cell>
          <cell r="GP380">
            <v>42206</v>
          </cell>
          <cell r="GS380" t="str">
            <v>4/4/4</v>
          </cell>
          <cell r="GU380" t="str">
            <v xml:space="preserve">		</v>
          </cell>
          <cell r="HD380">
            <v>1</v>
          </cell>
        </row>
        <row r="381">
          <cell r="A381" t="str">
            <v>MO0321</v>
          </cell>
          <cell r="B381" t="str">
            <v>ASMO_0109</v>
          </cell>
          <cell r="C381" t="str">
            <v>Apollo</v>
          </cell>
          <cell r="D381" t="str">
            <v>Robert</v>
          </cell>
          <cell r="F381" t="str">
            <v>Phyo Wai Maung</v>
          </cell>
          <cell r="G381" t="str">
            <v>Thant Zin Oo</v>
          </cell>
          <cell r="H381" t="str">
            <v>RED</v>
          </cell>
          <cell r="I381" t="str">
            <v>South</v>
          </cell>
          <cell r="J381" t="str">
            <v>97.6109</v>
          </cell>
          <cell r="K381" t="str">
            <v>16.5259</v>
          </cell>
          <cell r="L381" t="str">
            <v>SubUrban</v>
          </cell>
          <cell r="M381" t="str">
            <v>Mon</v>
          </cell>
          <cell r="N381" t="str">
            <v>Paung</v>
          </cell>
          <cell r="O381" t="str">
            <v>Paung</v>
          </cell>
          <cell r="P381" t="str">
            <v>Mon</v>
          </cell>
          <cell r="Q381" t="str">
            <v>22</v>
          </cell>
          <cell r="R381" t="str">
            <v>Paung</v>
          </cell>
          <cell r="S381" t="str">
            <v>177</v>
          </cell>
          <cell r="T381" t="str">
            <v>GSM+UMTS</v>
          </cell>
          <cell r="W381" t="str">
            <v>Ph2-Priority</v>
          </cell>
          <cell r="X381" t="str">
            <v>35</v>
          </cell>
          <cell r="Y381" t="str">
            <v>37</v>
          </cell>
          <cell r="Z381" t="str">
            <v>GBT</v>
          </cell>
          <cell r="AA381" t="str">
            <v>250</v>
          </cell>
          <cell r="AB381" t="str">
            <v>Access</v>
          </cell>
          <cell r="AC381" t="str">
            <v>Class B</v>
          </cell>
          <cell r="BE381" t="str">
            <v>Route 2 Yangon -Mawlamyine</v>
          </cell>
          <cell r="BH381" t="str">
            <v>Leadcom</v>
          </cell>
          <cell r="BJ381">
            <v>42165</v>
          </cell>
          <cell r="BK381">
            <v>42168</v>
          </cell>
          <cell r="BL381">
            <v>42170</v>
          </cell>
          <cell r="BM381">
            <v>42175</v>
          </cell>
          <cell r="BT381">
            <v>45</v>
          </cell>
          <cell r="BU381">
            <v>42178</v>
          </cell>
          <cell r="BV381">
            <v>42227</v>
          </cell>
          <cell r="BW381" t="str">
            <v>97.61252</v>
          </cell>
          <cell r="BX381" t="str">
            <v>16.52673</v>
          </cell>
          <cell r="BY381" t="str">
            <v>C2</v>
          </cell>
          <cell r="BZ381" t="str">
            <v>(8+9+11), Sin Phyu Da Gar, Mya Thein Tan Pagoda,Yay Su Ward, Motetama, Paung Tsp, Mon State.</v>
          </cell>
          <cell r="CA381" t="str">
            <v>U Than Oo, 09-73790852</v>
          </cell>
          <cell r="CB381" t="str">
            <v>11 Aug 15 : C2 SAR sub(C1 MONASTERY )</v>
          </cell>
          <cell r="CC381" t="str">
            <v>WASTE LAND</v>
          </cell>
          <cell r="CE381">
            <v>1</v>
          </cell>
          <cell r="CF381">
            <v>42179</v>
          </cell>
          <cell r="CG381">
            <v>42228</v>
          </cell>
          <cell r="CH381">
            <v>42181</v>
          </cell>
          <cell r="CJ381">
            <v>42234</v>
          </cell>
          <cell r="CK381" t="str">
            <v>35</v>
          </cell>
          <cell r="CL381" t="str">
            <v>37</v>
          </cell>
          <cell r="CM381" t="str">
            <v>40</v>
          </cell>
          <cell r="CN381">
            <v>5</v>
          </cell>
          <cell r="CO381">
            <v>42184</v>
          </cell>
          <cell r="CP381">
            <v>42236</v>
          </cell>
          <cell r="CQ381" t="str">
            <v>M1: grid power + battery</v>
          </cell>
          <cell r="CR381">
            <v>0</v>
          </cell>
          <cell r="CS381">
            <v>42185</v>
          </cell>
          <cell r="CT381">
            <v>42237</v>
          </cell>
          <cell r="CU381" t="str">
            <v>MO0321</v>
          </cell>
          <cell r="DH381">
            <v>0</v>
          </cell>
          <cell r="DI381">
            <v>42195</v>
          </cell>
          <cell r="DK381">
            <v>42192</v>
          </cell>
          <cell r="DM381">
            <v>42196</v>
          </cell>
          <cell r="DO381">
            <v>0</v>
          </cell>
          <cell r="DP381">
            <v>42195</v>
          </cell>
          <cell r="DT381">
            <v>0</v>
          </cell>
          <cell r="DU381">
            <v>42210</v>
          </cell>
          <cell r="DW381">
            <v>0</v>
          </cell>
          <cell r="DY381">
            <v>42196</v>
          </cell>
          <cell r="EA381" t="str">
            <v>Leadcom</v>
          </cell>
          <cell r="EJ381">
            <v>0</v>
          </cell>
          <cell r="EK381">
            <v>42211</v>
          </cell>
          <cell r="EM381">
            <v>42212</v>
          </cell>
          <cell r="EQ381">
            <v>42219</v>
          </cell>
          <cell r="EW381">
            <v>0</v>
          </cell>
          <cell r="EX381">
            <v>42234</v>
          </cell>
          <cell r="EZ381">
            <v>42229</v>
          </cell>
          <cell r="FB381">
            <v>42231</v>
          </cell>
          <cell r="FU381">
            <v>42233</v>
          </cell>
          <cell r="FW381">
            <v>42233</v>
          </cell>
          <cell r="GJ381">
            <v>0</v>
          </cell>
          <cell r="GN381" t="str">
            <v>ERICSSON</v>
          </cell>
          <cell r="GS381" t="str">
            <v>4/4/4</v>
          </cell>
          <cell r="GU381" t="str">
            <v xml:space="preserve">		</v>
          </cell>
          <cell r="HD381">
            <v>1</v>
          </cell>
        </row>
        <row r="382">
          <cell r="A382" t="str">
            <v>MO0322</v>
          </cell>
          <cell r="B382" t="str">
            <v>ASMO_0110</v>
          </cell>
          <cell r="C382" t="str">
            <v>Apollo</v>
          </cell>
          <cell r="D382" t="str">
            <v>Robert</v>
          </cell>
          <cell r="F382" t="str">
            <v>Phyo Wai Maung</v>
          </cell>
          <cell r="G382" t="str">
            <v>Thant Zin Oo</v>
          </cell>
          <cell r="H382" t="str">
            <v>RED</v>
          </cell>
          <cell r="I382" t="str">
            <v>South</v>
          </cell>
          <cell r="J382" t="str">
            <v>97.6121</v>
          </cell>
          <cell r="K382" t="str">
            <v>16.5364</v>
          </cell>
          <cell r="L382" t="str">
            <v>SubUrban</v>
          </cell>
          <cell r="M382" t="str">
            <v>Mon</v>
          </cell>
          <cell r="N382" t="str">
            <v>Paung</v>
          </cell>
          <cell r="O382" t="str">
            <v>Paung</v>
          </cell>
          <cell r="P382" t="str">
            <v>Mon</v>
          </cell>
          <cell r="Q382" t="str">
            <v>22</v>
          </cell>
          <cell r="R382" t="str">
            <v>Paung</v>
          </cell>
          <cell r="S382" t="str">
            <v>177</v>
          </cell>
          <cell r="T382" t="str">
            <v>GSM+UMTS</v>
          </cell>
          <cell r="W382" t="str">
            <v>Ph2-Priority</v>
          </cell>
          <cell r="X382" t="str">
            <v>35</v>
          </cell>
          <cell r="Y382" t="str">
            <v>37</v>
          </cell>
          <cell r="Z382" t="str">
            <v>GBT</v>
          </cell>
          <cell r="AA382" t="str">
            <v>250</v>
          </cell>
          <cell r="AB382" t="str">
            <v>Access</v>
          </cell>
          <cell r="AC382" t="str">
            <v>Class B</v>
          </cell>
          <cell r="BE382" t="str">
            <v>Route 2 Yangon -Mawlamyine</v>
          </cell>
          <cell r="BH382" t="str">
            <v>Leadcom</v>
          </cell>
          <cell r="BJ382">
            <v>42165</v>
          </cell>
          <cell r="BK382">
            <v>42165</v>
          </cell>
          <cell r="BL382">
            <v>42170</v>
          </cell>
          <cell r="BM382">
            <v>42119</v>
          </cell>
          <cell r="BT382">
            <v>23</v>
          </cell>
          <cell r="BU382">
            <v>42178</v>
          </cell>
          <cell r="BV382">
            <v>42188</v>
          </cell>
          <cell r="BW382" t="str">
            <v>97.610178</v>
          </cell>
          <cell r="BX382" t="str">
            <v>16.538344</v>
          </cell>
          <cell r="BY382" t="str">
            <v>C2</v>
          </cell>
          <cell r="BZ382" t="str">
            <v>Field No.(6),U Paing No.(3/1),Kywal Kyan St,Paung Tsp,Mon State.</v>
          </cell>
          <cell r="CA382" t="str">
            <v>DAW HLA NU, 09-5193297</v>
          </cell>
          <cell r="CB382" t="str">
            <v>3 July 15 : C2 SAR sub;17 June 15 : C1 SAR rejected. RND rejected because this site is 592m far from the nominal point. Please find the new candidate at the nominal point.);16Jun15: C1 SAR Sub.</v>
          </cell>
          <cell r="CC382" t="str">
            <v>GARDEN LAND</v>
          </cell>
          <cell r="CE382">
            <v>7</v>
          </cell>
          <cell r="CF382">
            <v>42179</v>
          </cell>
          <cell r="CG382">
            <v>42195</v>
          </cell>
          <cell r="CH382">
            <v>42181</v>
          </cell>
          <cell r="CJ382">
            <v>42199</v>
          </cell>
          <cell r="CK382" t="str">
            <v>35</v>
          </cell>
          <cell r="CL382" t="str">
            <v>37</v>
          </cell>
          <cell r="CM382" t="str">
            <v>40</v>
          </cell>
          <cell r="CN382">
            <v>6</v>
          </cell>
          <cell r="CO382">
            <v>42184</v>
          </cell>
          <cell r="CP382">
            <v>42201</v>
          </cell>
          <cell r="CQ382" t="str">
            <v>M1: grid power + battery</v>
          </cell>
          <cell r="CR382">
            <v>1</v>
          </cell>
          <cell r="CS382">
            <v>42185</v>
          </cell>
          <cell r="CT382">
            <v>42202</v>
          </cell>
          <cell r="CU382" t="str">
            <v>MO0322</v>
          </cell>
          <cell r="DH382">
            <v>31</v>
          </cell>
          <cell r="DI382">
            <v>42195</v>
          </cell>
          <cell r="DK382">
            <v>42192</v>
          </cell>
          <cell r="DL382">
            <v>42242</v>
          </cell>
          <cell r="DM382">
            <v>42196</v>
          </cell>
          <cell r="DO382">
            <v>0</v>
          </cell>
          <cell r="DP382">
            <v>42195</v>
          </cell>
          <cell r="DT382">
            <v>0</v>
          </cell>
          <cell r="DU382">
            <v>42210</v>
          </cell>
          <cell r="DW382">
            <v>0</v>
          </cell>
          <cell r="DY382">
            <v>42196</v>
          </cell>
          <cell r="DZ382">
            <v>42235</v>
          </cell>
          <cell r="EA382" t="str">
            <v>Leadcom</v>
          </cell>
          <cell r="ED382" t="str">
            <v xml:space="preserve">31Aug15 :ThantZin.Oo: 29/8/2015 : Excavation in progress .Equipment Pad location is so closed to neighbor . Should be change before start work .
</v>
          </cell>
          <cell r="EJ382">
            <v>0</v>
          </cell>
          <cell r="EK382">
            <v>42211</v>
          </cell>
          <cell r="EM382">
            <v>42212</v>
          </cell>
          <cell r="EQ382">
            <v>42219</v>
          </cell>
          <cell r="EW382">
            <v>0</v>
          </cell>
          <cell r="EX382">
            <v>42234</v>
          </cell>
          <cell r="EZ382">
            <v>42229</v>
          </cell>
          <cell r="FA382">
            <v>42244</v>
          </cell>
          <cell r="FB382">
            <v>42231</v>
          </cell>
          <cell r="FU382">
            <v>42233</v>
          </cell>
          <cell r="FW382">
            <v>42233</v>
          </cell>
          <cell r="GJ382">
            <v>0</v>
          </cell>
          <cell r="GN382" t="str">
            <v>ERICSSON</v>
          </cell>
          <cell r="GO382">
            <v>42136</v>
          </cell>
          <cell r="GS382" t="str">
            <v>4/4/4</v>
          </cell>
          <cell r="GU382" t="str">
            <v xml:space="preserve">		</v>
          </cell>
          <cell r="HD382">
            <v>1</v>
          </cell>
        </row>
        <row r="383">
          <cell r="A383" t="str">
            <v>MO0327</v>
          </cell>
          <cell r="B383" t="str">
            <v>ASMO_0111</v>
          </cell>
          <cell r="C383" t="str">
            <v>Apollo</v>
          </cell>
          <cell r="D383" t="str">
            <v>Robert</v>
          </cell>
          <cell r="F383" t="str">
            <v>Phyo Wai Maung</v>
          </cell>
          <cell r="G383" t="str">
            <v>Thant Zin Oo</v>
          </cell>
          <cell r="H383" t="str">
            <v>AMBER</v>
          </cell>
          <cell r="I383" t="str">
            <v>South</v>
          </cell>
          <cell r="J383" t="str">
            <v>97.6718</v>
          </cell>
          <cell r="K383" t="str">
            <v>16.4981</v>
          </cell>
          <cell r="L383" t="str">
            <v>SubUrban</v>
          </cell>
          <cell r="M383" t="str">
            <v>Mon</v>
          </cell>
          <cell r="N383" t="str">
            <v>Kyaikmaraw</v>
          </cell>
          <cell r="O383" t="str">
            <v>Kyaikmaraw</v>
          </cell>
          <cell r="P383" t="str">
            <v>Mon</v>
          </cell>
          <cell r="Q383" t="str">
            <v>22</v>
          </cell>
          <cell r="R383" t="str">
            <v>Kyaikmaraw</v>
          </cell>
          <cell r="S383" t="str">
            <v>171</v>
          </cell>
          <cell r="T383" t="str">
            <v>GSM+UMTS</v>
          </cell>
          <cell r="W383" t="str">
            <v>Ph2-Priority</v>
          </cell>
          <cell r="X383" t="str">
            <v>35</v>
          </cell>
          <cell r="Y383" t="str">
            <v>37</v>
          </cell>
          <cell r="Z383" t="str">
            <v>GBT</v>
          </cell>
          <cell r="AA383" t="str">
            <v>250</v>
          </cell>
          <cell r="AB383" t="str">
            <v>Access</v>
          </cell>
          <cell r="AC383" t="str">
            <v>Class B</v>
          </cell>
          <cell r="BE383" t="str">
            <v>Route 2 Yangon -Mawlamyine</v>
          </cell>
          <cell r="BH383" t="str">
            <v>Leadcom</v>
          </cell>
          <cell r="BJ383">
            <v>42165</v>
          </cell>
          <cell r="BK383">
            <v>42158</v>
          </cell>
          <cell r="BL383">
            <v>42170</v>
          </cell>
          <cell r="BM383">
            <v>42165</v>
          </cell>
          <cell r="BT383">
            <v>17</v>
          </cell>
          <cell r="BU383">
            <v>42178</v>
          </cell>
          <cell r="BV383">
            <v>42175</v>
          </cell>
          <cell r="BW383" t="str">
            <v>97.6699</v>
          </cell>
          <cell r="BX383" t="str">
            <v>16.49847</v>
          </cell>
          <cell r="BY383" t="str">
            <v>C1</v>
          </cell>
          <cell r="BZ383" t="str">
            <v>Field no.386,Kha yone ka yote field,U py no.124,Nyaung pin sake village.</v>
          </cell>
          <cell r="CA383" t="str">
            <v>Daw Ngwe Aye;94425335569</v>
          </cell>
          <cell r="CB383" t="str">
            <v>20Jun15: C1 SAR Sub</v>
          </cell>
          <cell r="CC383" t="str">
            <v>VILLAGE LAND</v>
          </cell>
          <cell r="CE383">
            <v>6</v>
          </cell>
          <cell r="CF383">
            <v>42179</v>
          </cell>
          <cell r="CG383">
            <v>42181</v>
          </cell>
          <cell r="CH383">
            <v>42181</v>
          </cell>
          <cell r="CJ383">
            <v>42189</v>
          </cell>
          <cell r="CK383" t="str">
            <v>35</v>
          </cell>
          <cell r="CL383" t="str">
            <v>37</v>
          </cell>
          <cell r="CM383" t="str">
            <v>40</v>
          </cell>
          <cell r="CN383">
            <v>10</v>
          </cell>
          <cell r="CO383">
            <v>42184</v>
          </cell>
          <cell r="CP383">
            <v>42191</v>
          </cell>
          <cell r="CQ383" t="str">
            <v>M1: grid power + battery</v>
          </cell>
          <cell r="CR383">
            <v>1</v>
          </cell>
          <cell r="CS383">
            <v>42185</v>
          </cell>
          <cell r="CT383">
            <v>42192</v>
          </cell>
          <cell r="CU383" t="str">
            <v>MO0327</v>
          </cell>
          <cell r="DH383">
            <v>6</v>
          </cell>
          <cell r="DI383">
            <v>42195</v>
          </cell>
          <cell r="DJ383">
            <v>42198</v>
          </cell>
          <cell r="DK383">
            <v>42192</v>
          </cell>
          <cell r="DL383">
            <v>42209</v>
          </cell>
          <cell r="DM383">
            <v>42196</v>
          </cell>
          <cell r="DN383">
            <v>42209</v>
          </cell>
          <cell r="DO383">
            <v>0</v>
          </cell>
          <cell r="DP383">
            <v>42195</v>
          </cell>
          <cell r="DQ383">
            <v>42198</v>
          </cell>
          <cell r="DT383">
            <v>35</v>
          </cell>
          <cell r="DU383">
            <v>42210</v>
          </cell>
          <cell r="DW383">
            <v>0</v>
          </cell>
          <cell r="DY383">
            <v>42196</v>
          </cell>
          <cell r="DZ383">
            <v>42206</v>
          </cell>
          <cell r="EA383" t="str">
            <v>Leadcom</v>
          </cell>
          <cell r="EE383" t="str">
            <v xml:space="preserve">10 Aug 15:Rain affected_Progress affected; 1-Aug-15:  under ground water-dewatering slow progress								</v>
          </cell>
          <cell r="EJ383">
            <v>27</v>
          </cell>
          <cell r="EK383">
            <v>42211</v>
          </cell>
          <cell r="EM383">
            <v>42212</v>
          </cell>
          <cell r="EQ383">
            <v>42219</v>
          </cell>
          <cell r="EW383">
            <v>27</v>
          </cell>
          <cell r="EX383">
            <v>42234</v>
          </cell>
          <cell r="EZ383">
            <v>42229</v>
          </cell>
          <cell r="FA383">
            <v>42244</v>
          </cell>
          <cell r="FB383">
            <v>42231</v>
          </cell>
          <cell r="FU383">
            <v>42233</v>
          </cell>
          <cell r="FW383">
            <v>42233</v>
          </cell>
          <cell r="GI383">
            <v>42307</v>
          </cell>
          <cell r="GJ383" t="str">
            <v>44-2015</v>
          </cell>
          <cell r="GN383" t="str">
            <v>ERICSSON</v>
          </cell>
          <cell r="GS383" t="str">
            <v>4/4/4</v>
          </cell>
          <cell r="GU383" t="str">
            <v xml:space="preserve">		</v>
          </cell>
          <cell r="HD383">
            <v>1</v>
          </cell>
        </row>
        <row r="384">
          <cell r="A384" t="str">
            <v>MO0328</v>
          </cell>
          <cell r="B384" t="str">
            <v>ASMO_0112</v>
          </cell>
          <cell r="C384" t="str">
            <v>Apollo</v>
          </cell>
          <cell r="D384" t="str">
            <v>Robert</v>
          </cell>
          <cell r="F384" t="str">
            <v>Phyo Wai Maung</v>
          </cell>
          <cell r="G384" t="str">
            <v>Thant Zin Oo</v>
          </cell>
          <cell r="H384" t="str">
            <v>GREEN</v>
          </cell>
          <cell r="I384" t="str">
            <v>South</v>
          </cell>
          <cell r="J384" t="str">
            <v>97.6752</v>
          </cell>
          <cell r="K384" t="str">
            <v>16.484</v>
          </cell>
          <cell r="L384" t="str">
            <v>Rural</v>
          </cell>
          <cell r="M384" t="str">
            <v>Mon</v>
          </cell>
          <cell r="N384" t="str">
            <v>Kyaikmaraw</v>
          </cell>
          <cell r="O384" t="str">
            <v>Kyaikmaraw</v>
          </cell>
          <cell r="P384" t="str">
            <v>Mon</v>
          </cell>
          <cell r="Q384" t="str">
            <v>22</v>
          </cell>
          <cell r="R384" t="str">
            <v>Kyaikmaraw</v>
          </cell>
          <cell r="S384" t="str">
            <v>171</v>
          </cell>
          <cell r="T384" t="str">
            <v>GSM+UMTS</v>
          </cell>
          <cell r="W384" t="str">
            <v>Ph2-Priority</v>
          </cell>
          <cell r="X384" t="str">
            <v>45</v>
          </cell>
          <cell r="Y384" t="str">
            <v>47</v>
          </cell>
          <cell r="Z384" t="str">
            <v>GBT</v>
          </cell>
          <cell r="AA384" t="str">
            <v>250</v>
          </cell>
          <cell r="AB384" t="str">
            <v>Access</v>
          </cell>
          <cell r="AC384" t="str">
            <v>Class C</v>
          </cell>
          <cell r="BE384" t="str">
            <v>Route 2 Yangon -Mawlamyine</v>
          </cell>
          <cell r="BH384" t="str">
            <v>Leadcom</v>
          </cell>
          <cell r="BJ384">
            <v>42164</v>
          </cell>
          <cell r="BK384">
            <v>42165</v>
          </cell>
          <cell r="BL384">
            <v>42169</v>
          </cell>
          <cell r="BM384">
            <v>42165</v>
          </cell>
          <cell r="BT384">
            <v>10</v>
          </cell>
          <cell r="BU384">
            <v>42210</v>
          </cell>
          <cell r="BV384">
            <v>42175</v>
          </cell>
          <cell r="BW384" t="str">
            <v>97.67275</v>
          </cell>
          <cell r="BX384" t="str">
            <v>16.48341</v>
          </cell>
          <cell r="BY384" t="str">
            <v>C1</v>
          </cell>
          <cell r="BZ384" t="str">
            <v>FIELD NO.386, KHAYONEKAYOTE FIELD, OO PAING 175/1, PHAYAKONE VILLAGE.</v>
          </cell>
          <cell r="CA384" t="str">
            <v>U SHWE ATT;9252517184</v>
          </cell>
          <cell r="CB384" t="str">
            <v>20Jun15: C1 SAR Sub</v>
          </cell>
          <cell r="CE384">
            <v>3</v>
          </cell>
          <cell r="CF384">
            <v>42211</v>
          </cell>
          <cell r="CG384">
            <v>42178</v>
          </cell>
          <cell r="CH384">
            <v>42213</v>
          </cell>
          <cell r="CJ384">
            <v>42189</v>
          </cell>
          <cell r="CK384" t="str">
            <v>45</v>
          </cell>
          <cell r="CL384" t="str">
            <v>47</v>
          </cell>
          <cell r="CM384" t="str">
            <v>50</v>
          </cell>
          <cell r="CN384">
            <v>13</v>
          </cell>
          <cell r="CO384">
            <v>42216</v>
          </cell>
          <cell r="CP384">
            <v>42191</v>
          </cell>
          <cell r="CQ384" t="str">
            <v>M1: grid power + battery</v>
          </cell>
          <cell r="CR384">
            <v>1</v>
          </cell>
          <cell r="CS384">
            <v>42217</v>
          </cell>
          <cell r="CT384">
            <v>42192</v>
          </cell>
          <cell r="CU384" t="str">
            <v>MO0328</v>
          </cell>
          <cell r="DH384">
            <v>6</v>
          </cell>
          <cell r="DI384">
            <v>42227</v>
          </cell>
          <cell r="DJ384">
            <v>42198</v>
          </cell>
          <cell r="DK384">
            <v>42224</v>
          </cell>
          <cell r="DL384">
            <v>42206</v>
          </cell>
          <cell r="DM384">
            <v>42228</v>
          </cell>
          <cell r="DN384">
            <v>42206</v>
          </cell>
          <cell r="DO384">
            <v>0</v>
          </cell>
          <cell r="DP384">
            <v>42227</v>
          </cell>
          <cell r="DQ384">
            <v>42198</v>
          </cell>
          <cell r="DT384">
            <v>35</v>
          </cell>
          <cell r="DU384">
            <v>42242</v>
          </cell>
          <cell r="DW384">
            <v>0</v>
          </cell>
          <cell r="DY384">
            <v>42228</v>
          </cell>
          <cell r="DZ384">
            <v>42202</v>
          </cell>
          <cell r="EA384" t="str">
            <v>Leadcom</v>
          </cell>
          <cell r="ED384" t="str">
            <v xml:space="preserve">17Aug15 :ThantZin.Oo: 13/8/15 : Tower Erection done . Pole mount , grounding  and Equipment Pad done . RFI Telecom .
</v>
          </cell>
          <cell r="EE384" t="str">
            <v xml:space="preserve">10 Aug 15:Rain affected_Progress affected; 4-Aug-15: muddy access road -slow progress								</v>
          </cell>
          <cell r="EJ384">
            <v>20</v>
          </cell>
          <cell r="EK384">
            <v>42245</v>
          </cell>
          <cell r="EL384">
            <v>42222</v>
          </cell>
          <cell r="EM384">
            <v>42246</v>
          </cell>
          <cell r="EN384">
            <v>42222</v>
          </cell>
          <cell r="EQ384">
            <v>42255</v>
          </cell>
          <cell r="ER384">
            <v>42226</v>
          </cell>
          <cell r="ES384">
            <v>42226</v>
          </cell>
          <cell r="ET384">
            <v>42228</v>
          </cell>
          <cell r="EU384">
            <v>42228</v>
          </cell>
          <cell r="EW384">
            <v>31</v>
          </cell>
          <cell r="EX384">
            <v>42284</v>
          </cell>
          <cell r="EZ384">
            <v>42265</v>
          </cell>
          <cell r="FA384">
            <v>42229</v>
          </cell>
          <cell r="FB384">
            <v>42267</v>
          </cell>
          <cell r="FC384">
            <v>42231</v>
          </cell>
          <cell r="FU384">
            <v>42269</v>
          </cell>
          <cell r="FW384">
            <v>42269</v>
          </cell>
          <cell r="FX384">
            <v>42232</v>
          </cell>
          <cell r="FY384" t="str">
            <v>CFVL</v>
          </cell>
          <cell r="FZ384">
            <v>42223</v>
          </cell>
          <cell r="GA384">
            <v>42227</v>
          </cell>
          <cell r="GB384">
            <v>42232</v>
          </cell>
          <cell r="GC384">
            <v>42232</v>
          </cell>
          <cell r="GD384">
            <v>42232</v>
          </cell>
          <cell r="GE384">
            <v>42233</v>
          </cell>
          <cell r="GF384">
            <v>42233</v>
          </cell>
          <cell r="GG384">
            <v>42233</v>
          </cell>
          <cell r="GH384">
            <v>42234</v>
          </cell>
          <cell r="GI384">
            <v>42246</v>
          </cell>
          <cell r="GJ384" t="str">
            <v>44-2015</v>
          </cell>
          <cell r="GK384">
            <v>42234</v>
          </cell>
          <cell r="GL384" t="str">
            <v>Equipment Required :: Dispatch 10th Aug</v>
          </cell>
          <cell r="GN384" t="str">
            <v>ERICSSON</v>
          </cell>
          <cell r="GQ384" t="str">
            <v xml:space="preserve">Equipment Not Delivered; </v>
          </cell>
          <cell r="GS384" t="str">
            <v>4/4/4</v>
          </cell>
          <cell r="GU384" t="str">
            <v xml:space="preserve">		</v>
          </cell>
          <cell r="HD384">
            <v>1</v>
          </cell>
        </row>
        <row r="385">
          <cell r="A385" t="str">
            <v>MO0328_C</v>
          </cell>
          <cell r="B385" t="str">
            <v>ASMO_9990</v>
          </cell>
          <cell r="C385" t="str">
            <v>Apollo</v>
          </cell>
          <cell r="D385" t="str">
            <v>Robert</v>
          </cell>
          <cell r="F385" t="str">
            <v>Phyo Wai Maung</v>
          </cell>
          <cell r="G385" t="str">
            <v>Thant Zin Oo</v>
          </cell>
          <cell r="H385" t="str">
            <v>RED</v>
          </cell>
          <cell r="I385" t="str">
            <v>South</v>
          </cell>
          <cell r="J385" t="str">
            <v>97.6752</v>
          </cell>
          <cell r="K385" t="str">
            <v>16.484</v>
          </cell>
          <cell r="L385" t="str">
            <v>Rural</v>
          </cell>
          <cell r="M385" t="str">
            <v>Mon</v>
          </cell>
          <cell r="N385" t="str">
            <v>Mon</v>
          </cell>
          <cell r="O385" t="str">
            <v>Kyaikmaraw</v>
          </cell>
          <cell r="P385" t="str">
            <v>Mon</v>
          </cell>
          <cell r="Q385" t="str">
            <v>22</v>
          </cell>
          <cell r="R385" t="str">
            <v>Kyaikmaraw</v>
          </cell>
          <cell r="S385" t="str">
            <v>171</v>
          </cell>
          <cell r="T385" t="str">
            <v>GSM+UMTS</v>
          </cell>
          <cell r="W385" t="str">
            <v>Ph2-Priority</v>
          </cell>
          <cell r="X385" t="str">
            <v>30</v>
          </cell>
          <cell r="Y385" t="str">
            <v>30</v>
          </cell>
          <cell r="Z385" t="str">
            <v>COW</v>
          </cell>
          <cell r="AA385" t="str">
            <v>250</v>
          </cell>
          <cell r="AB385" t="str">
            <v>Access</v>
          </cell>
          <cell r="AC385" t="str">
            <v>Class C</v>
          </cell>
          <cell r="BE385" t="str">
            <v>Route 2 Yangon -Mawlamyine</v>
          </cell>
          <cell r="BH385" t="str">
            <v>Leadcom</v>
          </cell>
          <cell r="BJ385">
            <v>42164</v>
          </cell>
          <cell r="BK385">
            <v>42165</v>
          </cell>
          <cell r="BL385">
            <v>42169</v>
          </cell>
          <cell r="BM385">
            <v>42165</v>
          </cell>
          <cell r="BT385">
            <v>16</v>
          </cell>
          <cell r="BU385">
            <v>42210</v>
          </cell>
          <cell r="BV385">
            <v>42181</v>
          </cell>
          <cell r="BW385" t="str">
            <v>97.67312</v>
          </cell>
          <cell r="BX385" t="str">
            <v>16.48294</v>
          </cell>
          <cell r="BY385" t="str">
            <v>C3_COW</v>
          </cell>
          <cell r="CB385" t="str">
            <v>26 June 15 : C3_COW sub,Create one row for MO0328_C to put COW site data and copy all of the date from MO0328 ;23 June 15 :C1 SAR app;20 June 15: C1 SAR sub</v>
          </cell>
          <cell r="CC385" t="str">
            <v>GARDEN LAND</v>
          </cell>
          <cell r="CE385">
            <v>3</v>
          </cell>
          <cell r="CF385">
            <v>42211</v>
          </cell>
          <cell r="CG385">
            <v>42184</v>
          </cell>
          <cell r="CH385">
            <v>42213</v>
          </cell>
          <cell r="CN385">
            <v>49</v>
          </cell>
          <cell r="CO385">
            <v>42216</v>
          </cell>
          <cell r="CQ385" t="str">
            <v>M1: grid power + battery</v>
          </cell>
          <cell r="CR385">
            <v>0</v>
          </cell>
          <cell r="CS385">
            <v>42217</v>
          </cell>
          <cell r="CU385" t="str">
            <v>MO0328</v>
          </cell>
          <cell r="DH385">
            <v>0</v>
          </cell>
          <cell r="DI385">
            <v>42227</v>
          </cell>
          <cell r="DK385">
            <v>42224</v>
          </cell>
          <cell r="DM385">
            <v>42228</v>
          </cell>
          <cell r="DO385">
            <v>0</v>
          </cell>
          <cell r="DP385">
            <v>42227</v>
          </cell>
          <cell r="DT385">
            <v>0</v>
          </cell>
          <cell r="DU385">
            <v>42242</v>
          </cell>
          <cell r="DW385">
            <v>0</v>
          </cell>
          <cell r="DY385">
            <v>42228</v>
          </cell>
          <cell r="EA385" t="str">
            <v>Leadcom</v>
          </cell>
          <cell r="EJ385">
            <v>0</v>
          </cell>
          <cell r="EK385">
            <v>42245</v>
          </cell>
          <cell r="EM385">
            <v>42246</v>
          </cell>
          <cell r="EQ385">
            <v>42255</v>
          </cell>
          <cell r="EW385">
            <v>0</v>
          </cell>
          <cell r="EX385">
            <v>42284</v>
          </cell>
          <cell r="EZ385">
            <v>42265</v>
          </cell>
          <cell r="FB385">
            <v>42267</v>
          </cell>
          <cell r="FU385">
            <v>42269</v>
          </cell>
          <cell r="FW385">
            <v>42269</v>
          </cell>
          <cell r="GJ385">
            <v>0</v>
          </cell>
          <cell r="GN385" t="str">
            <v>ERICSSON</v>
          </cell>
          <cell r="HD385">
            <v>1</v>
          </cell>
        </row>
        <row r="386">
          <cell r="A386" t="str">
            <v>MO0335</v>
          </cell>
          <cell r="B386" t="str">
            <v>ASMO_0114</v>
          </cell>
          <cell r="C386" t="str">
            <v>Apollo</v>
          </cell>
          <cell r="D386" t="str">
            <v>Robert</v>
          </cell>
          <cell r="F386" t="str">
            <v>Phyo Wai Maung</v>
          </cell>
          <cell r="G386" t="str">
            <v>Thant Zin Oo</v>
          </cell>
          <cell r="H386" t="str">
            <v>AMBER</v>
          </cell>
          <cell r="I386" t="str">
            <v>South</v>
          </cell>
          <cell r="J386" t="str">
            <v>97.6593</v>
          </cell>
          <cell r="K386" t="str">
            <v>16.394</v>
          </cell>
          <cell r="L386" t="str">
            <v>Rural</v>
          </cell>
          <cell r="M386" t="str">
            <v>Mon</v>
          </cell>
          <cell r="N386" t="str">
            <v>Mawlamyine</v>
          </cell>
          <cell r="O386" t="str">
            <v>Mawlamyine</v>
          </cell>
          <cell r="P386" t="str">
            <v>Mon</v>
          </cell>
          <cell r="Q386" t="str">
            <v>22</v>
          </cell>
          <cell r="R386" t="str">
            <v>Mawlamyine</v>
          </cell>
          <cell r="S386" t="str">
            <v>170</v>
          </cell>
          <cell r="T386" t="str">
            <v>GSM+UMTS</v>
          </cell>
          <cell r="W386" t="str">
            <v>Ph2-Priority</v>
          </cell>
          <cell r="X386" t="str">
            <v>45</v>
          </cell>
          <cell r="Y386" t="str">
            <v>47</v>
          </cell>
          <cell r="Z386" t="str">
            <v>GBT</v>
          </cell>
          <cell r="AA386" t="str">
            <v>250</v>
          </cell>
          <cell r="AB386" t="str">
            <v>Access</v>
          </cell>
          <cell r="AC386" t="str">
            <v>Class C</v>
          </cell>
          <cell r="BE386" t="str">
            <v>Route 2 Yangon -Mawlamyine</v>
          </cell>
          <cell r="BH386" t="str">
            <v>Leadcom</v>
          </cell>
          <cell r="BJ386">
            <v>42164</v>
          </cell>
          <cell r="BK386">
            <v>42165</v>
          </cell>
          <cell r="BL386">
            <v>42169</v>
          </cell>
          <cell r="BM386">
            <v>42165</v>
          </cell>
          <cell r="BT386">
            <v>10</v>
          </cell>
          <cell r="BU386">
            <v>42182</v>
          </cell>
          <cell r="BV386">
            <v>42175</v>
          </cell>
          <cell r="BW386" t="str">
            <v>97.65741</v>
          </cell>
          <cell r="BX386" t="str">
            <v>16.39374</v>
          </cell>
          <cell r="BY386" t="str">
            <v>C2</v>
          </cell>
          <cell r="BZ386" t="str">
            <v>Field No. 802- A, Rakhine Kone Field, Oo Paing 65B/ 19 Naungkhayee Village.</v>
          </cell>
          <cell r="CA386" t="str">
            <v>U KYAW MYINT;0 9425265403</v>
          </cell>
          <cell r="CB386" t="str">
            <v>20Jun15: C2 SAR Sub; c1 rejected by AT</v>
          </cell>
          <cell r="CC386" t="str">
            <v>La Na 39</v>
          </cell>
          <cell r="CE386">
            <v>3</v>
          </cell>
          <cell r="CF386">
            <v>42183</v>
          </cell>
          <cell r="CG386">
            <v>42178</v>
          </cell>
          <cell r="CH386">
            <v>42185</v>
          </cell>
          <cell r="CJ386">
            <v>42183</v>
          </cell>
          <cell r="CK386" t="str">
            <v>45</v>
          </cell>
          <cell r="CL386" t="str">
            <v>47</v>
          </cell>
          <cell r="CM386" t="str">
            <v>50</v>
          </cell>
          <cell r="CN386">
            <v>7</v>
          </cell>
          <cell r="CO386">
            <v>42188</v>
          </cell>
          <cell r="CP386">
            <v>42185</v>
          </cell>
          <cell r="CQ386" t="str">
            <v>M1: grid power + battery</v>
          </cell>
          <cell r="CR386">
            <v>1</v>
          </cell>
          <cell r="CS386">
            <v>42189</v>
          </cell>
          <cell r="CT386">
            <v>42186</v>
          </cell>
          <cell r="CU386" t="str">
            <v>MO0335</v>
          </cell>
          <cell r="DH386">
            <v>12</v>
          </cell>
          <cell r="DI386">
            <v>42199</v>
          </cell>
          <cell r="DJ386">
            <v>42198</v>
          </cell>
          <cell r="DK386">
            <v>42196</v>
          </cell>
          <cell r="DL386">
            <v>42201</v>
          </cell>
          <cell r="DM386">
            <v>42200</v>
          </cell>
          <cell r="DN386">
            <v>42198</v>
          </cell>
          <cell r="DO386">
            <v>0</v>
          </cell>
          <cell r="DP386">
            <v>42199</v>
          </cell>
          <cell r="DQ386">
            <v>42198</v>
          </cell>
          <cell r="DT386">
            <v>35</v>
          </cell>
          <cell r="DU386">
            <v>42214</v>
          </cell>
          <cell r="DW386">
            <v>0</v>
          </cell>
          <cell r="DY386">
            <v>42200</v>
          </cell>
          <cell r="DZ386">
            <v>42200</v>
          </cell>
          <cell r="EA386" t="str">
            <v>Leadcom</v>
          </cell>
          <cell r="EB386">
            <v>42209</v>
          </cell>
          <cell r="ED386" t="str">
            <v xml:space="preserve">17Aug15 :ThantZin.Oo: 13/8/15 : Lean casting done . Footing rebar-work in progress.
</v>
          </cell>
          <cell r="EE386" t="str">
            <v xml:space="preserve">10 Aug 15:Flood affected_Hold-No access; 24-Jul-15: Site cancelled from SKOM &amp; CW, due to Flooded access. SG Area is affected by Flood.								</v>
          </cell>
          <cell r="EJ386">
            <v>33</v>
          </cell>
          <cell r="EK386">
            <v>42217</v>
          </cell>
          <cell r="EM386">
            <v>42218</v>
          </cell>
          <cell r="EQ386">
            <v>42227</v>
          </cell>
          <cell r="EW386">
            <v>33</v>
          </cell>
          <cell r="EX386">
            <v>42263</v>
          </cell>
          <cell r="EZ386">
            <v>42237</v>
          </cell>
          <cell r="FB386">
            <v>42239</v>
          </cell>
          <cell r="FU386">
            <v>42241</v>
          </cell>
          <cell r="FW386">
            <v>42241</v>
          </cell>
          <cell r="GI386">
            <v>42307</v>
          </cell>
          <cell r="GJ386" t="str">
            <v>44-2015</v>
          </cell>
          <cell r="GN386" t="str">
            <v>ERICSSON</v>
          </cell>
          <cell r="GP386">
            <v>42207</v>
          </cell>
          <cell r="GS386" t="str">
            <v>4/4/4</v>
          </cell>
          <cell r="GU386" t="str">
            <v xml:space="preserve">		</v>
          </cell>
          <cell r="HD386">
            <v>1</v>
          </cell>
        </row>
        <row r="387">
          <cell r="A387" t="str">
            <v>MO0338</v>
          </cell>
          <cell r="B387" t="str">
            <v>ASMO_0203</v>
          </cell>
          <cell r="C387" t="str">
            <v>Apollo</v>
          </cell>
          <cell r="D387" t="str">
            <v>Robert</v>
          </cell>
          <cell r="F387" t="str">
            <v>Phyo Wai Maung</v>
          </cell>
          <cell r="G387" t="str">
            <v>Thant Zin Oo</v>
          </cell>
          <cell r="H387" t="str">
            <v>RED</v>
          </cell>
          <cell r="I387" t="str">
            <v>South</v>
          </cell>
          <cell r="J387" t="str">
            <v>97.71819</v>
          </cell>
          <cell r="K387" t="str">
            <v>16.376502</v>
          </cell>
          <cell r="L387" t="str">
            <v>Rural</v>
          </cell>
          <cell r="M387" t="str">
            <v>Mon</v>
          </cell>
          <cell r="N387" t="str">
            <v>Kyaikmaraw</v>
          </cell>
          <cell r="O387" t="str">
            <v>Kyaikmaraw</v>
          </cell>
          <cell r="P387" t="str">
            <v>Mon</v>
          </cell>
          <cell r="Q387" t="str">
            <v>22</v>
          </cell>
          <cell r="R387" t="str">
            <v>Kyaikmaraw</v>
          </cell>
          <cell r="S387" t="str">
            <v>171</v>
          </cell>
          <cell r="T387" t="str">
            <v>GSM+UMTS</v>
          </cell>
          <cell r="W387" t="str">
            <v>Ph2-Priority</v>
          </cell>
          <cell r="X387" t="str">
            <v>45</v>
          </cell>
          <cell r="Y387" t="str">
            <v>47</v>
          </cell>
          <cell r="Z387" t="str">
            <v>GBT</v>
          </cell>
          <cell r="AA387" t="str">
            <v>250</v>
          </cell>
          <cell r="AB387" t="str">
            <v>Access</v>
          </cell>
          <cell r="AC387" t="str">
            <v>Class C</v>
          </cell>
          <cell r="BE387" t="str">
            <v>Route 2 Yangon -Mawlamyine</v>
          </cell>
          <cell r="BH387" t="str">
            <v>Leadcom</v>
          </cell>
          <cell r="BJ387">
            <v>42164</v>
          </cell>
          <cell r="BK387">
            <v>42165</v>
          </cell>
          <cell r="BL387">
            <v>42169</v>
          </cell>
          <cell r="BT387">
            <v>57</v>
          </cell>
          <cell r="BU387">
            <v>42210</v>
          </cell>
          <cell r="BV387">
            <v>42222</v>
          </cell>
          <cell r="BW387" t="str">
            <v>97.71889</v>
          </cell>
          <cell r="BX387" t="str">
            <v>16.37481</v>
          </cell>
          <cell r="BY387" t="str">
            <v>C2</v>
          </cell>
          <cell r="BZ387" t="str">
            <v>Bain Myaw Village,Kyaik Ma Yaw Tsp, Mon State.</v>
          </cell>
          <cell r="CA387" t="str">
            <v>ArZeZawLa, 09-255717385</v>
          </cell>
          <cell r="CB387" t="str">
            <v>6 Aug 15 : C2 SAR sub(C1 OWNER BACKED OUT);6 Jul 15: C1 TSSR app;2 Jul 15 : C1 TSSR sub;23 Jun 15 : C1 SAR app;20Jun15: C1 SAR Sub</v>
          </cell>
          <cell r="CE387">
            <v>5</v>
          </cell>
          <cell r="CF387">
            <v>42211</v>
          </cell>
          <cell r="CG387">
            <v>42227</v>
          </cell>
          <cell r="CH387">
            <v>42213</v>
          </cell>
          <cell r="CJ387">
            <v>42227</v>
          </cell>
          <cell r="CK387" t="str">
            <v>45</v>
          </cell>
          <cell r="CL387" t="str">
            <v>47</v>
          </cell>
          <cell r="CM387" t="str">
            <v>50</v>
          </cell>
          <cell r="CN387">
            <v>2</v>
          </cell>
          <cell r="CO387">
            <v>42216</v>
          </cell>
          <cell r="CP387">
            <v>42229</v>
          </cell>
          <cell r="CQ387" t="str">
            <v>M1: grid power + battery</v>
          </cell>
          <cell r="CR387">
            <v>4</v>
          </cell>
          <cell r="CS387">
            <v>42217</v>
          </cell>
          <cell r="CT387">
            <v>42233</v>
          </cell>
          <cell r="CU387" t="str">
            <v>MO0338</v>
          </cell>
          <cell r="DH387">
            <v>0</v>
          </cell>
          <cell r="DI387">
            <v>42227</v>
          </cell>
          <cell r="DK387">
            <v>42224</v>
          </cell>
          <cell r="DL387">
            <v>42242</v>
          </cell>
          <cell r="DM387">
            <v>42228</v>
          </cell>
          <cell r="DO387">
            <v>0</v>
          </cell>
          <cell r="DP387">
            <v>42227</v>
          </cell>
          <cell r="DT387">
            <v>0</v>
          </cell>
          <cell r="DU387">
            <v>42242</v>
          </cell>
          <cell r="DW387">
            <v>0</v>
          </cell>
          <cell r="DY387">
            <v>42228</v>
          </cell>
          <cell r="EA387" t="str">
            <v>Leadcom</v>
          </cell>
          <cell r="EJ387">
            <v>0</v>
          </cell>
          <cell r="EK387">
            <v>42245</v>
          </cell>
          <cell r="EM387">
            <v>42246</v>
          </cell>
          <cell r="EQ387">
            <v>42255</v>
          </cell>
          <cell r="EW387">
            <v>0</v>
          </cell>
          <cell r="EX387">
            <v>42284</v>
          </cell>
          <cell r="EZ387">
            <v>42265</v>
          </cell>
          <cell r="FB387">
            <v>42267</v>
          </cell>
          <cell r="FU387">
            <v>42269</v>
          </cell>
          <cell r="FW387">
            <v>42269</v>
          </cell>
          <cell r="GI387">
            <v>42307</v>
          </cell>
          <cell r="GJ387" t="str">
            <v>44-2015</v>
          </cell>
          <cell r="GN387" t="str">
            <v>ERICSSON</v>
          </cell>
          <cell r="GO387">
            <v>42206</v>
          </cell>
          <cell r="GS387" t="str">
            <v>4/4/4</v>
          </cell>
          <cell r="GU387" t="str">
            <v xml:space="preserve">		</v>
          </cell>
          <cell r="HD387">
            <v>1</v>
          </cell>
        </row>
        <row r="388">
          <cell r="A388" t="str">
            <v>MO0339</v>
          </cell>
          <cell r="B388" t="str">
            <v>ASMO_0117</v>
          </cell>
          <cell r="C388" t="str">
            <v>Apollo</v>
          </cell>
          <cell r="D388" t="str">
            <v>Robert</v>
          </cell>
          <cell r="F388" t="str">
            <v>Phyo Wai Maung</v>
          </cell>
          <cell r="G388" t="str">
            <v>Thant Zin Oo</v>
          </cell>
          <cell r="H388" t="str">
            <v>RED</v>
          </cell>
          <cell r="I388" t="str">
            <v>South</v>
          </cell>
          <cell r="J388" t="str">
            <v>97.7351</v>
          </cell>
          <cell r="K388" t="str">
            <v>16.3769</v>
          </cell>
          <cell r="L388" t="str">
            <v>Rural</v>
          </cell>
          <cell r="M388" t="str">
            <v>Mon</v>
          </cell>
          <cell r="N388" t="str">
            <v>Kyaikmaraw</v>
          </cell>
          <cell r="O388" t="str">
            <v>Kyaikmaraw</v>
          </cell>
          <cell r="P388" t="str">
            <v>Mon</v>
          </cell>
          <cell r="Q388" t="str">
            <v>22</v>
          </cell>
          <cell r="R388" t="str">
            <v>Kyaikmaraw</v>
          </cell>
          <cell r="S388" t="str">
            <v>171</v>
          </cell>
          <cell r="T388" t="str">
            <v>GSM+UMTS</v>
          </cell>
          <cell r="W388" t="str">
            <v>Ph2-Priority</v>
          </cell>
          <cell r="X388" t="str">
            <v>45</v>
          </cell>
          <cell r="Y388" t="str">
            <v>47</v>
          </cell>
          <cell r="Z388" t="str">
            <v>GBT</v>
          </cell>
          <cell r="AA388" t="str">
            <v>250</v>
          </cell>
          <cell r="AB388" t="str">
            <v>Access</v>
          </cell>
          <cell r="AC388" t="str">
            <v>Class C</v>
          </cell>
          <cell r="BE388" t="str">
            <v>Route 2 Yangon -Mawlamyine</v>
          </cell>
          <cell r="BH388" t="str">
            <v>Leadcom</v>
          </cell>
          <cell r="BJ388">
            <v>42164</v>
          </cell>
          <cell r="BK388">
            <v>42166</v>
          </cell>
          <cell r="BL388">
            <v>42169</v>
          </cell>
          <cell r="BM388">
            <v>42173</v>
          </cell>
          <cell r="BT388">
            <v>67</v>
          </cell>
          <cell r="BU388">
            <v>42210</v>
          </cell>
          <cell r="BV388">
            <v>42242</v>
          </cell>
          <cell r="BW388" t="str">
            <v>97.73535</v>
          </cell>
          <cell r="BX388" t="str">
            <v>16.37506</v>
          </cell>
          <cell r="BY388" t="str">
            <v>C2</v>
          </cell>
          <cell r="CB388" t="str">
            <v>26 Aug 15: C2 SAR sub</v>
          </cell>
          <cell r="CC388" t="str">
            <v>3B Land</v>
          </cell>
          <cell r="CE388">
            <v>0</v>
          </cell>
          <cell r="CF388">
            <v>42211</v>
          </cell>
          <cell r="CG388">
            <v>42243</v>
          </cell>
          <cell r="CH388">
            <v>42213</v>
          </cell>
          <cell r="CN388">
            <v>0</v>
          </cell>
          <cell r="CO388">
            <v>42216</v>
          </cell>
          <cell r="CQ388" t="str">
            <v>M1: grid power + battery</v>
          </cell>
          <cell r="CR388">
            <v>0</v>
          </cell>
          <cell r="CS388">
            <v>42217</v>
          </cell>
          <cell r="CU388" t="str">
            <v>MO0339</v>
          </cell>
          <cell r="DH388">
            <v>0</v>
          </cell>
          <cell r="DI388">
            <v>42227</v>
          </cell>
          <cell r="DK388">
            <v>42224</v>
          </cell>
          <cell r="DM388">
            <v>42228</v>
          </cell>
          <cell r="DO388">
            <v>0</v>
          </cell>
          <cell r="DP388">
            <v>42227</v>
          </cell>
          <cell r="DT388">
            <v>0</v>
          </cell>
          <cell r="DU388">
            <v>42242</v>
          </cell>
          <cell r="DW388">
            <v>0</v>
          </cell>
          <cell r="DY388">
            <v>42228</v>
          </cell>
          <cell r="EA388" t="str">
            <v>Leadcom</v>
          </cell>
          <cell r="EJ388">
            <v>0</v>
          </cell>
          <cell r="EK388">
            <v>42245</v>
          </cell>
          <cell r="EM388">
            <v>42246</v>
          </cell>
          <cell r="EQ388">
            <v>42255</v>
          </cell>
          <cell r="EW388">
            <v>0</v>
          </cell>
          <cell r="EX388">
            <v>42284</v>
          </cell>
          <cell r="EZ388">
            <v>42265</v>
          </cell>
          <cell r="FB388">
            <v>42267</v>
          </cell>
          <cell r="FU388">
            <v>42269</v>
          </cell>
          <cell r="FW388">
            <v>42269</v>
          </cell>
          <cell r="GJ388">
            <v>0</v>
          </cell>
          <cell r="GN388" t="str">
            <v>ERICSSON</v>
          </cell>
          <cell r="GS388" t="str">
            <v>4/4/4</v>
          </cell>
          <cell r="GU388" t="str">
            <v xml:space="preserve">		</v>
          </cell>
          <cell r="HD388">
            <v>1</v>
          </cell>
        </row>
        <row r="389">
          <cell r="A389" t="str">
            <v>MO0357</v>
          </cell>
          <cell r="B389" t="str">
            <v>ASMO_0130</v>
          </cell>
          <cell r="C389" t="str">
            <v>Apollo</v>
          </cell>
          <cell r="D389" t="str">
            <v>Robert</v>
          </cell>
          <cell r="F389" t="str">
            <v>Phyo Wai Maung</v>
          </cell>
          <cell r="G389" t="str">
            <v>Thant Zin Oo</v>
          </cell>
          <cell r="H389" t="str">
            <v>RED</v>
          </cell>
          <cell r="I389" t="str">
            <v>South</v>
          </cell>
          <cell r="J389" t="str">
            <v>97.7203</v>
          </cell>
          <cell r="K389" t="str">
            <v>16.3607</v>
          </cell>
          <cell r="L389" t="str">
            <v>Rural</v>
          </cell>
          <cell r="M389" t="str">
            <v>Mon</v>
          </cell>
          <cell r="N389" t="str">
            <v>Kyaikmaraw</v>
          </cell>
          <cell r="O389" t="str">
            <v>Kyaikmaraw</v>
          </cell>
          <cell r="P389" t="str">
            <v>Mon</v>
          </cell>
          <cell r="Q389" t="str">
            <v>22</v>
          </cell>
          <cell r="R389" t="str">
            <v>Kyaikmaraw</v>
          </cell>
          <cell r="S389" t="str">
            <v>171</v>
          </cell>
          <cell r="T389" t="str">
            <v>GSM+UMTS</v>
          </cell>
          <cell r="W389" t="str">
            <v>Ph2-Priority</v>
          </cell>
          <cell r="X389" t="str">
            <v>45</v>
          </cell>
          <cell r="Y389" t="str">
            <v>47</v>
          </cell>
          <cell r="Z389" t="str">
            <v>GBT</v>
          </cell>
          <cell r="AA389" t="str">
            <v>250</v>
          </cell>
          <cell r="AB389" t="str">
            <v>Access</v>
          </cell>
          <cell r="AC389" t="str">
            <v>Class C</v>
          </cell>
          <cell r="BE389" t="str">
            <v>Route 2 Yangon -Mawlamyine</v>
          </cell>
          <cell r="BH389" t="str">
            <v>Leadcom</v>
          </cell>
          <cell r="BJ389">
            <v>42164</v>
          </cell>
          <cell r="BK389">
            <v>42158</v>
          </cell>
          <cell r="BL389">
            <v>42169</v>
          </cell>
          <cell r="BM389">
            <v>42165</v>
          </cell>
          <cell r="BT389">
            <v>35</v>
          </cell>
          <cell r="BU389">
            <v>42210</v>
          </cell>
          <cell r="BV389">
            <v>42193</v>
          </cell>
          <cell r="BW389" t="str">
            <v>97.71909</v>
          </cell>
          <cell r="BX389" t="str">
            <v>16.36086</v>
          </cell>
          <cell r="BY389" t="str">
            <v>C1</v>
          </cell>
          <cell r="BZ389" t="str">
            <v>Kyaik Mayaw Township, Bain Myaw Village No. 75</v>
          </cell>
          <cell r="CA389" t="str">
            <v>THIN THIN HLAING,0 9255757146</v>
          </cell>
          <cell r="CB389" t="str">
            <v>8 July 15 : C1 SAR sub;(C3 OWNER BACKED OUT);26 June 15 : C3 SAR app;20Jun15: C3 SAR Sub. C1 to C2 Rejected by AT</v>
          </cell>
          <cell r="CC389" t="str">
            <v>GARDEN LAND</v>
          </cell>
          <cell r="CE389">
            <v>1</v>
          </cell>
          <cell r="CF389">
            <v>42211</v>
          </cell>
          <cell r="CG389">
            <v>42194</v>
          </cell>
          <cell r="CH389">
            <v>42213</v>
          </cell>
          <cell r="CJ389">
            <v>42198</v>
          </cell>
          <cell r="CK389" t="str">
            <v>45</v>
          </cell>
          <cell r="CL389" t="str">
            <v>47</v>
          </cell>
          <cell r="CM389" t="str">
            <v>50</v>
          </cell>
          <cell r="CN389">
            <v>6</v>
          </cell>
          <cell r="CO389">
            <v>42216</v>
          </cell>
          <cell r="CP389">
            <v>42200</v>
          </cell>
          <cell r="CQ389" t="str">
            <v>M1: grid power + battery</v>
          </cell>
          <cell r="CR389">
            <v>1</v>
          </cell>
          <cell r="CS389">
            <v>42217</v>
          </cell>
          <cell r="CT389">
            <v>42201</v>
          </cell>
          <cell r="CU389" t="str">
            <v>MO0357</v>
          </cell>
          <cell r="DH389">
            <v>32</v>
          </cell>
          <cell r="DI389">
            <v>42227</v>
          </cell>
          <cell r="DK389">
            <v>42224</v>
          </cell>
          <cell r="DM389">
            <v>42228</v>
          </cell>
          <cell r="DO389">
            <v>0</v>
          </cell>
          <cell r="DP389">
            <v>42227</v>
          </cell>
          <cell r="DT389">
            <v>0</v>
          </cell>
          <cell r="DU389">
            <v>42242</v>
          </cell>
          <cell r="DW389">
            <v>0</v>
          </cell>
          <cell r="DY389">
            <v>42228</v>
          </cell>
          <cell r="DZ389">
            <v>42238</v>
          </cell>
          <cell r="EA389" t="str">
            <v>Leadcom</v>
          </cell>
          <cell r="EJ389">
            <v>0</v>
          </cell>
          <cell r="EK389">
            <v>42245</v>
          </cell>
          <cell r="EM389">
            <v>42246</v>
          </cell>
          <cell r="EQ389">
            <v>42255</v>
          </cell>
          <cell r="EW389">
            <v>0</v>
          </cell>
          <cell r="EX389">
            <v>42284</v>
          </cell>
          <cell r="EZ389">
            <v>42265</v>
          </cell>
          <cell r="FB389">
            <v>42267</v>
          </cell>
          <cell r="FU389">
            <v>42269</v>
          </cell>
          <cell r="FW389">
            <v>42269</v>
          </cell>
          <cell r="GJ389">
            <v>0</v>
          </cell>
          <cell r="GN389" t="str">
            <v>ERICSSON</v>
          </cell>
          <cell r="GS389" t="str">
            <v>4/4/4</v>
          </cell>
          <cell r="GU389" t="str">
            <v xml:space="preserve">		</v>
          </cell>
          <cell r="HD389">
            <v>1</v>
          </cell>
        </row>
        <row r="390">
          <cell r="A390" t="str">
            <v>MO0361</v>
          </cell>
          <cell r="B390" t="str">
            <v>ASMO_0133</v>
          </cell>
          <cell r="C390" t="str">
            <v>Apollo</v>
          </cell>
          <cell r="D390" t="str">
            <v>Robert</v>
          </cell>
          <cell r="F390" t="str">
            <v>Phyo Wai Maung</v>
          </cell>
          <cell r="G390" t="str">
            <v>Thant Zin Oo</v>
          </cell>
          <cell r="H390" t="str">
            <v>AMBER</v>
          </cell>
          <cell r="I390" t="str">
            <v>South</v>
          </cell>
          <cell r="J390" t="str">
            <v>97.2408</v>
          </cell>
          <cell r="K390" t="str">
            <v>17.169</v>
          </cell>
          <cell r="L390" t="str">
            <v>Rural</v>
          </cell>
          <cell r="M390" t="str">
            <v>Mon</v>
          </cell>
          <cell r="N390" t="str">
            <v>Bilin</v>
          </cell>
          <cell r="O390" t="str">
            <v>Bilin</v>
          </cell>
          <cell r="P390" t="str">
            <v>Mon</v>
          </cell>
          <cell r="Q390" t="str">
            <v>22</v>
          </cell>
          <cell r="R390" t="str">
            <v>Bilin</v>
          </cell>
          <cell r="S390" t="str">
            <v>179</v>
          </cell>
          <cell r="T390" t="str">
            <v>GSM+UMTS</v>
          </cell>
          <cell r="W390" t="str">
            <v>Ph2-Priority</v>
          </cell>
          <cell r="X390" t="str">
            <v>45</v>
          </cell>
          <cell r="Y390" t="str">
            <v>47</v>
          </cell>
          <cell r="Z390" t="str">
            <v>GBT</v>
          </cell>
          <cell r="AA390" t="str">
            <v>500</v>
          </cell>
          <cell r="AB390" t="str">
            <v>Access</v>
          </cell>
          <cell r="AC390" t="str">
            <v>Class C</v>
          </cell>
          <cell r="BE390" t="str">
            <v>Route 2 Yangon -Mawlamyine</v>
          </cell>
          <cell r="BH390" t="str">
            <v>Leadcom</v>
          </cell>
          <cell r="BJ390">
            <v>42165</v>
          </cell>
          <cell r="BK390">
            <v>42165</v>
          </cell>
          <cell r="BL390">
            <v>42170</v>
          </cell>
          <cell r="BM390">
            <v>42165</v>
          </cell>
          <cell r="BT390">
            <v>10</v>
          </cell>
          <cell r="BU390">
            <v>42269</v>
          </cell>
          <cell r="BV390">
            <v>42175</v>
          </cell>
          <cell r="BW390" t="str">
            <v>97.24108</v>
          </cell>
          <cell r="BX390" t="str">
            <v>17.16852</v>
          </cell>
          <cell r="BY390" t="str">
            <v>C2</v>
          </cell>
          <cell r="BZ390" t="str">
            <v>Shwe Hlay Ywar Kwin, Kwin No. 305, Shwe Hlay Village, Belin Township, Thahton District, Mon State</v>
          </cell>
          <cell r="CA390" t="str">
            <v>U Shwe Than;09-255959337</v>
          </cell>
          <cell r="CB390" t="str">
            <v>20Jun15: C2 SAR Sub, C1 rejected by AT</v>
          </cell>
          <cell r="CE390">
            <v>3</v>
          </cell>
          <cell r="CF390">
            <v>42270</v>
          </cell>
          <cell r="CG390">
            <v>42178</v>
          </cell>
          <cell r="CH390">
            <v>42272</v>
          </cell>
          <cell r="CJ390">
            <v>42189</v>
          </cell>
          <cell r="CK390" t="str">
            <v>45</v>
          </cell>
          <cell r="CL390" t="str">
            <v>47</v>
          </cell>
          <cell r="CM390" t="str">
            <v>50</v>
          </cell>
          <cell r="CN390">
            <v>13</v>
          </cell>
          <cell r="CO390">
            <v>42275</v>
          </cell>
          <cell r="CP390">
            <v>42191</v>
          </cell>
          <cell r="CQ390" t="str">
            <v>M1: grid power + battery</v>
          </cell>
          <cell r="CR390">
            <v>1</v>
          </cell>
          <cell r="CS390">
            <v>42276</v>
          </cell>
          <cell r="CT390">
            <v>42192</v>
          </cell>
          <cell r="CU390" t="str">
            <v>MO0361</v>
          </cell>
          <cell r="DH390">
            <v>6</v>
          </cell>
          <cell r="DI390">
            <v>42286</v>
          </cell>
          <cell r="DJ390">
            <v>42198</v>
          </cell>
          <cell r="DK390">
            <v>42283</v>
          </cell>
          <cell r="DL390">
            <v>42207</v>
          </cell>
          <cell r="DM390">
            <v>42287</v>
          </cell>
          <cell r="DN390">
            <v>42180</v>
          </cell>
          <cell r="DO390">
            <v>0</v>
          </cell>
          <cell r="DP390">
            <v>42286</v>
          </cell>
          <cell r="DQ390">
            <v>42198</v>
          </cell>
          <cell r="DT390">
            <v>35</v>
          </cell>
          <cell r="DU390">
            <v>42301</v>
          </cell>
          <cell r="DW390">
            <v>0</v>
          </cell>
          <cell r="DY390">
            <v>42287</v>
          </cell>
          <cell r="DZ390">
            <v>42201</v>
          </cell>
          <cell r="EA390" t="str">
            <v>Leadcom</v>
          </cell>
          <cell r="EB390">
            <v>42215</v>
          </cell>
          <cell r="ED390" t="str">
            <v>02Aug15 :KyawZay.Yar: Form work for column done.Pending tower equip;delivery.
20Jul15 :KyawZay.Yar: Rebar for column done.Form work for column not started yet.</v>
          </cell>
          <cell r="EE390" t="str">
            <v xml:space="preserve">10 Aug 15:Flood affected_Hold-No access; 30-Jul-15:access road issue-broken bridge on the way to site 								</v>
          </cell>
          <cell r="EJ390">
            <v>32</v>
          </cell>
          <cell r="EK390">
            <v>42304</v>
          </cell>
          <cell r="EL390">
            <v>42240</v>
          </cell>
          <cell r="EM390">
            <v>42305</v>
          </cell>
          <cell r="EN390">
            <v>42233</v>
          </cell>
          <cell r="EQ390">
            <v>42314</v>
          </cell>
          <cell r="ES390">
            <v>42240</v>
          </cell>
          <cell r="EW390">
            <v>32</v>
          </cell>
          <cell r="EX390">
            <v>42318</v>
          </cell>
          <cell r="EZ390">
            <v>42324</v>
          </cell>
          <cell r="FB390">
            <v>42326</v>
          </cell>
          <cell r="FU390">
            <v>42328</v>
          </cell>
          <cell r="FW390">
            <v>42328</v>
          </cell>
          <cell r="FY390" t="str">
            <v>CFVL</v>
          </cell>
          <cell r="GI390">
            <v>42307</v>
          </cell>
          <cell r="GJ390" t="str">
            <v>44-2015</v>
          </cell>
          <cell r="GN390" t="str">
            <v>ERICSSON</v>
          </cell>
          <cell r="GP390">
            <v>42206</v>
          </cell>
          <cell r="GS390" t="str">
            <v>4/4/4</v>
          </cell>
          <cell r="GU390" t="str">
            <v xml:space="preserve">		</v>
          </cell>
          <cell r="HD390">
            <v>1</v>
          </cell>
        </row>
        <row r="391">
          <cell r="A391" t="str">
            <v>MO0362</v>
          </cell>
          <cell r="B391" t="str">
            <v>ASMO_0204</v>
          </cell>
          <cell r="C391" t="str">
            <v>Apollo</v>
          </cell>
          <cell r="D391" t="str">
            <v>Robert</v>
          </cell>
          <cell r="F391" t="str">
            <v>Phyo Wai Maung</v>
          </cell>
          <cell r="G391" t="str">
            <v>Thant Zin Oo</v>
          </cell>
          <cell r="H391" t="str">
            <v>RED</v>
          </cell>
          <cell r="I391" t="str">
            <v>South</v>
          </cell>
          <cell r="J391" t="str">
            <v>96.9805</v>
          </cell>
          <cell r="K391" t="str">
            <v>17.3178</v>
          </cell>
          <cell r="L391" t="str">
            <v>Rural</v>
          </cell>
          <cell r="M391" t="str">
            <v>Mon</v>
          </cell>
          <cell r="N391" t="str">
            <v>Kyaikto</v>
          </cell>
          <cell r="O391" t="str">
            <v>Kyaikto</v>
          </cell>
          <cell r="P391" t="str">
            <v>Mon</v>
          </cell>
          <cell r="Q391" t="str">
            <v>22</v>
          </cell>
          <cell r="R391" t="str">
            <v>Kyaikto</v>
          </cell>
          <cell r="S391" t="str">
            <v>178</v>
          </cell>
          <cell r="T391" t="str">
            <v>GSM+UMTS</v>
          </cell>
          <cell r="W391" t="str">
            <v>Ph2-Priority</v>
          </cell>
          <cell r="X391" t="str">
            <v>45</v>
          </cell>
          <cell r="Y391" t="str">
            <v>47</v>
          </cell>
          <cell r="Z391" t="str">
            <v>GBT</v>
          </cell>
          <cell r="AA391" t="str">
            <v>500</v>
          </cell>
          <cell r="AB391" t="str">
            <v>Access</v>
          </cell>
          <cell r="AC391" t="str">
            <v>Class C</v>
          </cell>
          <cell r="BE391" t="str">
            <v>Route 2 Yangon -Mawlamyine</v>
          </cell>
          <cell r="BH391" t="str">
            <v>Leadcom</v>
          </cell>
          <cell r="BJ391">
            <v>42166</v>
          </cell>
          <cell r="BL391">
            <v>42171</v>
          </cell>
          <cell r="BT391">
            <v>42158</v>
          </cell>
          <cell r="BU391">
            <v>42178</v>
          </cell>
          <cell r="BV391">
            <v>42234</v>
          </cell>
          <cell r="BW391" t="str">
            <v>96.98046</v>
          </cell>
          <cell r="BX391" t="str">
            <v>17.31762</v>
          </cell>
          <cell r="BY391" t="str">
            <v>C1</v>
          </cell>
          <cell r="BZ391" t="str">
            <v>No.4 Quarter, Thein Ni Township, Shan State</v>
          </cell>
          <cell r="CA391" t="str">
            <v>U Sai Aung Myint</v>
          </cell>
          <cell r="CB391" t="str">
            <v>18 Aug 15:C1 SAR sub</v>
          </cell>
          <cell r="CC391" t="str">
            <v>GARDEN LAND</v>
          </cell>
          <cell r="CE391">
            <v>0</v>
          </cell>
          <cell r="CF391">
            <v>42179</v>
          </cell>
          <cell r="CG391">
            <v>42235</v>
          </cell>
          <cell r="CH391">
            <v>42181</v>
          </cell>
          <cell r="CJ391">
            <v>42206</v>
          </cell>
          <cell r="CK391" t="str">
            <v>35</v>
          </cell>
          <cell r="CL391" t="str">
            <v>37</v>
          </cell>
          <cell r="CM391" t="str">
            <v>40</v>
          </cell>
          <cell r="CN391">
            <v>0</v>
          </cell>
          <cell r="CO391">
            <v>42184</v>
          </cell>
          <cell r="CP391">
            <v>42208</v>
          </cell>
          <cell r="CQ391" t="str">
            <v>M1: grid power + battery</v>
          </cell>
          <cell r="CR391">
            <v>0</v>
          </cell>
          <cell r="CS391">
            <v>42185</v>
          </cell>
          <cell r="CT391">
            <v>42212</v>
          </cell>
          <cell r="CU391" t="str">
            <v>MO0362</v>
          </cell>
          <cell r="DH391">
            <v>0</v>
          </cell>
          <cell r="DI391">
            <v>42195</v>
          </cell>
          <cell r="DK391">
            <v>42192</v>
          </cell>
          <cell r="DM391">
            <v>42196</v>
          </cell>
          <cell r="DO391">
            <v>0</v>
          </cell>
          <cell r="DP391">
            <v>42195</v>
          </cell>
          <cell r="DT391">
            <v>0</v>
          </cell>
          <cell r="DU391">
            <v>42210</v>
          </cell>
          <cell r="DW391">
            <v>0</v>
          </cell>
          <cell r="DY391">
            <v>42196</v>
          </cell>
          <cell r="EA391" t="str">
            <v>Leadcom</v>
          </cell>
          <cell r="EJ391">
            <v>0</v>
          </cell>
          <cell r="EK391">
            <v>42213</v>
          </cell>
          <cell r="EM391">
            <v>42214</v>
          </cell>
          <cell r="EQ391">
            <v>42223</v>
          </cell>
          <cell r="EW391">
            <v>0</v>
          </cell>
          <cell r="EX391">
            <v>42237</v>
          </cell>
          <cell r="EZ391">
            <v>42233</v>
          </cell>
          <cell r="FB391">
            <v>42235</v>
          </cell>
          <cell r="FU391">
            <v>42237</v>
          </cell>
          <cell r="FW391">
            <v>42237</v>
          </cell>
          <cell r="GF391">
            <v>42219</v>
          </cell>
          <cell r="GJ391">
            <v>0</v>
          </cell>
          <cell r="GN391" t="str">
            <v>ERICSSON</v>
          </cell>
          <cell r="GS391" t="str">
            <v>4/4/4</v>
          </cell>
          <cell r="GU391" t="str">
            <v xml:space="preserve">		</v>
          </cell>
          <cell r="HD391">
            <v>1</v>
          </cell>
        </row>
        <row r="392">
          <cell r="A392" t="str">
            <v>MO0368</v>
          </cell>
          <cell r="B392" t="str">
            <v>ASMO_0205</v>
          </cell>
          <cell r="C392" t="str">
            <v>Apollo</v>
          </cell>
          <cell r="D392" t="str">
            <v>Robert</v>
          </cell>
          <cell r="F392" t="str">
            <v>Phyo Wai Maung</v>
          </cell>
          <cell r="G392" t="str">
            <v>Thant Zin Oo</v>
          </cell>
          <cell r="H392" t="str">
            <v>RED</v>
          </cell>
          <cell r="I392" t="str">
            <v>South</v>
          </cell>
          <cell r="J392" t="str">
            <v>97.5979</v>
          </cell>
          <cell r="K392" t="str">
            <v>16.06</v>
          </cell>
          <cell r="L392" t="str">
            <v>Rural</v>
          </cell>
          <cell r="M392" t="str">
            <v>Mon</v>
          </cell>
          <cell r="N392" t="str">
            <v>Thanbyuzayat</v>
          </cell>
          <cell r="O392" t="str">
            <v>Thanbyuzayat</v>
          </cell>
          <cell r="P392" t="str">
            <v>Mon</v>
          </cell>
          <cell r="Q392" t="str">
            <v>22</v>
          </cell>
          <cell r="R392" t="str">
            <v>Thanbyuzayat</v>
          </cell>
          <cell r="S392" t="str">
            <v>173</v>
          </cell>
          <cell r="T392" t="str">
            <v>GSM+UMTS</v>
          </cell>
          <cell r="W392" t="str">
            <v>Ph2-Priority</v>
          </cell>
          <cell r="X392" t="str">
            <v>45</v>
          </cell>
          <cell r="Y392" t="str">
            <v>47</v>
          </cell>
          <cell r="Z392" t="str">
            <v>GBT</v>
          </cell>
          <cell r="AA392" t="str">
            <v>500</v>
          </cell>
          <cell r="AB392" t="str">
            <v>Access</v>
          </cell>
          <cell r="AC392" t="str">
            <v>Class C</v>
          </cell>
          <cell r="BE392" t="str">
            <v>Route 13 Mawlamyine-Dawei</v>
          </cell>
          <cell r="BH392" t="str">
            <v>Leadcom</v>
          </cell>
          <cell r="BJ392">
            <v>42166</v>
          </cell>
          <cell r="BK392">
            <v>42170</v>
          </cell>
          <cell r="BL392">
            <v>42171</v>
          </cell>
          <cell r="BM392">
            <v>42177</v>
          </cell>
          <cell r="BT392">
            <v>63</v>
          </cell>
          <cell r="BU392">
            <v>42178</v>
          </cell>
          <cell r="BV392">
            <v>42241</v>
          </cell>
          <cell r="BW392" t="str">
            <v>97.59876</v>
          </cell>
          <cell r="BX392" t="str">
            <v>16.06167</v>
          </cell>
          <cell r="BY392" t="str">
            <v>C1</v>
          </cell>
          <cell r="BZ392" t="str">
            <v>Kyar Min Gyi village, Sadaung, Sagaing township, Sagaing division.</v>
          </cell>
          <cell r="CA392" t="str">
            <v>Daw Paw Ngwe;Kyar Min Gyi village, Sadaung, Sagaing township, Sagaing division;933678567</v>
          </cell>
          <cell r="CB392" t="str">
            <v>25 Aug 15: C1 SAR sub</v>
          </cell>
          <cell r="CC392" t="str">
            <v>GARDEN LAND</v>
          </cell>
          <cell r="CE392">
            <v>0</v>
          </cell>
          <cell r="CF392">
            <v>42179</v>
          </cell>
          <cell r="CG392">
            <v>42242</v>
          </cell>
          <cell r="CH392">
            <v>42181</v>
          </cell>
          <cell r="CJ392">
            <v>42174</v>
          </cell>
          <cell r="CK392" t="str">
            <v>45</v>
          </cell>
          <cell r="CL392" t="str">
            <v>47</v>
          </cell>
          <cell r="CM392" t="str">
            <v>50</v>
          </cell>
          <cell r="CN392">
            <v>0</v>
          </cell>
          <cell r="CO392">
            <v>42184</v>
          </cell>
          <cell r="CP392">
            <v>42176</v>
          </cell>
          <cell r="CQ392" t="str">
            <v>M1: grid power + battery</v>
          </cell>
          <cell r="CR392">
            <v>0</v>
          </cell>
          <cell r="CS392">
            <v>42185</v>
          </cell>
          <cell r="CT392">
            <v>42177</v>
          </cell>
          <cell r="CU392" t="str">
            <v>MO0368</v>
          </cell>
          <cell r="DH392">
            <v>0</v>
          </cell>
          <cell r="DI392">
            <v>42195</v>
          </cell>
          <cell r="DJ392">
            <v>42192</v>
          </cell>
          <cell r="DK392">
            <v>42192</v>
          </cell>
          <cell r="DL392">
            <v>42172</v>
          </cell>
          <cell r="DM392">
            <v>42196</v>
          </cell>
          <cell r="DN392">
            <v>42193</v>
          </cell>
          <cell r="DO392">
            <v>0</v>
          </cell>
          <cell r="DP392">
            <v>42195</v>
          </cell>
          <cell r="DQ392">
            <v>42192</v>
          </cell>
          <cell r="DT392">
            <v>0</v>
          </cell>
          <cell r="DU392">
            <v>42210</v>
          </cell>
          <cell r="DW392">
            <v>0</v>
          </cell>
          <cell r="DY392">
            <v>42196</v>
          </cell>
          <cell r="DZ392">
            <v>42193</v>
          </cell>
          <cell r="EA392" t="str">
            <v>Leadcom</v>
          </cell>
          <cell r="ED392" t="str">
            <v xml:space="preserve">13Aug15 :KyawZay.Yar: Column form work done.Column casting will started tomorrow.
</v>
          </cell>
          <cell r="EJ392">
            <v>0</v>
          </cell>
          <cell r="EK392">
            <v>42213</v>
          </cell>
          <cell r="EL392">
            <v>42229</v>
          </cell>
          <cell r="EM392">
            <v>42214</v>
          </cell>
          <cell r="EN392">
            <v>42235</v>
          </cell>
          <cell r="EQ392">
            <v>42223</v>
          </cell>
          <cell r="ES392">
            <v>42234</v>
          </cell>
          <cell r="EW392">
            <v>0</v>
          </cell>
          <cell r="EX392">
            <v>42237</v>
          </cell>
          <cell r="EZ392">
            <v>42233</v>
          </cell>
          <cell r="FB392">
            <v>42235</v>
          </cell>
          <cell r="FU392">
            <v>42237</v>
          </cell>
          <cell r="FW392">
            <v>42237</v>
          </cell>
          <cell r="GJ392">
            <v>0</v>
          </cell>
          <cell r="GN392" t="str">
            <v>ERICSSON</v>
          </cell>
          <cell r="GP392">
            <v>42207</v>
          </cell>
          <cell r="GS392" t="str">
            <v>4/4/4</v>
          </cell>
          <cell r="GU392" t="str">
            <v xml:space="preserve">		</v>
          </cell>
          <cell r="HD392">
            <v>1</v>
          </cell>
        </row>
        <row r="393">
          <cell r="A393" t="str">
            <v>MO0369</v>
          </cell>
          <cell r="B393" t="str">
            <v>ASMO_0206</v>
          </cell>
          <cell r="C393" t="str">
            <v>Apollo</v>
          </cell>
          <cell r="D393" t="str">
            <v>Robert</v>
          </cell>
          <cell r="F393" t="str">
            <v>Phyo Wai Maung</v>
          </cell>
          <cell r="G393" t="str">
            <v>Thant Zin Oo</v>
          </cell>
          <cell r="H393" t="str">
            <v>AMBER</v>
          </cell>
          <cell r="I393" t="str">
            <v>South</v>
          </cell>
          <cell r="J393" t="str">
            <v>97.2522</v>
          </cell>
          <cell r="K393" t="str">
            <v>17.2062</v>
          </cell>
          <cell r="L393" t="str">
            <v>Rural</v>
          </cell>
          <cell r="M393" t="str">
            <v>Mon</v>
          </cell>
          <cell r="N393" t="str">
            <v>Bilin</v>
          </cell>
          <cell r="O393" t="str">
            <v>Bilin</v>
          </cell>
          <cell r="P393" t="str">
            <v>Mon</v>
          </cell>
          <cell r="Q393" t="str">
            <v>22</v>
          </cell>
          <cell r="R393" t="str">
            <v>Bilin</v>
          </cell>
          <cell r="S393" t="str">
            <v>179</v>
          </cell>
          <cell r="T393" t="str">
            <v>GSM+UMTS</v>
          </cell>
          <cell r="W393" t="str">
            <v>Ph2-Priority</v>
          </cell>
          <cell r="X393" t="str">
            <v>45</v>
          </cell>
          <cell r="Y393" t="str">
            <v>47</v>
          </cell>
          <cell r="Z393" t="str">
            <v>GBT</v>
          </cell>
          <cell r="AA393" t="str">
            <v>250</v>
          </cell>
          <cell r="AB393" t="str">
            <v>Access</v>
          </cell>
          <cell r="AC393" t="str">
            <v>Class C</v>
          </cell>
          <cell r="BE393" t="str">
            <v>Route 2 Yangon -Mawlamyine</v>
          </cell>
          <cell r="BH393" t="str">
            <v>Leadcom</v>
          </cell>
          <cell r="BJ393">
            <v>42165</v>
          </cell>
          <cell r="BK393">
            <v>42165</v>
          </cell>
          <cell r="BL393">
            <v>42170</v>
          </cell>
          <cell r="BM393">
            <v>42165</v>
          </cell>
          <cell r="BT393">
            <v>10</v>
          </cell>
          <cell r="BU393">
            <v>42259</v>
          </cell>
          <cell r="BV393">
            <v>42175</v>
          </cell>
          <cell r="BW393" t="str">
            <v>97.25284</v>
          </cell>
          <cell r="BX393" t="str">
            <v>17.20581</v>
          </cell>
          <cell r="BY393" t="str">
            <v>C1</v>
          </cell>
          <cell r="BZ393" t="str">
            <v>Dock Yat Village Kwin, Kwin No 315(ka),Holding No 142, Dock Yat Village,Belin Tsp,Tha thone Disrtice,Mon State.</v>
          </cell>
          <cell r="CA393" t="str">
            <v>U Tin Aye;9792572736</v>
          </cell>
          <cell r="CB393" t="str">
            <v>20Jun15: C1 SAR Sub</v>
          </cell>
          <cell r="CE393">
            <v>3</v>
          </cell>
          <cell r="CF393">
            <v>42260</v>
          </cell>
          <cell r="CG393">
            <v>42178</v>
          </cell>
          <cell r="CH393">
            <v>42262</v>
          </cell>
          <cell r="CJ393">
            <v>42189</v>
          </cell>
          <cell r="CK393" t="str">
            <v>45</v>
          </cell>
          <cell r="CL393" t="str">
            <v>47</v>
          </cell>
          <cell r="CM393" t="str">
            <v>50</v>
          </cell>
          <cell r="CN393">
            <v>13</v>
          </cell>
          <cell r="CO393">
            <v>42265</v>
          </cell>
          <cell r="CP393">
            <v>42191</v>
          </cell>
          <cell r="CQ393" t="str">
            <v>M1: grid power + battery</v>
          </cell>
          <cell r="CR393">
            <v>1</v>
          </cell>
          <cell r="CS393">
            <v>42266</v>
          </cell>
          <cell r="CT393">
            <v>42192</v>
          </cell>
          <cell r="CU393" t="str">
            <v>MO0369</v>
          </cell>
          <cell r="DH393">
            <v>41</v>
          </cell>
          <cell r="DI393">
            <v>42276</v>
          </cell>
          <cell r="DK393">
            <v>42273</v>
          </cell>
          <cell r="DM393">
            <v>42277</v>
          </cell>
          <cell r="DO393">
            <v>0</v>
          </cell>
          <cell r="DP393">
            <v>42276</v>
          </cell>
          <cell r="DT393">
            <v>0</v>
          </cell>
          <cell r="DU393">
            <v>42291</v>
          </cell>
          <cell r="DW393">
            <v>0</v>
          </cell>
          <cell r="DY393">
            <v>42277</v>
          </cell>
          <cell r="DZ393">
            <v>42208</v>
          </cell>
          <cell r="EA393" t="str">
            <v>Leadcom</v>
          </cell>
          <cell r="ED393" t="str">
            <v xml:space="preserve">17Aug15 :ThantZin.Oo: 11/8/15 : Even site cleaning is not started . No activity .
</v>
          </cell>
          <cell r="EE393" t="str">
            <v xml:space="preserve">10 Aug 15:Rain affected_Progress affected; 3-Aug-15: Rain Affected								</v>
          </cell>
          <cell r="EJ393">
            <v>25</v>
          </cell>
          <cell r="EK393">
            <v>42294</v>
          </cell>
          <cell r="EM393">
            <v>42295</v>
          </cell>
          <cell r="EQ393">
            <v>42304</v>
          </cell>
          <cell r="EW393">
            <v>25</v>
          </cell>
          <cell r="EX393">
            <v>42318</v>
          </cell>
          <cell r="EZ393">
            <v>42314</v>
          </cell>
          <cell r="FB393">
            <v>42316</v>
          </cell>
          <cell r="FU393">
            <v>42318</v>
          </cell>
          <cell r="FW393">
            <v>42318</v>
          </cell>
          <cell r="GI393">
            <v>42307</v>
          </cell>
          <cell r="GJ393" t="str">
            <v>44-2015</v>
          </cell>
          <cell r="GN393" t="str">
            <v>ERICSSON</v>
          </cell>
          <cell r="GS393" t="str">
            <v>4/4/4</v>
          </cell>
          <cell r="GU393" t="str">
            <v xml:space="preserve">		</v>
          </cell>
          <cell r="HD393">
            <v>1</v>
          </cell>
        </row>
        <row r="394">
          <cell r="A394" t="str">
            <v>MO0370</v>
          </cell>
          <cell r="B394" t="str">
            <v>ASMO_0207</v>
          </cell>
          <cell r="C394" t="str">
            <v>Apollo</v>
          </cell>
          <cell r="D394" t="str">
            <v>Robert</v>
          </cell>
          <cell r="F394" t="str">
            <v>Phyo Wai Maung</v>
          </cell>
          <cell r="G394" t="str">
            <v>Thant Zin Oo</v>
          </cell>
          <cell r="H394" t="str">
            <v>RED</v>
          </cell>
          <cell r="I394" t="str">
            <v>South</v>
          </cell>
          <cell r="J394" t="str">
            <v>97.1667</v>
          </cell>
          <cell r="K394" t="str">
            <v>17.1648</v>
          </cell>
          <cell r="L394" t="str">
            <v>Rural</v>
          </cell>
          <cell r="M394" t="str">
            <v>Mon</v>
          </cell>
          <cell r="N394" t="str">
            <v>Bilin</v>
          </cell>
          <cell r="O394" t="str">
            <v>Bilin</v>
          </cell>
          <cell r="P394" t="str">
            <v>Mon</v>
          </cell>
          <cell r="Q394" t="str">
            <v>22</v>
          </cell>
          <cell r="R394" t="str">
            <v>Bilin</v>
          </cell>
          <cell r="S394" t="str">
            <v>179</v>
          </cell>
          <cell r="T394" t="str">
            <v>GSM+UMTS</v>
          </cell>
          <cell r="W394" t="str">
            <v>Ph2-Priority</v>
          </cell>
          <cell r="X394" t="str">
            <v>45</v>
          </cell>
          <cell r="Y394" t="str">
            <v>47</v>
          </cell>
          <cell r="Z394" t="str">
            <v>GBT</v>
          </cell>
          <cell r="AA394" t="str">
            <v>500</v>
          </cell>
          <cell r="AB394" t="str">
            <v>Access</v>
          </cell>
          <cell r="AC394" t="str">
            <v>Class C</v>
          </cell>
          <cell r="BE394" t="str">
            <v>Route 2 Yangon -Mawlamyine</v>
          </cell>
          <cell r="BH394" t="str">
            <v>Camusat</v>
          </cell>
          <cell r="BJ394">
            <v>42165</v>
          </cell>
          <cell r="BK394">
            <v>42158</v>
          </cell>
          <cell r="BL394">
            <v>42170</v>
          </cell>
          <cell r="BM394">
            <v>42165</v>
          </cell>
          <cell r="BT394">
            <v>75</v>
          </cell>
          <cell r="BU394">
            <v>42259</v>
          </cell>
          <cell r="BV394">
            <v>42237</v>
          </cell>
          <cell r="BW394" t="str">
            <v>97.169</v>
          </cell>
          <cell r="BX394" t="str">
            <v>17.16678</v>
          </cell>
          <cell r="BY394" t="str">
            <v>Reject</v>
          </cell>
          <cell r="BZ394" t="str">
            <v>Yaw Su (Ywar Thit)village,Pwint Phyu Township.</v>
          </cell>
          <cell r="CA394" t="str">
            <v>U Win;Yaw Su(Ywar Thit),Thayet Oak Group,Pwintbyu Tsp;9.401594341</v>
          </cell>
          <cell r="CB394" t="str">
            <v>24 June 15 : C3 SAR rejected(RND rejected this candidate because it is 770m far from the nominal outside the search ring and it is far from population area. Please find the candidate within the search ring.);20Jun15: C3 SAR Sub. C1 to C2 Rejected by AT</v>
          </cell>
          <cell r="CC394" t="str">
            <v>GARDEN LAND</v>
          </cell>
          <cell r="CE394">
            <v>0</v>
          </cell>
          <cell r="CF394">
            <v>42260</v>
          </cell>
          <cell r="CG394">
            <v>42240</v>
          </cell>
          <cell r="CH394">
            <v>42262</v>
          </cell>
          <cell r="CJ394">
            <v>42188</v>
          </cell>
          <cell r="CK394" t="str">
            <v>35</v>
          </cell>
          <cell r="CL394" t="str">
            <v>37</v>
          </cell>
          <cell r="CM394" t="str">
            <v>45</v>
          </cell>
          <cell r="CN394">
            <v>0</v>
          </cell>
          <cell r="CO394">
            <v>42265</v>
          </cell>
          <cell r="CP394">
            <v>42190</v>
          </cell>
          <cell r="CQ394" t="str">
            <v>M1: grid power + battery</v>
          </cell>
          <cell r="CR394">
            <v>0</v>
          </cell>
          <cell r="CS394">
            <v>42266</v>
          </cell>
          <cell r="CT394">
            <v>42191</v>
          </cell>
          <cell r="CU394" t="str">
            <v>MO0370</v>
          </cell>
          <cell r="DH394">
            <v>0</v>
          </cell>
          <cell r="DI394">
            <v>42276</v>
          </cell>
          <cell r="DK394">
            <v>42273</v>
          </cell>
          <cell r="DL394">
            <v>42192</v>
          </cell>
          <cell r="DM394">
            <v>42277</v>
          </cell>
          <cell r="DN394">
            <v>42201</v>
          </cell>
          <cell r="DO394">
            <v>0</v>
          </cell>
          <cell r="DP394">
            <v>42276</v>
          </cell>
          <cell r="DT394">
            <v>0</v>
          </cell>
          <cell r="DU394">
            <v>42291</v>
          </cell>
          <cell r="DW394">
            <v>0</v>
          </cell>
          <cell r="DY394">
            <v>42277</v>
          </cell>
          <cell r="DZ394">
            <v>42200</v>
          </cell>
          <cell r="EA394" t="str">
            <v>Leadcom</v>
          </cell>
          <cell r="EB394">
            <v>42213</v>
          </cell>
          <cell r="EE394" t="str">
            <v xml:space="preserve">10 Aug 15:Flood affected_Hold-No access; 28-Jul-15: Flooded access or site is flooded_ we canÆt proceed to this site for now								</v>
          </cell>
          <cell r="EJ394">
            <v>0</v>
          </cell>
          <cell r="EK394">
            <v>42294</v>
          </cell>
          <cell r="EM394">
            <v>42295</v>
          </cell>
          <cell r="EQ394">
            <v>42304</v>
          </cell>
          <cell r="EW394">
            <v>0</v>
          </cell>
          <cell r="EX394">
            <v>42318</v>
          </cell>
          <cell r="EZ394">
            <v>42314</v>
          </cell>
          <cell r="FB394">
            <v>42316</v>
          </cell>
          <cell r="FU394">
            <v>42318</v>
          </cell>
          <cell r="FW394">
            <v>42318</v>
          </cell>
          <cell r="GJ394">
            <v>0</v>
          </cell>
          <cell r="GN394" t="str">
            <v>ERICSSON</v>
          </cell>
          <cell r="GO394">
            <v>42150</v>
          </cell>
          <cell r="GS394" t="str">
            <v>4/4/4</v>
          </cell>
          <cell r="GU394" t="str">
            <v xml:space="preserve">		</v>
          </cell>
          <cell r="HD394">
            <v>1</v>
          </cell>
        </row>
        <row r="395">
          <cell r="A395" t="str">
            <v>MO0371</v>
          </cell>
          <cell r="B395" t="str">
            <v>ASMO_0208</v>
          </cell>
          <cell r="C395" t="str">
            <v>Apollo</v>
          </cell>
          <cell r="D395" t="str">
            <v>Robert</v>
          </cell>
          <cell r="F395" t="str">
            <v>Phyo Wai Maung</v>
          </cell>
          <cell r="G395" t="str">
            <v>Thant Zin Oo</v>
          </cell>
          <cell r="H395" t="str">
            <v>RED</v>
          </cell>
          <cell r="I395" t="str">
            <v>South</v>
          </cell>
          <cell r="J395" t="str">
            <v>97.099031</v>
          </cell>
          <cell r="K395" t="str">
            <v>17.202102</v>
          </cell>
          <cell r="L395" t="str">
            <v>Rural</v>
          </cell>
          <cell r="M395" t="str">
            <v>Mon</v>
          </cell>
          <cell r="N395" t="str">
            <v>Bilin</v>
          </cell>
          <cell r="O395" t="str">
            <v>Bilin</v>
          </cell>
          <cell r="P395" t="str">
            <v>Mon</v>
          </cell>
          <cell r="Q395" t="str">
            <v>22</v>
          </cell>
          <cell r="R395" t="str">
            <v>Bilin</v>
          </cell>
          <cell r="S395" t="str">
            <v>179</v>
          </cell>
          <cell r="T395" t="str">
            <v>GSM+UMTS</v>
          </cell>
          <cell r="W395" t="str">
            <v>Ph2-Priority</v>
          </cell>
          <cell r="X395" t="str">
            <v>45</v>
          </cell>
          <cell r="Y395" t="str">
            <v>47</v>
          </cell>
          <cell r="Z395" t="str">
            <v>GBT</v>
          </cell>
          <cell r="AA395" t="str">
            <v>500</v>
          </cell>
          <cell r="AB395" t="str">
            <v>Access</v>
          </cell>
          <cell r="AC395" t="str">
            <v>Class C</v>
          </cell>
          <cell r="BE395" t="str">
            <v>Route 2 Yangon -Mawlamyine</v>
          </cell>
          <cell r="BH395" t="str">
            <v>Leadcom</v>
          </cell>
          <cell r="BJ395">
            <v>42166</v>
          </cell>
          <cell r="BK395">
            <v>42166</v>
          </cell>
          <cell r="BL395">
            <v>42171</v>
          </cell>
          <cell r="BM395">
            <v>42173</v>
          </cell>
          <cell r="BT395">
            <v>57</v>
          </cell>
          <cell r="BU395">
            <v>42259</v>
          </cell>
          <cell r="BV395">
            <v>42223</v>
          </cell>
          <cell r="BW395" t="str">
            <v>97.09896</v>
          </cell>
          <cell r="BX395" t="str">
            <v>17.20217</v>
          </cell>
          <cell r="BY395" t="str">
            <v>C1</v>
          </cell>
          <cell r="BZ395" t="str">
            <v>Upper Ring Ywar, Kwin No. 215, King Ywar Village, King Ywar Village Tract,Belin Township, Thathon Districe, Mon State.</v>
          </cell>
          <cell r="CA395" t="str">
            <v>U Kyi Soe, 9793742472</v>
          </cell>
          <cell r="CB395" t="str">
            <v>7 Aug 15 : C1 SAR sub</v>
          </cell>
          <cell r="CC395" t="str">
            <v>GARDEN LAND</v>
          </cell>
          <cell r="CE395">
            <v>3</v>
          </cell>
          <cell r="CF395">
            <v>42260</v>
          </cell>
          <cell r="CG395">
            <v>42226</v>
          </cell>
          <cell r="CH395">
            <v>42262</v>
          </cell>
          <cell r="CJ395">
            <v>42227</v>
          </cell>
          <cell r="CK395" t="str">
            <v>45</v>
          </cell>
          <cell r="CL395" t="str">
            <v>47</v>
          </cell>
          <cell r="CM395" t="str">
            <v>50</v>
          </cell>
          <cell r="CN395">
            <v>3</v>
          </cell>
          <cell r="CO395">
            <v>42265</v>
          </cell>
          <cell r="CP395">
            <v>42229</v>
          </cell>
          <cell r="CQ395" t="str">
            <v>M1: grid power + battery</v>
          </cell>
          <cell r="CR395">
            <v>4</v>
          </cell>
          <cell r="CS395">
            <v>42266</v>
          </cell>
          <cell r="CT395">
            <v>42233</v>
          </cell>
          <cell r="CU395" t="str">
            <v>MO0371</v>
          </cell>
          <cell r="DH395">
            <v>0</v>
          </cell>
          <cell r="DI395">
            <v>42276</v>
          </cell>
          <cell r="DJ395">
            <v>42195</v>
          </cell>
          <cell r="DK395">
            <v>42273</v>
          </cell>
          <cell r="DL395">
            <v>42189</v>
          </cell>
          <cell r="DM395">
            <v>42277</v>
          </cell>
          <cell r="DN395">
            <v>42199</v>
          </cell>
          <cell r="DO395">
            <v>0</v>
          </cell>
          <cell r="DP395">
            <v>42276</v>
          </cell>
          <cell r="DQ395">
            <v>42195</v>
          </cell>
          <cell r="DT395">
            <v>0</v>
          </cell>
          <cell r="DU395">
            <v>42291</v>
          </cell>
          <cell r="DW395">
            <v>0</v>
          </cell>
          <cell r="DY395">
            <v>42277</v>
          </cell>
          <cell r="DZ395">
            <v>42244</v>
          </cell>
          <cell r="EA395" t="str">
            <v>Leadcom</v>
          </cell>
          <cell r="ED395" t="str">
            <v xml:space="preserve">17Aug15 :SiThu.Moe: 11/8/15:CW not start yet.
</v>
          </cell>
          <cell r="EE395" t="str">
            <v xml:space="preserve">10 Aug 15:Rain affected_Progress affected; 2-Aug-15: CW started and neighbour issue resolved								</v>
          </cell>
          <cell r="EJ395">
            <v>0</v>
          </cell>
          <cell r="EK395">
            <v>42294</v>
          </cell>
          <cell r="EM395">
            <v>42295</v>
          </cell>
          <cell r="EQ395">
            <v>42304</v>
          </cell>
          <cell r="EW395">
            <v>0</v>
          </cell>
          <cell r="EX395">
            <v>42318</v>
          </cell>
          <cell r="EZ395">
            <v>42314</v>
          </cell>
          <cell r="FB395">
            <v>42316</v>
          </cell>
          <cell r="FU395">
            <v>42318</v>
          </cell>
          <cell r="FW395">
            <v>42318</v>
          </cell>
          <cell r="GJ395">
            <v>0</v>
          </cell>
          <cell r="GN395" t="str">
            <v>ERICSSON</v>
          </cell>
          <cell r="GS395" t="str">
            <v>4/4/4</v>
          </cell>
          <cell r="GU395" t="str">
            <v xml:space="preserve">		</v>
          </cell>
          <cell r="HD395">
            <v>1</v>
          </cell>
        </row>
        <row r="396">
          <cell r="A396" t="str">
            <v>MO0375</v>
          </cell>
          <cell r="B396" t="str">
            <v>ASMO_0141</v>
          </cell>
          <cell r="C396" t="str">
            <v>Apollo</v>
          </cell>
          <cell r="D396" t="str">
            <v>Robert</v>
          </cell>
          <cell r="F396" t="str">
            <v>Phyo Wai Maung</v>
          </cell>
          <cell r="G396" t="str">
            <v>Thant Zin Oo</v>
          </cell>
          <cell r="H396" t="str">
            <v>RED</v>
          </cell>
          <cell r="I396" t="str">
            <v>South</v>
          </cell>
          <cell r="J396" t="str">
            <v>97.398</v>
          </cell>
          <cell r="K396" t="str">
            <v>16.9119</v>
          </cell>
          <cell r="L396" t="str">
            <v>Rural</v>
          </cell>
          <cell r="M396" t="str">
            <v>Mon</v>
          </cell>
          <cell r="N396" t="str">
            <v>Thaton</v>
          </cell>
          <cell r="O396" t="str">
            <v>Thaton</v>
          </cell>
          <cell r="P396" t="str">
            <v>Mon</v>
          </cell>
          <cell r="Q396" t="str">
            <v>22</v>
          </cell>
          <cell r="R396" t="str">
            <v>Thaton</v>
          </cell>
          <cell r="S396" t="str">
            <v>176</v>
          </cell>
          <cell r="T396" t="str">
            <v>GSM+UMTS</v>
          </cell>
          <cell r="W396" t="str">
            <v>Ph2-Priority</v>
          </cell>
          <cell r="X396" t="str">
            <v>45</v>
          </cell>
          <cell r="Y396" t="str">
            <v>47</v>
          </cell>
          <cell r="AA396" t="str">
            <v>250</v>
          </cell>
          <cell r="AB396" t="str">
            <v>Access</v>
          </cell>
          <cell r="AC396" t="str">
            <v>Class C</v>
          </cell>
          <cell r="BE396" t="str">
            <v>Route 2 Yangon -Mawlamyine</v>
          </cell>
          <cell r="BH396" t="str">
            <v>Leadcom</v>
          </cell>
          <cell r="BJ396">
            <v>42164</v>
          </cell>
          <cell r="BL396">
            <v>42169</v>
          </cell>
          <cell r="BT396">
            <v>42158</v>
          </cell>
          <cell r="BU396">
            <v>42182</v>
          </cell>
          <cell r="CE396">
            <v>0</v>
          </cell>
          <cell r="CF396">
            <v>42183</v>
          </cell>
          <cell r="CH396">
            <v>42185</v>
          </cell>
          <cell r="CN396">
            <v>0</v>
          </cell>
          <cell r="CO396">
            <v>42188</v>
          </cell>
          <cell r="CR396">
            <v>0</v>
          </cell>
          <cell r="CS396">
            <v>42189</v>
          </cell>
          <cell r="CU396" t="str">
            <v>MO0375</v>
          </cell>
          <cell r="DH396">
            <v>0</v>
          </cell>
          <cell r="DI396">
            <v>42199</v>
          </cell>
          <cell r="DK396">
            <v>42196</v>
          </cell>
          <cell r="DM396">
            <v>42200</v>
          </cell>
          <cell r="DO396">
            <v>0</v>
          </cell>
          <cell r="DP396">
            <v>42199</v>
          </cell>
          <cell r="DT396">
            <v>0</v>
          </cell>
          <cell r="DU396">
            <v>42214</v>
          </cell>
          <cell r="DW396">
            <v>0</v>
          </cell>
          <cell r="DY396">
            <v>42200</v>
          </cell>
          <cell r="EA396" t="str">
            <v>Leadcom</v>
          </cell>
          <cell r="EJ396">
            <v>0</v>
          </cell>
          <cell r="EK396">
            <v>42217</v>
          </cell>
          <cell r="EM396">
            <v>42218</v>
          </cell>
          <cell r="EQ396">
            <v>42227</v>
          </cell>
          <cell r="EW396">
            <v>0</v>
          </cell>
          <cell r="EX396">
            <v>42263</v>
          </cell>
          <cell r="EZ396">
            <v>42237</v>
          </cell>
          <cell r="FB396">
            <v>42239</v>
          </cell>
          <cell r="FU396">
            <v>42241</v>
          </cell>
          <cell r="FW396">
            <v>42241</v>
          </cell>
          <cell r="GJ396">
            <v>0</v>
          </cell>
          <cell r="GN396" t="str">
            <v>ERICSSON</v>
          </cell>
          <cell r="GS396" t="str">
            <v>4/4/4</v>
          </cell>
          <cell r="GU396" t="str">
            <v xml:space="preserve">		</v>
          </cell>
          <cell r="HD396">
            <v>1</v>
          </cell>
        </row>
        <row r="397">
          <cell r="A397" t="str">
            <v>MO0376</v>
          </cell>
          <cell r="B397" t="str">
            <v>ASMO_0142</v>
          </cell>
          <cell r="C397" t="str">
            <v>Apollo</v>
          </cell>
          <cell r="D397" t="str">
            <v>Robert</v>
          </cell>
          <cell r="F397" t="str">
            <v>Phyo Wai Maung</v>
          </cell>
          <cell r="G397" t="str">
            <v>Thant Zin Oo</v>
          </cell>
          <cell r="H397" t="str">
            <v>AMBER</v>
          </cell>
          <cell r="I397" t="str">
            <v>South</v>
          </cell>
          <cell r="J397" t="str">
            <v>97.383</v>
          </cell>
          <cell r="K397" t="str">
            <v>16.8876</v>
          </cell>
          <cell r="L397" t="str">
            <v>Rural</v>
          </cell>
          <cell r="M397" t="str">
            <v>Mon</v>
          </cell>
          <cell r="N397" t="str">
            <v>Thaton</v>
          </cell>
          <cell r="O397" t="str">
            <v>Thaton</v>
          </cell>
          <cell r="P397" t="str">
            <v>Mon</v>
          </cell>
          <cell r="Q397" t="str">
            <v>22</v>
          </cell>
          <cell r="R397" t="str">
            <v>Thaton</v>
          </cell>
          <cell r="S397" t="str">
            <v>176</v>
          </cell>
          <cell r="T397" t="str">
            <v>GSM+UMTS</v>
          </cell>
          <cell r="W397" t="str">
            <v>Ph2-Priority</v>
          </cell>
          <cell r="X397" t="str">
            <v>45</v>
          </cell>
          <cell r="Y397" t="str">
            <v>47</v>
          </cell>
          <cell r="Z397" t="str">
            <v>GBT</v>
          </cell>
          <cell r="AA397" t="str">
            <v>250</v>
          </cell>
          <cell r="AB397" t="str">
            <v>Access</v>
          </cell>
          <cell r="AC397" t="str">
            <v>Class C</v>
          </cell>
          <cell r="BE397" t="str">
            <v>Route 2 Yangon -Mawlamyine</v>
          </cell>
          <cell r="BH397" t="str">
            <v>Leadcom</v>
          </cell>
          <cell r="BJ397">
            <v>42164</v>
          </cell>
          <cell r="BK397">
            <v>42140</v>
          </cell>
          <cell r="BL397">
            <v>42169</v>
          </cell>
          <cell r="BM397">
            <v>42173</v>
          </cell>
          <cell r="BT397">
            <v>39</v>
          </cell>
          <cell r="BU397">
            <v>42182</v>
          </cell>
          <cell r="BV397">
            <v>42179</v>
          </cell>
          <cell r="BW397" t="str">
            <v>97.38315</v>
          </cell>
          <cell r="BX397" t="str">
            <v>16.88669</v>
          </cell>
          <cell r="BY397" t="str">
            <v>C2</v>
          </cell>
          <cell r="BZ397" t="str">
            <v>Taw Ya Village, God Village Group, Tha Htone Tsp, Mon State</v>
          </cell>
          <cell r="CA397" t="str">
            <v>U Pi Nyaw Ba Tha;98632069</v>
          </cell>
          <cell r="CB397" t="str">
            <v>12Jun15: C1 SAR Sub</v>
          </cell>
          <cell r="CC397" t="str">
            <v>RESIDENTIAL</v>
          </cell>
          <cell r="CE397">
            <v>2</v>
          </cell>
          <cell r="CF397">
            <v>42183</v>
          </cell>
          <cell r="CG397">
            <v>42181</v>
          </cell>
          <cell r="CH397">
            <v>42185</v>
          </cell>
          <cell r="CJ397">
            <v>42189</v>
          </cell>
          <cell r="CK397" t="str">
            <v>45</v>
          </cell>
          <cell r="CL397" t="str">
            <v>47</v>
          </cell>
          <cell r="CM397" t="str">
            <v>50</v>
          </cell>
          <cell r="CN397">
            <v>10</v>
          </cell>
          <cell r="CO397">
            <v>42188</v>
          </cell>
          <cell r="CP397">
            <v>42191</v>
          </cell>
          <cell r="CQ397" t="str">
            <v>M1: grid power + battery</v>
          </cell>
          <cell r="CR397">
            <v>1</v>
          </cell>
          <cell r="CS397">
            <v>42189</v>
          </cell>
          <cell r="CT397">
            <v>42192</v>
          </cell>
          <cell r="CU397" t="str">
            <v>MO0376</v>
          </cell>
          <cell r="DH397">
            <v>9</v>
          </cell>
          <cell r="DI397">
            <v>42199</v>
          </cell>
          <cell r="DJ397">
            <v>42201</v>
          </cell>
          <cell r="DK397">
            <v>42196</v>
          </cell>
          <cell r="DL397">
            <v>42207</v>
          </cell>
          <cell r="DM397">
            <v>42200</v>
          </cell>
          <cell r="DO397">
            <v>0</v>
          </cell>
          <cell r="DP397">
            <v>42199</v>
          </cell>
          <cell r="DQ397">
            <v>42201</v>
          </cell>
          <cell r="DT397">
            <v>32</v>
          </cell>
          <cell r="DU397">
            <v>42214</v>
          </cell>
          <cell r="DW397">
            <v>0</v>
          </cell>
          <cell r="DY397">
            <v>42200</v>
          </cell>
          <cell r="DZ397">
            <v>42203</v>
          </cell>
          <cell r="EA397" t="str">
            <v>Leadcom</v>
          </cell>
          <cell r="EB397">
            <v>42220</v>
          </cell>
          <cell r="ED397" t="str">
            <v xml:space="preserve">17Aug15 :ThantZin.Oo: 8/8/15 : Excavation started . 12/8/115 : Footing rebar-work in progress .
</v>
          </cell>
          <cell r="EE397" t="str">
            <v xml:space="preserve">10 Aug 15:Rain affected_Progress affected; 3-Aug-15: Rain Affected								</v>
          </cell>
          <cell r="EJ397">
            <v>30</v>
          </cell>
          <cell r="EK397">
            <v>42217</v>
          </cell>
          <cell r="EL397">
            <v>42233</v>
          </cell>
          <cell r="EM397">
            <v>42218</v>
          </cell>
          <cell r="EQ397">
            <v>42227</v>
          </cell>
          <cell r="EW397">
            <v>30</v>
          </cell>
          <cell r="EX397">
            <v>42263</v>
          </cell>
          <cell r="EZ397">
            <v>42237</v>
          </cell>
          <cell r="FB397">
            <v>42239</v>
          </cell>
          <cell r="FU397">
            <v>42241</v>
          </cell>
          <cell r="FW397">
            <v>42241</v>
          </cell>
          <cell r="GF397">
            <v>42144</v>
          </cell>
          <cell r="GI397">
            <v>42307</v>
          </cell>
          <cell r="GJ397" t="str">
            <v>44-2015</v>
          </cell>
          <cell r="GN397" t="str">
            <v>ERICSSON</v>
          </cell>
          <cell r="GS397" t="str">
            <v>4/4/4</v>
          </cell>
          <cell r="GU397" t="str">
            <v xml:space="preserve">		</v>
          </cell>
          <cell r="HD397">
            <v>1</v>
          </cell>
        </row>
        <row r="398">
          <cell r="A398" t="str">
            <v>MO0384</v>
          </cell>
          <cell r="B398" t="str">
            <v>ASMO_0150</v>
          </cell>
          <cell r="C398" t="str">
            <v>Apollo</v>
          </cell>
          <cell r="D398" t="str">
            <v>Robert</v>
          </cell>
          <cell r="F398" t="str">
            <v>Phyo Wai Maung</v>
          </cell>
          <cell r="G398" t="str">
            <v>Thant Zin Oo</v>
          </cell>
          <cell r="H398" t="str">
            <v>RED</v>
          </cell>
          <cell r="I398" t="str">
            <v>South</v>
          </cell>
          <cell r="J398" t="str">
            <v>97.6004</v>
          </cell>
          <cell r="K398" t="str">
            <v>16.561</v>
          </cell>
          <cell r="L398" t="str">
            <v>Rural</v>
          </cell>
          <cell r="M398" t="str">
            <v>Mon</v>
          </cell>
          <cell r="N398" t="str">
            <v>Paung</v>
          </cell>
          <cell r="O398" t="str">
            <v>Paung</v>
          </cell>
          <cell r="P398" t="str">
            <v>Mon</v>
          </cell>
          <cell r="Q398" t="str">
            <v>22</v>
          </cell>
          <cell r="R398" t="str">
            <v>Paung</v>
          </cell>
          <cell r="S398" t="str">
            <v>177</v>
          </cell>
          <cell r="T398" t="str">
            <v>GSM+UMTS</v>
          </cell>
          <cell r="W398" t="str">
            <v>Ph2-Priority</v>
          </cell>
          <cell r="X398" t="str">
            <v>45</v>
          </cell>
          <cell r="Y398" t="str">
            <v>47</v>
          </cell>
          <cell r="Z398" t="str">
            <v>GBT</v>
          </cell>
          <cell r="AA398" t="str">
            <v>250</v>
          </cell>
          <cell r="AB398" t="str">
            <v>Access</v>
          </cell>
          <cell r="AC398" t="str">
            <v>Class C</v>
          </cell>
          <cell r="BE398" t="str">
            <v>Route 2 Yangon -Mawlamyine</v>
          </cell>
          <cell r="BH398" t="str">
            <v>Camusat</v>
          </cell>
          <cell r="BJ398">
            <v>42164</v>
          </cell>
          <cell r="BK398">
            <v>42148</v>
          </cell>
          <cell r="BL398">
            <v>42169</v>
          </cell>
          <cell r="BM398">
            <v>42155</v>
          </cell>
          <cell r="BT398">
            <v>17</v>
          </cell>
          <cell r="BU398">
            <v>42210</v>
          </cell>
          <cell r="BV398">
            <v>42250</v>
          </cell>
          <cell r="BW398" t="str">
            <v>95.5683</v>
          </cell>
          <cell r="BX398" t="str">
            <v>21.93249</v>
          </cell>
          <cell r="BY398" t="str">
            <v>C4</v>
          </cell>
          <cell r="BZ398" t="str">
            <v>No.(1/1104), Aung Zay Ya Quarter, No(1) Group, Myinmu.</v>
          </cell>
          <cell r="CA398" t="str">
            <v>U Tae;No.(1/1104), Aung Zay Ya Quarter, No(1) Group, Myinmu;09-791176597; 09-402789816</v>
          </cell>
          <cell r="CB398" t="str">
            <v>3 Sept 15 : C4 SAR sub(C1, C2 C3 access issue and farm land)</v>
          </cell>
          <cell r="CC398" t="str">
            <v>Garden Land</v>
          </cell>
          <cell r="CE398">
            <v>0</v>
          </cell>
          <cell r="CF398">
            <v>42211</v>
          </cell>
          <cell r="CG398">
            <v>42165</v>
          </cell>
          <cell r="CH398">
            <v>42213</v>
          </cell>
          <cell r="CJ398">
            <v>42186</v>
          </cell>
          <cell r="CK398" t="str">
            <v>35</v>
          </cell>
          <cell r="CL398" t="str">
            <v>37</v>
          </cell>
          <cell r="CM398" t="str">
            <v>50</v>
          </cell>
          <cell r="CN398">
            <v>0</v>
          </cell>
          <cell r="CO398">
            <v>42216</v>
          </cell>
          <cell r="CP398">
            <v>42188</v>
          </cell>
          <cell r="CQ398" t="str">
            <v>M1: grid power + battery</v>
          </cell>
          <cell r="CR398">
            <v>0</v>
          </cell>
          <cell r="CS398">
            <v>42217</v>
          </cell>
          <cell r="CT398">
            <v>42192</v>
          </cell>
          <cell r="CU398" t="str">
            <v>MO0384</v>
          </cell>
          <cell r="DH398">
            <v>0</v>
          </cell>
          <cell r="DI398">
            <v>42227</v>
          </cell>
          <cell r="DK398">
            <v>42224</v>
          </cell>
          <cell r="DL398">
            <v>42179</v>
          </cell>
          <cell r="DM398">
            <v>42228</v>
          </cell>
          <cell r="DO398">
            <v>0</v>
          </cell>
          <cell r="DP398">
            <v>42227</v>
          </cell>
          <cell r="DT398">
            <v>0</v>
          </cell>
          <cell r="DU398">
            <v>42242</v>
          </cell>
          <cell r="DW398">
            <v>0</v>
          </cell>
          <cell r="DY398">
            <v>42228</v>
          </cell>
          <cell r="DZ398">
            <v>42229</v>
          </cell>
          <cell r="EA398" t="str">
            <v>Leadcom</v>
          </cell>
          <cell r="EJ398">
            <v>0</v>
          </cell>
          <cell r="EK398">
            <v>42245</v>
          </cell>
          <cell r="EM398">
            <v>42246</v>
          </cell>
          <cell r="EQ398">
            <v>42255</v>
          </cell>
          <cell r="EW398">
            <v>0</v>
          </cell>
          <cell r="EX398">
            <v>42284</v>
          </cell>
          <cell r="EZ398">
            <v>42265</v>
          </cell>
          <cell r="FB398">
            <v>42267</v>
          </cell>
          <cell r="FU398">
            <v>42269</v>
          </cell>
          <cell r="FW398">
            <v>42269</v>
          </cell>
          <cell r="GJ398">
            <v>0</v>
          </cell>
          <cell r="GN398" t="str">
            <v>ERICSSON</v>
          </cell>
          <cell r="GO398">
            <v>42186</v>
          </cell>
          <cell r="GS398" t="str">
            <v>4/4/4</v>
          </cell>
          <cell r="GU398" t="str">
            <v xml:space="preserve">		</v>
          </cell>
          <cell r="HD398">
            <v>1</v>
          </cell>
        </row>
        <row r="399">
          <cell r="A399" t="str">
            <v>MO0385</v>
          </cell>
          <cell r="B399" t="str">
            <v>ASMO_0151</v>
          </cell>
          <cell r="C399" t="str">
            <v>Apollo</v>
          </cell>
          <cell r="D399" t="str">
            <v>Robert</v>
          </cell>
          <cell r="F399" t="str">
            <v>Phyo Wai Maung</v>
          </cell>
          <cell r="G399" t="str">
            <v>Thant Zin Oo</v>
          </cell>
          <cell r="H399" t="str">
            <v>RED</v>
          </cell>
          <cell r="I399" t="str">
            <v>South</v>
          </cell>
          <cell r="J399" t="str">
            <v>97.5821</v>
          </cell>
          <cell r="K399" t="str">
            <v>16.5576</v>
          </cell>
          <cell r="L399" t="str">
            <v>SubUrban</v>
          </cell>
          <cell r="M399" t="str">
            <v>Mon</v>
          </cell>
          <cell r="N399" t="str">
            <v>Paung</v>
          </cell>
          <cell r="O399" t="str">
            <v>Paung</v>
          </cell>
          <cell r="P399" t="str">
            <v>Mon</v>
          </cell>
          <cell r="Q399" t="str">
            <v>22</v>
          </cell>
          <cell r="R399" t="str">
            <v>Paung</v>
          </cell>
          <cell r="S399" t="str">
            <v>177</v>
          </cell>
          <cell r="T399" t="str">
            <v>GSM+UMTS</v>
          </cell>
          <cell r="W399" t="str">
            <v>Ph2-Priority</v>
          </cell>
          <cell r="X399" t="str">
            <v>35</v>
          </cell>
          <cell r="Y399" t="str">
            <v>37</v>
          </cell>
          <cell r="Z399" t="str">
            <v>GBT</v>
          </cell>
          <cell r="AA399" t="str">
            <v>250</v>
          </cell>
          <cell r="AB399" t="str">
            <v>Access</v>
          </cell>
          <cell r="AC399" t="str">
            <v>Class B</v>
          </cell>
          <cell r="BD399">
            <v>13</v>
          </cell>
          <cell r="BE399" t="str">
            <v>Route 2 Yangon -Mawlamyine</v>
          </cell>
          <cell r="BH399" t="str">
            <v>Leadcom</v>
          </cell>
          <cell r="BJ399">
            <v>42165</v>
          </cell>
          <cell r="BK399">
            <v>42130</v>
          </cell>
          <cell r="BL399">
            <v>42170</v>
          </cell>
          <cell r="BM399">
            <v>42137</v>
          </cell>
          <cell r="BT399">
            <v>17</v>
          </cell>
          <cell r="BU399">
            <v>42178</v>
          </cell>
          <cell r="BV399">
            <v>42230</v>
          </cell>
          <cell r="BW399" t="str">
            <v>97.58183</v>
          </cell>
          <cell r="BX399" t="str">
            <v>16.56113</v>
          </cell>
          <cell r="BY399" t="str">
            <v>C1 rev</v>
          </cell>
          <cell r="BZ399" t="str">
            <v>Gaung Kwal Village, Tadaoo Township.</v>
          </cell>
          <cell r="CA399" t="str">
            <v>U Than Zaw;Gaung Kwal Village, Tadaoo Township, Kyauk Se District, Mandalay Division;09 798647537</v>
          </cell>
          <cell r="CB399" t="str">
            <v>14 Aug 15 : C1 rev SAR sub(RESUBMITTED corrected coordinate);14 Aug 15 : C1 SAR rejected(  RND rejected because this site is 604m far from the nominal point and out off search ring and then away from the population area. Please find the within the search ring);12 Aug 15 : C1 SAR sub</v>
          </cell>
          <cell r="CC399" t="str">
            <v>FREE HOLD</v>
          </cell>
          <cell r="CE399">
            <v>3</v>
          </cell>
          <cell r="CF399">
            <v>42179</v>
          </cell>
          <cell r="CG399">
            <v>42234</v>
          </cell>
          <cell r="CH399">
            <v>42181</v>
          </cell>
          <cell r="CJ399">
            <v>42156</v>
          </cell>
          <cell r="CK399" t="str">
            <v>45</v>
          </cell>
          <cell r="CL399" t="str">
            <v>47</v>
          </cell>
          <cell r="CM399" t="str">
            <v>50</v>
          </cell>
          <cell r="CN399">
            <v>0</v>
          </cell>
          <cell r="CO399">
            <v>42184</v>
          </cell>
          <cell r="CP399">
            <v>42158</v>
          </cell>
          <cell r="CQ399" t="str">
            <v>M1: grid power + battery</v>
          </cell>
          <cell r="CR399">
            <v>0</v>
          </cell>
          <cell r="CS399">
            <v>42185</v>
          </cell>
          <cell r="CT399">
            <v>42159</v>
          </cell>
          <cell r="CU399" t="str">
            <v>MO0385</v>
          </cell>
          <cell r="DH399">
            <v>0</v>
          </cell>
          <cell r="DI399">
            <v>42195</v>
          </cell>
          <cell r="DJ399">
            <v>42174</v>
          </cell>
          <cell r="DK399">
            <v>42192</v>
          </cell>
          <cell r="DL399">
            <v>42178</v>
          </cell>
          <cell r="DM399">
            <v>42196</v>
          </cell>
          <cell r="DN399">
            <v>42178</v>
          </cell>
          <cell r="DO399">
            <v>0</v>
          </cell>
          <cell r="DP399">
            <v>42195</v>
          </cell>
          <cell r="DQ399">
            <v>42174</v>
          </cell>
          <cell r="DT399">
            <v>0</v>
          </cell>
          <cell r="DU399">
            <v>42210</v>
          </cell>
          <cell r="DV399">
            <v>42180</v>
          </cell>
          <cell r="DW399">
            <v>0</v>
          </cell>
          <cell r="DY399">
            <v>42196</v>
          </cell>
          <cell r="DZ399">
            <v>42178</v>
          </cell>
          <cell r="EA399" t="str">
            <v>Leadcom</v>
          </cell>
          <cell r="EE399" t="str">
            <v xml:space="preserve">10 Aug 15:Rain affected_Progress affected; 4-Aug-15: Awaiting tower EDA 8/15. Tower foundation and equipment slab casted								</v>
          </cell>
          <cell r="EJ399">
            <v>0</v>
          </cell>
          <cell r="EK399">
            <v>42211</v>
          </cell>
          <cell r="EL399">
            <v>42208</v>
          </cell>
          <cell r="EM399">
            <v>42212</v>
          </cell>
          <cell r="EN399">
            <v>42233</v>
          </cell>
          <cell r="EQ399">
            <v>42219</v>
          </cell>
          <cell r="ES399">
            <v>42233</v>
          </cell>
          <cell r="EW399">
            <v>0</v>
          </cell>
          <cell r="EX399">
            <v>42234</v>
          </cell>
          <cell r="EZ399">
            <v>42229</v>
          </cell>
          <cell r="FB399">
            <v>42231</v>
          </cell>
          <cell r="FU399">
            <v>42233</v>
          </cell>
          <cell r="FW399">
            <v>42233</v>
          </cell>
          <cell r="FY399" t="str">
            <v>TN</v>
          </cell>
          <cell r="GF399">
            <v>42222</v>
          </cell>
          <cell r="GI399">
            <v>42183</v>
          </cell>
          <cell r="GJ399">
            <v>0</v>
          </cell>
          <cell r="GN399" t="str">
            <v>ERICSSON</v>
          </cell>
          <cell r="GS399" t="str">
            <v>4/4/4</v>
          </cell>
          <cell r="GU399" t="str">
            <v xml:space="preserve">		</v>
          </cell>
          <cell r="HD399">
            <v>1</v>
          </cell>
        </row>
        <row r="400">
          <cell r="A400" t="str">
            <v>MO0386</v>
          </cell>
          <cell r="B400" t="str">
            <v>ASMO_0209</v>
          </cell>
          <cell r="C400" t="str">
            <v>Apollo</v>
          </cell>
          <cell r="D400" t="str">
            <v>Robert</v>
          </cell>
          <cell r="F400" t="str">
            <v>Phyo Wai Maung</v>
          </cell>
          <cell r="G400" t="str">
            <v>Thant Zin Oo</v>
          </cell>
          <cell r="H400" t="str">
            <v>RED</v>
          </cell>
          <cell r="I400" t="str">
            <v>South</v>
          </cell>
          <cell r="J400" t="str">
            <v>97.6792</v>
          </cell>
          <cell r="K400" t="str">
            <v>16.2178</v>
          </cell>
          <cell r="L400" t="str">
            <v>Rural</v>
          </cell>
          <cell r="M400" t="str">
            <v>Mon</v>
          </cell>
          <cell r="N400" t="str">
            <v>Mudon</v>
          </cell>
          <cell r="O400" t="str">
            <v>Mudon</v>
          </cell>
          <cell r="P400" t="str">
            <v>Mon</v>
          </cell>
          <cell r="Q400" t="str">
            <v>22</v>
          </cell>
          <cell r="R400" t="str">
            <v>Mudon</v>
          </cell>
          <cell r="S400" t="str">
            <v>174</v>
          </cell>
          <cell r="T400" t="str">
            <v>GSM+UMTS</v>
          </cell>
          <cell r="W400" t="str">
            <v>Ph2-Priority</v>
          </cell>
          <cell r="X400" t="str">
            <v>45</v>
          </cell>
          <cell r="Y400" t="str">
            <v>47</v>
          </cell>
          <cell r="Z400" t="str">
            <v>GBT</v>
          </cell>
          <cell r="AA400" t="str">
            <v>500</v>
          </cell>
          <cell r="AB400" t="str">
            <v>Access</v>
          </cell>
          <cell r="AC400" t="str">
            <v>Class C</v>
          </cell>
          <cell r="BE400" t="str">
            <v>Route 13 Mawlamyine-Dawei</v>
          </cell>
          <cell r="BH400" t="str">
            <v>Camusat</v>
          </cell>
          <cell r="BJ400">
            <v>42166</v>
          </cell>
          <cell r="BK400">
            <v>42170</v>
          </cell>
          <cell r="BL400">
            <v>42171</v>
          </cell>
          <cell r="BM400">
            <v>42177</v>
          </cell>
          <cell r="BT400">
            <v>63</v>
          </cell>
          <cell r="BU400">
            <v>42178</v>
          </cell>
          <cell r="BV400">
            <v>42248</v>
          </cell>
          <cell r="BW400" t="str">
            <v>97.67414</v>
          </cell>
          <cell r="BX400" t="str">
            <v>16.21769</v>
          </cell>
          <cell r="BY400" t="str">
            <v>C4</v>
          </cell>
          <cell r="BZ400" t="str">
            <v>TamarGone village, Thazi Township, Meiktila .</v>
          </cell>
          <cell r="CA400" t="str">
            <v>U Thein Soe Hlaing Win;Tamar Gone village, Thazi Township, Meiktila district;093357425, 0933314959,093357428.</v>
          </cell>
          <cell r="CB400" t="str">
            <v>1 Sept 15: C4 SAR sub(C1,C2,C3: Flood and Legal doc issue)</v>
          </cell>
          <cell r="CC400" t="str">
            <v>Garden Land</v>
          </cell>
          <cell r="CE400">
            <v>0</v>
          </cell>
          <cell r="CF400">
            <v>42179</v>
          </cell>
          <cell r="CG400">
            <v>42249</v>
          </cell>
          <cell r="CH400">
            <v>42181</v>
          </cell>
          <cell r="CJ400">
            <v>42160</v>
          </cell>
          <cell r="CK400" t="str">
            <v>45</v>
          </cell>
          <cell r="CL400" t="str">
            <v>47</v>
          </cell>
          <cell r="CM400" t="str">
            <v>45</v>
          </cell>
          <cell r="CN400">
            <v>0</v>
          </cell>
          <cell r="CO400">
            <v>42184</v>
          </cell>
          <cell r="CP400">
            <v>42161</v>
          </cell>
          <cell r="CQ400" t="str">
            <v>M4: solar + DG + battery</v>
          </cell>
          <cell r="CR400">
            <v>0</v>
          </cell>
          <cell r="CS400">
            <v>42185</v>
          </cell>
          <cell r="CT400">
            <v>42164</v>
          </cell>
          <cell r="CU400" t="str">
            <v>MO0386</v>
          </cell>
          <cell r="DH400">
            <v>0</v>
          </cell>
          <cell r="DI400">
            <v>42195</v>
          </cell>
          <cell r="DJ400">
            <v>42170</v>
          </cell>
          <cell r="DK400">
            <v>42192</v>
          </cell>
          <cell r="DL400">
            <v>42168</v>
          </cell>
          <cell r="DM400">
            <v>42196</v>
          </cell>
          <cell r="DN400">
            <v>42174</v>
          </cell>
          <cell r="DO400">
            <v>0</v>
          </cell>
          <cell r="DP400">
            <v>42195</v>
          </cell>
          <cell r="DQ400">
            <v>42170</v>
          </cell>
          <cell r="DT400">
            <v>0</v>
          </cell>
          <cell r="DU400">
            <v>42210</v>
          </cell>
          <cell r="DV400">
            <v>42177</v>
          </cell>
          <cell r="DW400">
            <v>0</v>
          </cell>
          <cell r="DY400">
            <v>42196</v>
          </cell>
          <cell r="DZ400">
            <v>42174</v>
          </cell>
          <cell r="EA400" t="str">
            <v>Leadcom</v>
          </cell>
          <cell r="EI400" t="str">
            <v>M5: grid power + DG + battery      </v>
          </cell>
          <cell r="EJ400">
            <v>0</v>
          </cell>
          <cell r="EK400">
            <v>42213</v>
          </cell>
          <cell r="EL400">
            <v>42199</v>
          </cell>
          <cell r="EM400">
            <v>42214</v>
          </cell>
          <cell r="EN400">
            <v>42205</v>
          </cell>
          <cell r="EQ400">
            <v>42223</v>
          </cell>
          <cell r="ER400">
            <v>42210</v>
          </cell>
          <cell r="ES400">
            <v>42209</v>
          </cell>
          <cell r="ET400">
            <v>42213</v>
          </cell>
          <cell r="EU400">
            <v>42213</v>
          </cell>
          <cell r="EW400">
            <v>0</v>
          </cell>
          <cell r="EX400">
            <v>42237</v>
          </cell>
          <cell r="EZ400">
            <v>42233</v>
          </cell>
          <cell r="FA400">
            <v>42216</v>
          </cell>
          <cell r="FB400">
            <v>42235</v>
          </cell>
          <cell r="FC400">
            <v>42216</v>
          </cell>
          <cell r="FU400">
            <v>42237</v>
          </cell>
          <cell r="FW400">
            <v>42237</v>
          </cell>
          <cell r="FX400">
            <v>42216</v>
          </cell>
          <cell r="FY400" t="str">
            <v>GTL</v>
          </cell>
          <cell r="FZ400">
            <v>42213</v>
          </cell>
          <cell r="GA400">
            <v>42216</v>
          </cell>
          <cell r="GB400">
            <v>42219</v>
          </cell>
          <cell r="GC400">
            <v>42219</v>
          </cell>
          <cell r="GD400">
            <v>42219</v>
          </cell>
          <cell r="GE400">
            <v>42219</v>
          </cell>
          <cell r="GG400">
            <v>42220</v>
          </cell>
          <cell r="GH400">
            <v>42220</v>
          </cell>
          <cell r="GJ400">
            <v>0</v>
          </cell>
          <cell r="GK400">
            <v>42220</v>
          </cell>
          <cell r="GN400" t="str">
            <v>ERICSSON</v>
          </cell>
          <cell r="GS400" t="str">
            <v>4/4/4</v>
          </cell>
          <cell r="GU400" t="str">
            <v xml:space="preserve">		</v>
          </cell>
          <cell r="HD400">
            <v>1</v>
          </cell>
        </row>
        <row r="401">
          <cell r="A401" t="str">
            <v>MO0387</v>
          </cell>
          <cell r="B401" t="str">
            <v>ASMO_0152</v>
          </cell>
          <cell r="C401" t="str">
            <v>Apollo</v>
          </cell>
          <cell r="D401" t="str">
            <v>Robert</v>
          </cell>
          <cell r="F401" t="str">
            <v>Phyo Wai Maung</v>
          </cell>
          <cell r="G401" t="str">
            <v>Thant Zin Oo</v>
          </cell>
          <cell r="H401" t="str">
            <v>AMBER</v>
          </cell>
          <cell r="I401" t="str">
            <v>South</v>
          </cell>
          <cell r="J401" t="str">
            <v>97.7191</v>
          </cell>
          <cell r="K401" t="str">
            <v>16.0976</v>
          </cell>
          <cell r="L401" t="str">
            <v>Rural</v>
          </cell>
          <cell r="M401" t="str">
            <v>Mon</v>
          </cell>
          <cell r="N401" t="str">
            <v>Mudon</v>
          </cell>
          <cell r="O401" t="str">
            <v>Mudon</v>
          </cell>
          <cell r="P401" t="str">
            <v>Mon</v>
          </cell>
          <cell r="Q401" t="str">
            <v>22</v>
          </cell>
          <cell r="R401" t="str">
            <v>Mudon</v>
          </cell>
          <cell r="S401" t="str">
            <v>174</v>
          </cell>
          <cell r="T401" t="str">
            <v>GSM+UMTS</v>
          </cell>
          <cell r="W401" t="str">
            <v>Ph2-Priority</v>
          </cell>
          <cell r="X401" t="str">
            <v>45</v>
          </cell>
          <cell r="Y401" t="str">
            <v>47</v>
          </cell>
          <cell r="Z401" t="str">
            <v>GBT</v>
          </cell>
          <cell r="AA401" t="str">
            <v>500</v>
          </cell>
          <cell r="AB401" t="str">
            <v>HUB-ATN</v>
          </cell>
          <cell r="AC401" t="str">
            <v>Critical</v>
          </cell>
          <cell r="BD401" t="str">
            <v>13</v>
          </cell>
          <cell r="BE401" t="str">
            <v>Route 13 Mawlamyine-Dawei</v>
          </cell>
          <cell r="BH401" t="str">
            <v>Leadcom</v>
          </cell>
          <cell r="BJ401">
            <v>42164</v>
          </cell>
          <cell r="BK401">
            <v>42169</v>
          </cell>
          <cell r="BL401">
            <v>42169</v>
          </cell>
          <cell r="BM401">
            <v>42176</v>
          </cell>
          <cell r="BT401">
            <v>12</v>
          </cell>
          <cell r="BU401">
            <v>42177</v>
          </cell>
          <cell r="BV401">
            <v>42181</v>
          </cell>
          <cell r="BW401" t="str">
            <v>97.72232</v>
          </cell>
          <cell r="BX401" t="str">
            <v>16.09903</v>
          </cell>
          <cell r="BY401" t="str">
            <v>C2</v>
          </cell>
          <cell r="BZ401" t="str">
            <v>Kaw Thar South Kwin, Kwin No. 881 Ka, Kalawt Thot Village, Mudon Tsp, Mawlamyine District, Mon State.</v>
          </cell>
          <cell r="CA401" t="str">
            <v>U Tun Ti (Ward Administrator);09-49301103</v>
          </cell>
          <cell r="CC401" t="str">
            <v>GARDEN LAND</v>
          </cell>
          <cell r="CE401">
            <v>3</v>
          </cell>
          <cell r="CF401">
            <v>42178</v>
          </cell>
          <cell r="CG401">
            <v>42184</v>
          </cell>
          <cell r="CH401">
            <v>42180</v>
          </cell>
          <cell r="CJ401">
            <v>42189</v>
          </cell>
          <cell r="CK401" t="str">
            <v>45</v>
          </cell>
          <cell r="CL401" t="str">
            <v>47</v>
          </cell>
          <cell r="CM401" t="str">
            <v>50</v>
          </cell>
          <cell r="CN401">
            <v>7</v>
          </cell>
          <cell r="CO401">
            <v>42183</v>
          </cell>
          <cell r="CP401">
            <v>42191</v>
          </cell>
          <cell r="CQ401" t="str">
            <v>M1: grid power + battery</v>
          </cell>
          <cell r="CR401">
            <v>1</v>
          </cell>
          <cell r="CS401">
            <v>42184</v>
          </cell>
          <cell r="CT401">
            <v>42192</v>
          </cell>
          <cell r="CU401" t="str">
            <v>MO0387</v>
          </cell>
          <cell r="DH401">
            <v>17</v>
          </cell>
          <cell r="DI401">
            <v>42194</v>
          </cell>
          <cell r="DJ401">
            <v>42209</v>
          </cell>
          <cell r="DK401">
            <v>42191</v>
          </cell>
          <cell r="DM401">
            <v>42195</v>
          </cell>
          <cell r="DO401">
            <v>0</v>
          </cell>
          <cell r="DP401">
            <v>42194</v>
          </cell>
          <cell r="DQ401">
            <v>42209</v>
          </cell>
          <cell r="DT401">
            <v>24</v>
          </cell>
          <cell r="DU401">
            <v>42209</v>
          </cell>
          <cell r="DW401">
            <v>0</v>
          </cell>
          <cell r="DY401">
            <v>42195</v>
          </cell>
          <cell r="DZ401">
            <v>42205</v>
          </cell>
          <cell r="EA401" t="str">
            <v>Leadcom</v>
          </cell>
          <cell r="ED401" t="str">
            <v>31Aug15 :ThantZin.Oo: 27/8/2015 : Excavation in progress .
24Aug15 :ThantZin.Oo: 19/8/15 : No Activity after kick-off meeting .</v>
          </cell>
          <cell r="EJ401">
            <v>28</v>
          </cell>
          <cell r="EK401">
            <v>42212</v>
          </cell>
          <cell r="EM401">
            <v>42213</v>
          </cell>
          <cell r="EQ401">
            <v>42222</v>
          </cell>
          <cell r="EW401">
            <v>28</v>
          </cell>
          <cell r="EX401">
            <v>42263</v>
          </cell>
          <cell r="EZ401">
            <v>42232</v>
          </cell>
          <cell r="FB401">
            <v>42234</v>
          </cell>
          <cell r="FU401">
            <v>42236</v>
          </cell>
          <cell r="FW401">
            <v>42236</v>
          </cell>
          <cell r="GI401">
            <v>42307</v>
          </cell>
          <cell r="GJ401" t="str">
            <v>44-2015</v>
          </cell>
          <cell r="GN401" t="str">
            <v>ERICSSON</v>
          </cell>
          <cell r="GS401" t="str">
            <v>4/4/4</v>
          </cell>
          <cell r="GU401" t="str">
            <v xml:space="preserve">		</v>
          </cell>
          <cell r="HD401">
            <v>1</v>
          </cell>
        </row>
        <row r="402">
          <cell r="A402" t="str">
            <v>MO0388</v>
          </cell>
          <cell r="B402" t="str">
            <v>ASMO_0153</v>
          </cell>
          <cell r="C402" t="str">
            <v>Apollo</v>
          </cell>
          <cell r="D402" t="str">
            <v>Robert</v>
          </cell>
          <cell r="F402" t="str">
            <v>Phyo Wai Maung</v>
          </cell>
          <cell r="G402" t="str">
            <v>Thant Zin Oo</v>
          </cell>
          <cell r="H402" t="str">
            <v>RED</v>
          </cell>
          <cell r="I402" t="str">
            <v>South</v>
          </cell>
          <cell r="J402" t="str">
            <v>97.7258</v>
          </cell>
          <cell r="K402" t="str">
            <v>16.1389</v>
          </cell>
          <cell r="L402" t="str">
            <v>Rural</v>
          </cell>
          <cell r="M402" t="str">
            <v>Mon</v>
          </cell>
          <cell r="N402" t="str">
            <v>Mudon</v>
          </cell>
          <cell r="O402" t="str">
            <v>Mudon</v>
          </cell>
          <cell r="P402" t="str">
            <v>Mon</v>
          </cell>
          <cell r="Q402" t="str">
            <v>22</v>
          </cell>
          <cell r="R402" t="str">
            <v>Mudon</v>
          </cell>
          <cell r="S402" t="str">
            <v>174</v>
          </cell>
          <cell r="T402" t="str">
            <v>GSM+UMTS</v>
          </cell>
          <cell r="W402" t="str">
            <v>Ph2-Priority</v>
          </cell>
          <cell r="X402" t="str">
            <v>45</v>
          </cell>
          <cell r="Y402" t="str">
            <v>47</v>
          </cell>
          <cell r="Z402" t="str">
            <v>GBT</v>
          </cell>
          <cell r="AA402" t="str">
            <v>500</v>
          </cell>
          <cell r="AB402" t="str">
            <v>Access</v>
          </cell>
          <cell r="AC402" t="str">
            <v>Class C</v>
          </cell>
          <cell r="BE402" t="str">
            <v>Route 13 Mawlamyine-Dawei</v>
          </cell>
          <cell r="BH402" t="str">
            <v>Leadcom</v>
          </cell>
          <cell r="BJ402">
            <v>42164</v>
          </cell>
          <cell r="BK402">
            <v>42165</v>
          </cell>
          <cell r="BL402">
            <v>42169</v>
          </cell>
          <cell r="BT402">
            <v>55</v>
          </cell>
          <cell r="BU402">
            <v>42177</v>
          </cell>
          <cell r="BV402">
            <v>42220</v>
          </cell>
          <cell r="BW402" t="str">
            <v>97.72678</v>
          </cell>
          <cell r="BX402" t="str">
            <v>16.14267</v>
          </cell>
          <cell r="BY402" t="str">
            <v>C3</v>
          </cell>
          <cell r="BZ402" t="str">
            <v>Kamarwat Kwin,Kwin No.872 ka,Kamarwat Village,Kamarwat Town,Mudone Tsp,Mon State.</v>
          </cell>
          <cell r="CA402" t="str">
            <v>U Khaing Tun, 09-973404705</v>
          </cell>
          <cell r="CB402" t="str">
            <v>4 Aug 15 : C3 SAR sub (C1 OWNER BACKED OUT);7 Jul 15 : C1 TSSR app;6 Jul 15 : C1 TSSR sub;26 Jun 15 : C1 SAR app;24 Jun 15 : C1 SAR sub</v>
          </cell>
          <cell r="CC402" t="str">
            <v>GARDEN LAND</v>
          </cell>
          <cell r="CE402">
            <v>2</v>
          </cell>
          <cell r="CF402">
            <v>42178</v>
          </cell>
          <cell r="CG402">
            <v>42222</v>
          </cell>
          <cell r="CH402">
            <v>42180</v>
          </cell>
          <cell r="CJ402">
            <v>42226</v>
          </cell>
          <cell r="CK402" t="str">
            <v>45</v>
          </cell>
          <cell r="CL402" t="str">
            <v>47</v>
          </cell>
          <cell r="CM402" t="str">
            <v>50</v>
          </cell>
          <cell r="CN402">
            <v>6</v>
          </cell>
          <cell r="CO402">
            <v>42183</v>
          </cell>
          <cell r="CP402">
            <v>42228</v>
          </cell>
          <cell r="CQ402" t="str">
            <v>M1: grid power + battery</v>
          </cell>
          <cell r="CR402">
            <v>2</v>
          </cell>
          <cell r="CS402">
            <v>42184</v>
          </cell>
          <cell r="CT402">
            <v>42230</v>
          </cell>
          <cell r="CU402" t="str">
            <v>MO0388</v>
          </cell>
          <cell r="DH402">
            <v>3</v>
          </cell>
          <cell r="DI402">
            <v>42194</v>
          </cell>
          <cell r="DK402">
            <v>42191</v>
          </cell>
          <cell r="DM402">
            <v>42195</v>
          </cell>
          <cell r="DO402">
            <v>0</v>
          </cell>
          <cell r="DP402">
            <v>42194</v>
          </cell>
          <cell r="DT402">
            <v>0</v>
          </cell>
          <cell r="DU402">
            <v>42209</v>
          </cell>
          <cell r="DW402">
            <v>0</v>
          </cell>
          <cell r="DY402">
            <v>42195</v>
          </cell>
          <cell r="EA402" t="str">
            <v>Leadcom</v>
          </cell>
          <cell r="EJ402">
            <v>0</v>
          </cell>
          <cell r="EK402">
            <v>42212</v>
          </cell>
          <cell r="EM402">
            <v>42213</v>
          </cell>
          <cell r="EQ402">
            <v>42222</v>
          </cell>
          <cell r="EW402">
            <v>0</v>
          </cell>
          <cell r="EX402">
            <v>42263</v>
          </cell>
          <cell r="EZ402">
            <v>42232</v>
          </cell>
          <cell r="FB402">
            <v>42234</v>
          </cell>
          <cell r="FU402">
            <v>42236</v>
          </cell>
          <cell r="FW402">
            <v>42236</v>
          </cell>
          <cell r="GI402">
            <v>42104</v>
          </cell>
          <cell r="GJ402">
            <v>0</v>
          </cell>
          <cell r="GN402" t="str">
            <v>ERICSSON</v>
          </cell>
          <cell r="GS402" t="str">
            <v>4/4/4</v>
          </cell>
          <cell r="GU402" t="str">
            <v xml:space="preserve">		</v>
          </cell>
          <cell r="HD402">
            <v>1</v>
          </cell>
        </row>
        <row r="403">
          <cell r="A403" t="str">
            <v>MO0389</v>
          </cell>
          <cell r="B403" t="str">
            <v>ASMO_0154</v>
          </cell>
          <cell r="C403" t="str">
            <v>Apollo</v>
          </cell>
          <cell r="D403" t="str">
            <v>Robert</v>
          </cell>
          <cell r="F403" t="str">
            <v>Phyo Wai Maung</v>
          </cell>
          <cell r="G403" t="str">
            <v>Thant Zin Oo</v>
          </cell>
          <cell r="H403" t="str">
            <v>YELLOW</v>
          </cell>
          <cell r="I403" t="str">
            <v>South</v>
          </cell>
          <cell r="J403" t="str">
            <v>97.7488</v>
          </cell>
          <cell r="K403" t="str">
            <v>16.0266</v>
          </cell>
          <cell r="L403" t="str">
            <v>Rural</v>
          </cell>
          <cell r="M403" t="str">
            <v>Mon</v>
          </cell>
          <cell r="N403" t="str">
            <v>Mudon</v>
          </cell>
          <cell r="O403" t="str">
            <v>Mudon</v>
          </cell>
          <cell r="P403" t="str">
            <v>Mon</v>
          </cell>
          <cell r="Q403" t="str">
            <v>22</v>
          </cell>
          <cell r="R403" t="str">
            <v>Mudon</v>
          </cell>
          <cell r="S403" t="str">
            <v>174</v>
          </cell>
          <cell r="T403" t="str">
            <v>GSM+UMTS</v>
          </cell>
          <cell r="W403" t="str">
            <v>Ph2-Priority</v>
          </cell>
          <cell r="X403" t="str">
            <v>45</v>
          </cell>
          <cell r="Y403" t="str">
            <v>47</v>
          </cell>
          <cell r="Z403" t="str">
            <v>GBT</v>
          </cell>
          <cell r="AA403" t="str">
            <v>500</v>
          </cell>
          <cell r="AB403" t="str">
            <v>Access</v>
          </cell>
          <cell r="AC403" t="str">
            <v>Class C</v>
          </cell>
          <cell r="BE403" t="str">
            <v>Route 13 Mawlamyine-Dawei</v>
          </cell>
          <cell r="BH403" t="str">
            <v>Leadcom</v>
          </cell>
          <cell r="BJ403">
            <v>42168</v>
          </cell>
          <cell r="BK403">
            <v>42170</v>
          </cell>
          <cell r="BL403">
            <v>42173</v>
          </cell>
          <cell r="BM403">
            <v>42177</v>
          </cell>
          <cell r="BT403">
            <v>11</v>
          </cell>
          <cell r="BU403">
            <v>42204</v>
          </cell>
          <cell r="BV403">
            <v>42181</v>
          </cell>
          <cell r="BW403" t="str">
            <v>97.74874</v>
          </cell>
          <cell r="BX403" t="str">
            <v>16.02665</v>
          </cell>
          <cell r="BY403" t="str">
            <v>C1</v>
          </cell>
          <cell r="BZ403" t="str">
            <v>Young Dong Ywar Ma Kwin, Kwin, Young Dong Village Tract, Mudon Tsp, Mon State.</v>
          </cell>
          <cell r="CA403" t="str">
            <v>Daw Win Aye;09-261083606</v>
          </cell>
          <cell r="CB403" t="str">
            <v>28 July 15:C2-SAR submission; C1-rejected due to NOC issue;16 Jun 15 : C1 TSSR app;15 Jun 15 : C1 TSSR sub;26 May 15 : C1 SAR app;25May15: C1 SAR Sub</v>
          </cell>
          <cell r="CC403" t="str">
            <v>GARDEN LAND</v>
          </cell>
          <cell r="CE403">
            <v>3</v>
          </cell>
          <cell r="CF403">
            <v>42205</v>
          </cell>
          <cell r="CG403">
            <v>42184</v>
          </cell>
          <cell r="CH403">
            <v>42207</v>
          </cell>
          <cell r="CJ403">
            <v>42189</v>
          </cell>
          <cell r="CK403" t="str">
            <v>46</v>
          </cell>
          <cell r="CL403" t="str">
            <v>47</v>
          </cell>
          <cell r="CM403" t="str">
            <v>50</v>
          </cell>
          <cell r="CN403">
            <v>7</v>
          </cell>
          <cell r="CO403">
            <v>42210</v>
          </cell>
          <cell r="CP403">
            <v>42191</v>
          </cell>
          <cell r="CQ403" t="str">
            <v>M1: grid power + battery</v>
          </cell>
          <cell r="CR403">
            <v>1</v>
          </cell>
          <cell r="CS403">
            <v>42211</v>
          </cell>
          <cell r="CT403">
            <v>42192</v>
          </cell>
          <cell r="CU403" t="str">
            <v>MO0389</v>
          </cell>
          <cell r="DH403">
            <v>17</v>
          </cell>
          <cell r="DI403">
            <v>42221</v>
          </cell>
          <cell r="DJ403">
            <v>42209</v>
          </cell>
          <cell r="DK403">
            <v>42218</v>
          </cell>
          <cell r="DM403">
            <v>42222</v>
          </cell>
          <cell r="DO403">
            <v>0</v>
          </cell>
          <cell r="DP403">
            <v>42221</v>
          </cell>
          <cell r="DQ403">
            <v>42209</v>
          </cell>
          <cell r="DT403">
            <v>24</v>
          </cell>
          <cell r="DU403">
            <v>42236</v>
          </cell>
          <cell r="DW403">
            <v>0</v>
          </cell>
          <cell r="DY403">
            <v>42222</v>
          </cell>
          <cell r="DZ403">
            <v>42208</v>
          </cell>
          <cell r="EA403" t="str">
            <v>Leadcom</v>
          </cell>
          <cell r="ED403" t="str">
            <v xml:space="preserve">17Aug15 :ThantZin.Oo: 13/8/15 : Footing and Pedestal rebar-work in progress .
</v>
          </cell>
          <cell r="EE403" t="str">
            <v xml:space="preserve">10 Aug 15:Rain affected_Progress affected; 3-Aug-15: Rain Affected								</v>
          </cell>
          <cell r="EJ403">
            <v>23</v>
          </cell>
          <cell r="EK403">
            <v>42239</v>
          </cell>
          <cell r="EL403">
            <v>42231</v>
          </cell>
          <cell r="EM403">
            <v>42240</v>
          </cell>
          <cell r="EQ403">
            <v>42249</v>
          </cell>
          <cell r="ES403">
            <v>42234</v>
          </cell>
          <cell r="EW403">
            <v>25</v>
          </cell>
          <cell r="EX403">
            <v>42263</v>
          </cell>
          <cell r="EZ403">
            <v>42259</v>
          </cell>
          <cell r="FB403">
            <v>42261</v>
          </cell>
          <cell r="FU403">
            <v>42263</v>
          </cell>
          <cell r="FW403">
            <v>42263</v>
          </cell>
          <cell r="GI403">
            <v>42307</v>
          </cell>
          <cell r="GJ403" t="str">
            <v>44-2015</v>
          </cell>
          <cell r="GN403" t="str">
            <v>ERICSSON</v>
          </cell>
          <cell r="GS403" t="str">
            <v>4/4/4</v>
          </cell>
          <cell r="GU403" t="str">
            <v xml:space="preserve">		</v>
          </cell>
          <cell r="HD403">
            <v>1</v>
          </cell>
        </row>
        <row r="404">
          <cell r="A404" t="str">
            <v>MO0390</v>
          </cell>
          <cell r="B404" t="str">
            <v>ASMO_0196</v>
          </cell>
          <cell r="C404" t="str">
            <v>Apollo</v>
          </cell>
          <cell r="D404" t="str">
            <v>Robert</v>
          </cell>
          <cell r="F404" t="str">
            <v>Phyo Wai Maung</v>
          </cell>
          <cell r="G404" t="str">
            <v>Thant Zin Oo</v>
          </cell>
          <cell r="H404" t="str">
            <v>RED</v>
          </cell>
          <cell r="I404" t="str">
            <v>South</v>
          </cell>
          <cell r="J404" t="str">
            <v>97.7348</v>
          </cell>
          <cell r="K404" t="str">
            <v>16.1901</v>
          </cell>
          <cell r="L404" t="str">
            <v>Rural</v>
          </cell>
          <cell r="M404" t="str">
            <v>Mon</v>
          </cell>
          <cell r="N404" t="str">
            <v>Mudon</v>
          </cell>
          <cell r="O404" t="str">
            <v>Mudon</v>
          </cell>
          <cell r="P404" t="str">
            <v>Mon</v>
          </cell>
          <cell r="Q404" t="str">
            <v>22</v>
          </cell>
          <cell r="R404" t="str">
            <v>Mudon</v>
          </cell>
          <cell r="S404" t="str">
            <v>174</v>
          </cell>
          <cell r="T404" t="str">
            <v>GSM+UMTS</v>
          </cell>
          <cell r="W404" t="str">
            <v>Ph2-Priority</v>
          </cell>
          <cell r="X404" t="str">
            <v>45</v>
          </cell>
          <cell r="Y404" t="str">
            <v>47</v>
          </cell>
          <cell r="Z404" t="str">
            <v>GBT</v>
          </cell>
          <cell r="AA404" t="str">
            <v>500</v>
          </cell>
          <cell r="AB404" t="str">
            <v>Access</v>
          </cell>
          <cell r="AC404" t="str">
            <v>Class C</v>
          </cell>
          <cell r="BE404" t="str">
            <v>Route 13 Mawlamyine-Dawei</v>
          </cell>
          <cell r="BH404" t="str">
            <v>Leadcom</v>
          </cell>
          <cell r="BJ404">
            <v>42168</v>
          </cell>
          <cell r="BK404">
            <v>42170</v>
          </cell>
          <cell r="BL404">
            <v>42173</v>
          </cell>
          <cell r="BM404">
            <v>42177</v>
          </cell>
          <cell r="BT404">
            <v>51</v>
          </cell>
          <cell r="BU404">
            <v>42204</v>
          </cell>
          <cell r="BV404">
            <v>42221</v>
          </cell>
          <cell r="BW404" t="str">
            <v>97.73633</v>
          </cell>
          <cell r="BX404" t="str">
            <v>16.19213</v>
          </cell>
          <cell r="BY404" t="str">
            <v>C3</v>
          </cell>
          <cell r="BZ404" t="str">
            <v>N0.128,Mya Shwe Wah Street,Taw Kuu Village,Mudone Tsp,Mon State.</v>
          </cell>
          <cell r="CA404" t="str">
            <v>U Myint Thein,09-255994807 , 09-425310780</v>
          </cell>
          <cell r="CB404" t="str">
            <v>5 Aug 15 : C3 SAR sub( C1, C2 FARMLAND)</v>
          </cell>
          <cell r="CC404" t="str">
            <v>GARDEN LAND</v>
          </cell>
          <cell r="CE404">
            <v>1</v>
          </cell>
          <cell r="CF404">
            <v>42205</v>
          </cell>
          <cell r="CG404">
            <v>42222</v>
          </cell>
          <cell r="CH404">
            <v>42207</v>
          </cell>
          <cell r="CJ404">
            <v>42226</v>
          </cell>
          <cell r="CK404" t="str">
            <v>45</v>
          </cell>
          <cell r="CL404" t="str">
            <v>47</v>
          </cell>
          <cell r="CM404" t="str">
            <v>50</v>
          </cell>
          <cell r="CN404">
            <v>6</v>
          </cell>
          <cell r="CO404">
            <v>42210</v>
          </cell>
          <cell r="CP404">
            <v>42228</v>
          </cell>
          <cell r="CQ404" t="str">
            <v>M1: grid power + battery</v>
          </cell>
          <cell r="CR404">
            <v>2</v>
          </cell>
          <cell r="CS404">
            <v>42211</v>
          </cell>
          <cell r="CT404">
            <v>42230</v>
          </cell>
          <cell r="CU404" t="str">
            <v>MO0390</v>
          </cell>
          <cell r="DH404">
            <v>3</v>
          </cell>
          <cell r="DI404">
            <v>42221</v>
          </cell>
          <cell r="DK404">
            <v>42218</v>
          </cell>
          <cell r="DM404">
            <v>42222</v>
          </cell>
          <cell r="DO404">
            <v>0</v>
          </cell>
          <cell r="DP404">
            <v>42221</v>
          </cell>
          <cell r="DT404">
            <v>0</v>
          </cell>
          <cell r="DU404">
            <v>42236</v>
          </cell>
          <cell r="DW404">
            <v>0</v>
          </cell>
          <cell r="DY404">
            <v>42222</v>
          </cell>
          <cell r="EA404" t="str">
            <v>Leadcom</v>
          </cell>
          <cell r="EJ404">
            <v>0</v>
          </cell>
          <cell r="EK404">
            <v>42239</v>
          </cell>
          <cell r="EM404">
            <v>42240</v>
          </cell>
          <cell r="EQ404">
            <v>42249</v>
          </cell>
          <cell r="EW404">
            <v>0</v>
          </cell>
          <cell r="EX404">
            <v>42263</v>
          </cell>
          <cell r="EZ404">
            <v>42259</v>
          </cell>
          <cell r="FB404">
            <v>42261</v>
          </cell>
          <cell r="FU404">
            <v>42263</v>
          </cell>
          <cell r="FW404">
            <v>42263</v>
          </cell>
          <cell r="GJ404">
            <v>0</v>
          </cell>
          <cell r="GN404" t="str">
            <v>ERICSSON</v>
          </cell>
          <cell r="GS404" t="str">
            <v>4/4/4</v>
          </cell>
          <cell r="GU404" t="str">
            <v xml:space="preserve">		</v>
          </cell>
          <cell r="HD404">
            <v>1</v>
          </cell>
        </row>
        <row r="405">
          <cell r="A405" t="str">
            <v>MO0391</v>
          </cell>
          <cell r="B405" t="str">
            <v>ASMO_0197</v>
          </cell>
          <cell r="C405" t="str">
            <v>Apollo</v>
          </cell>
          <cell r="D405" t="str">
            <v>Robert</v>
          </cell>
          <cell r="F405" t="str">
            <v>Phyo Wai Maung</v>
          </cell>
          <cell r="G405" t="str">
            <v>Thant Zin Oo</v>
          </cell>
          <cell r="H405" t="str">
            <v>RED</v>
          </cell>
          <cell r="I405" t="str">
            <v>South</v>
          </cell>
          <cell r="J405" t="str">
            <v>97.7351</v>
          </cell>
          <cell r="K405" t="str">
            <v>16.2261</v>
          </cell>
          <cell r="L405" t="str">
            <v>Rural</v>
          </cell>
          <cell r="M405" t="str">
            <v>Mon</v>
          </cell>
          <cell r="N405" t="str">
            <v>Mudon</v>
          </cell>
          <cell r="O405" t="str">
            <v>Mudon</v>
          </cell>
          <cell r="P405" t="str">
            <v>Mon</v>
          </cell>
          <cell r="Q405" t="str">
            <v>22</v>
          </cell>
          <cell r="R405" t="str">
            <v>Mudon</v>
          </cell>
          <cell r="S405" t="str">
            <v>174</v>
          </cell>
          <cell r="T405" t="str">
            <v>GSM+UMTS</v>
          </cell>
          <cell r="W405" t="str">
            <v>Ph2-Priority</v>
          </cell>
          <cell r="X405" t="str">
            <v>45</v>
          </cell>
          <cell r="Y405" t="str">
            <v>47</v>
          </cell>
          <cell r="Z405" t="str">
            <v>GBT</v>
          </cell>
          <cell r="AA405" t="str">
            <v>500</v>
          </cell>
          <cell r="AB405" t="str">
            <v>Access</v>
          </cell>
          <cell r="AC405" t="str">
            <v>Class C</v>
          </cell>
          <cell r="BE405" t="str">
            <v>Route 13 Mawlamyine-Dawei</v>
          </cell>
          <cell r="BH405" t="str">
            <v>Camusat</v>
          </cell>
          <cell r="BJ405">
            <v>42164</v>
          </cell>
          <cell r="BK405">
            <v>42169</v>
          </cell>
          <cell r="BL405">
            <v>42169</v>
          </cell>
          <cell r="BM405">
            <v>42154</v>
          </cell>
          <cell r="BT405">
            <v>64</v>
          </cell>
          <cell r="BU405">
            <v>42177</v>
          </cell>
          <cell r="BV405">
            <v>42164</v>
          </cell>
          <cell r="BW405" t="str">
            <v>96.146035</v>
          </cell>
          <cell r="BX405" t="str">
            <v>20.250649</v>
          </cell>
          <cell r="BY405" t="str">
            <v>Reject</v>
          </cell>
          <cell r="BZ405" t="str">
            <v>Padauk Kone Village, Kyoe Kyar Inn Group, Tat Kone Township, Nay Pyi Taw.</v>
          </cell>
          <cell r="CA405" t="str">
            <v>U Sann Oo;Padauk Kone Village, Kyoe Kyar Inn Group, Tat Kone Township, Nay Pyi Taw;09-250967324 , 09-797662384</v>
          </cell>
          <cell r="CB405" t="str">
            <v>13 Aug 15: C2 deactivate because of  CW in TSS, Swampy area;27 Jun 15 : C2 SAR app;25 Jun 15 : C2 SAR sub;"C1, FARM LAND"</v>
          </cell>
          <cell r="CC405" t="str">
            <v>GARDEN LAND</v>
          </cell>
          <cell r="CE405">
            <v>0</v>
          </cell>
          <cell r="CF405">
            <v>42178</v>
          </cell>
          <cell r="CG405">
            <v>42165</v>
          </cell>
          <cell r="CH405">
            <v>42180</v>
          </cell>
          <cell r="CJ405">
            <v>42171</v>
          </cell>
          <cell r="CK405" t="str">
            <v>45</v>
          </cell>
          <cell r="CL405" t="str">
            <v>47</v>
          </cell>
          <cell r="CN405">
            <v>0</v>
          </cell>
          <cell r="CO405">
            <v>42183</v>
          </cell>
          <cell r="CP405">
            <v>42173</v>
          </cell>
          <cell r="CQ405" t="str">
            <v>M4: solar + DG + battery</v>
          </cell>
          <cell r="CR405">
            <v>0</v>
          </cell>
          <cell r="CS405">
            <v>42184</v>
          </cell>
          <cell r="CT405">
            <v>42174</v>
          </cell>
          <cell r="CU405" t="str">
            <v>MO0391</v>
          </cell>
          <cell r="DH405">
            <v>0</v>
          </cell>
          <cell r="DI405">
            <v>42194</v>
          </cell>
          <cell r="DK405">
            <v>42191</v>
          </cell>
          <cell r="DL405">
            <v>42199</v>
          </cell>
          <cell r="DM405">
            <v>42195</v>
          </cell>
          <cell r="DN405">
            <v>42199</v>
          </cell>
          <cell r="DO405">
            <v>0</v>
          </cell>
          <cell r="DP405">
            <v>42194</v>
          </cell>
          <cell r="DT405">
            <v>0</v>
          </cell>
          <cell r="DU405">
            <v>42209</v>
          </cell>
          <cell r="DW405">
            <v>0</v>
          </cell>
          <cell r="DY405">
            <v>42195</v>
          </cell>
          <cell r="DZ405">
            <v>42206</v>
          </cell>
          <cell r="EA405" t="str">
            <v>Leadcom</v>
          </cell>
          <cell r="EB405">
            <v>42217</v>
          </cell>
          <cell r="ED405" t="str">
            <v xml:space="preserve">12Aug15 :KaungHtet: According to owner, Oredoo tower wrongly excavated at our site for tower foundation. This excavated trench will be used by our CW sub-con.
</v>
          </cell>
          <cell r="EE405" t="str">
            <v xml:space="preserve">10 Aug 15:Flood affected_Hold-No access; 1-Aug-15:  ACCESS PROBLEM IF CONTINUOUS RAIN (DIRT ROAD)								</v>
          </cell>
          <cell r="EJ405">
            <v>0</v>
          </cell>
          <cell r="EK405">
            <v>42212</v>
          </cell>
          <cell r="EM405">
            <v>42213</v>
          </cell>
          <cell r="EQ405">
            <v>42222</v>
          </cell>
          <cell r="EW405">
            <v>0</v>
          </cell>
          <cell r="EX405">
            <v>42263</v>
          </cell>
          <cell r="EZ405">
            <v>42232</v>
          </cell>
          <cell r="FB405">
            <v>42234</v>
          </cell>
          <cell r="FU405">
            <v>42236</v>
          </cell>
          <cell r="FW405">
            <v>42236</v>
          </cell>
          <cell r="GJ405">
            <v>0</v>
          </cell>
          <cell r="GN405" t="str">
            <v>ERICSSON</v>
          </cell>
          <cell r="GS405" t="str">
            <v>4/4/4</v>
          </cell>
          <cell r="GU405" t="str">
            <v xml:space="preserve">		</v>
          </cell>
          <cell r="HD405">
            <v>1</v>
          </cell>
        </row>
        <row r="406">
          <cell r="A406" t="str">
            <v>MO0394</v>
          </cell>
          <cell r="B406" t="str">
            <v>ASMO_0210</v>
          </cell>
          <cell r="C406" t="str">
            <v>Apollo</v>
          </cell>
          <cell r="D406" t="str">
            <v>Robert</v>
          </cell>
          <cell r="F406" t="str">
            <v>Phyo Wai Maung</v>
          </cell>
          <cell r="G406" t="str">
            <v>Thant Zin Oo</v>
          </cell>
          <cell r="H406" t="str">
            <v>AMBER</v>
          </cell>
          <cell r="I406" t="str">
            <v>South</v>
          </cell>
          <cell r="J406" t="str">
            <v>97.651417</v>
          </cell>
          <cell r="K406" t="str">
            <v>16.281622</v>
          </cell>
          <cell r="L406" t="str">
            <v>Rural</v>
          </cell>
          <cell r="M406" t="str">
            <v>Mon</v>
          </cell>
          <cell r="N406" t="str">
            <v>Mudon</v>
          </cell>
          <cell r="O406" t="str">
            <v>Mudon</v>
          </cell>
          <cell r="P406" t="str">
            <v>Mon</v>
          </cell>
          <cell r="Q406" t="str">
            <v>22</v>
          </cell>
          <cell r="R406" t="str">
            <v>Mudon</v>
          </cell>
          <cell r="S406" t="str">
            <v>174</v>
          </cell>
          <cell r="T406" t="str">
            <v>GSM+UMTS</v>
          </cell>
          <cell r="W406" t="str">
            <v>Ph2-Priority</v>
          </cell>
          <cell r="X406" t="str">
            <v>45</v>
          </cell>
          <cell r="Y406" t="str">
            <v>47</v>
          </cell>
          <cell r="Z406" t="str">
            <v>GBT</v>
          </cell>
          <cell r="AA406" t="str">
            <v>500</v>
          </cell>
          <cell r="AB406" t="str">
            <v>Access</v>
          </cell>
          <cell r="AC406" t="str">
            <v>Class C</v>
          </cell>
          <cell r="BE406" t="str">
            <v>Route 2 Yangon -Mawlamyine</v>
          </cell>
          <cell r="BH406" t="str">
            <v>Leadcom</v>
          </cell>
          <cell r="BJ406">
            <v>42168</v>
          </cell>
          <cell r="BK406">
            <v>42170</v>
          </cell>
          <cell r="BL406">
            <v>42173</v>
          </cell>
          <cell r="BM406">
            <v>42177</v>
          </cell>
          <cell r="BT406">
            <v>10</v>
          </cell>
          <cell r="BU406">
            <v>42204</v>
          </cell>
          <cell r="BV406">
            <v>42180</v>
          </cell>
          <cell r="BW406" t="str">
            <v>97.64735</v>
          </cell>
          <cell r="BX406" t="str">
            <v>16.28091</v>
          </cell>
          <cell r="BY406" t="str">
            <v>C2</v>
          </cell>
          <cell r="BZ406" t="str">
            <v>Kin Chaung Taung Kwin, Kwin N0. 835, Holding N0. 12/14, Kin Chaung Village, Mudone Tsp, Mon State</v>
          </cell>
          <cell r="CA406" t="str">
            <v>U Kyaw Kyaw;09-796723158,09255908451</v>
          </cell>
          <cell r="CB406" t="str">
            <v>25 June  15: C2 SAR sub;(C1, FARM LAND)</v>
          </cell>
          <cell r="CC406" t="str">
            <v>RESIDENTIAL</v>
          </cell>
          <cell r="CE406">
            <v>2</v>
          </cell>
          <cell r="CF406">
            <v>42205</v>
          </cell>
          <cell r="CG406">
            <v>42182</v>
          </cell>
          <cell r="CH406">
            <v>42207</v>
          </cell>
          <cell r="CJ406">
            <v>42189</v>
          </cell>
          <cell r="CK406" t="str">
            <v>45</v>
          </cell>
          <cell r="CL406" t="str">
            <v>47</v>
          </cell>
          <cell r="CM406" t="str">
            <v>50</v>
          </cell>
          <cell r="CN406">
            <v>9</v>
          </cell>
          <cell r="CO406">
            <v>42210</v>
          </cell>
          <cell r="CP406">
            <v>42191</v>
          </cell>
          <cell r="CQ406" t="str">
            <v>M4: solar + DG + battery</v>
          </cell>
          <cell r="CR406">
            <v>1</v>
          </cell>
          <cell r="CS406">
            <v>42211</v>
          </cell>
          <cell r="CT406">
            <v>42192</v>
          </cell>
          <cell r="CU406" t="str">
            <v>MO0394</v>
          </cell>
          <cell r="DH406">
            <v>25</v>
          </cell>
          <cell r="DI406">
            <v>42221</v>
          </cell>
          <cell r="DJ406">
            <v>42217</v>
          </cell>
          <cell r="DK406">
            <v>42218</v>
          </cell>
          <cell r="DM406">
            <v>42222</v>
          </cell>
          <cell r="DO406">
            <v>0</v>
          </cell>
          <cell r="DP406">
            <v>42221</v>
          </cell>
          <cell r="DQ406">
            <v>42217</v>
          </cell>
          <cell r="DT406">
            <v>16</v>
          </cell>
          <cell r="DU406">
            <v>42236</v>
          </cell>
          <cell r="DW406">
            <v>0</v>
          </cell>
          <cell r="DY406">
            <v>42222</v>
          </cell>
          <cell r="DZ406">
            <v>42208</v>
          </cell>
          <cell r="EA406" t="str">
            <v>Leadcom</v>
          </cell>
          <cell r="ED406" t="str">
            <v xml:space="preserve">17Aug15 :ThantZin.Oo: 13/8/15 : Footing and Pedestal rebar-work in progress .
</v>
          </cell>
          <cell r="EE406" t="str">
            <v xml:space="preserve">10 Aug 15:Rain affected_Progress affected; 3-Aug-15: Rain Affected								</v>
          </cell>
          <cell r="EJ406">
            <v>25</v>
          </cell>
          <cell r="EK406">
            <v>42239</v>
          </cell>
          <cell r="EL406">
            <v>42233</v>
          </cell>
          <cell r="EM406">
            <v>42240</v>
          </cell>
          <cell r="EQ406">
            <v>42249</v>
          </cell>
          <cell r="ES406">
            <v>42250</v>
          </cell>
          <cell r="EW406">
            <v>25</v>
          </cell>
          <cell r="EX406">
            <v>42263</v>
          </cell>
          <cell r="EZ406">
            <v>42259</v>
          </cell>
          <cell r="FB406">
            <v>42261</v>
          </cell>
          <cell r="FU406">
            <v>42263</v>
          </cell>
          <cell r="FW406">
            <v>42263</v>
          </cell>
          <cell r="GI406">
            <v>42307</v>
          </cell>
          <cell r="GJ406" t="str">
            <v>44-2015</v>
          </cell>
          <cell r="GN406" t="str">
            <v>ERICSSON</v>
          </cell>
          <cell r="GS406" t="str">
            <v>4/4/4</v>
          </cell>
          <cell r="GU406" t="str">
            <v xml:space="preserve">		</v>
          </cell>
          <cell r="HD406">
            <v>1</v>
          </cell>
        </row>
        <row r="407">
          <cell r="A407" t="str">
            <v>MO0403</v>
          </cell>
          <cell r="B407" t="str">
            <v>ASMO_0211</v>
          </cell>
          <cell r="C407" t="str">
            <v>Apollo</v>
          </cell>
          <cell r="D407" t="str">
            <v>Robert</v>
          </cell>
          <cell r="F407" t="str">
            <v>Phyo Wai Maung</v>
          </cell>
          <cell r="G407" t="str">
            <v>Thant Zin Oo</v>
          </cell>
          <cell r="H407" t="str">
            <v>RED</v>
          </cell>
          <cell r="I407" t="str">
            <v>South</v>
          </cell>
          <cell r="J407" t="str">
            <v>97.276278</v>
          </cell>
          <cell r="K407" t="str">
            <v>16.93568</v>
          </cell>
          <cell r="L407" t="str">
            <v>Rural</v>
          </cell>
          <cell r="M407" t="str">
            <v>Mon</v>
          </cell>
          <cell r="N407" t="str">
            <v>Thaton</v>
          </cell>
          <cell r="O407" t="str">
            <v>Thaton</v>
          </cell>
          <cell r="P407" t="str">
            <v>Mon</v>
          </cell>
          <cell r="Q407" t="str">
            <v>22</v>
          </cell>
          <cell r="R407" t="str">
            <v>Thaton</v>
          </cell>
          <cell r="S407" t="str">
            <v>176</v>
          </cell>
          <cell r="T407" t="str">
            <v>GSM+UMTS</v>
          </cell>
          <cell r="W407" t="str">
            <v>Ph2-Priority</v>
          </cell>
          <cell r="X407" t="str">
            <v>45</v>
          </cell>
          <cell r="Y407" t="str">
            <v>47</v>
          </cell>
          <cell r="Z407" t="str">
            <v>GBT</v>
          </cell>
          <cell r="AA407" t="str">
            <v>500</v>
          </cell>
          <cell r="AB407" t="str">
            <v>Access</v>
          </cell>
          <cell r="AC407" t="str">
            <v>Class C</v>
          </cell>
          <cell r="BH407" t="str">
            <v>Leadcom</v>
          </cell>
          <cell r="BJ407">
            <v>42168</v>
          </cell>
          <cell r="BK407">
            <v>42156</v>
          </cell>
          <cell r="BL407">
            <v>42173</v>
          </cell>
          <cell r="BM407">
            <v>42163</v>
          </cell>
          <cell r="BT407">
            <v>71</v>
          </cell>
          <cell r="BU407">
            <v>42204</v>
          </cell>
          <cell r="BV407">
            <v>42227</v>
          </cell>
          <cell r="BW407" t="str">
            <v>97.25602</v>
          </cell>
          <cell r="BX407" t="str">
            <v>16.98028</v>
          </cell>
          <cell r="BY407" t="str">
            <v>C4</v>
          </cell>
          <cell r="BZ407" t="str">
            <v>Field No(596),U PY no(51/1),Tha Yat Taw ward,Ma Yan Kone village group,Kyite Hto Tsp,Mon State</v>
          </cell>
          <cell r="CA407" t="str">
            <v>U Soe Tint,09-791834485</v>
          </cell>
          <cell r="CB407" t="str">
            <v>11 Aug 15 : C4 SAR sub(SUROUNDING AREA IS PADDY LAND);1 July 15 : C2 SAR rejected(RND rejected because this site is 6.87km far from the nominal point.Please find the new candidate near the nominal point.);18Jun15: C2 SAR Sub, C1 Farmland</v>
          </cell>
          <cell r="CC407" t="str">
            <v>GARDEN LAND</v>
          </cell>
          <cell r="CE407">
            <v>1</v>
          </cell>
          <cell r="CF407">
            <v>42205</v>
          </cell>
          <cell r="CG407">
            <v>42228</v>
          </cell>
          <cell r="CH407">
            <v>42207</v>
          </cell>
          <cell r="CJ407">
            <v>42232</v>
          </cell>
          <cell r="CK407" t="str">
            <v>45</v>
          </cell>
          <cell r="CL407" t="str">
            <v>47</v>
          </cell>
          <cell r="CM407" t="str">
            <v>50</v>
          </cell>
          <cell r="CN407">
            <v>5</v>
          </cell>
          <cell r="CO407">
            <v>42210</v>
          </cell>
          <cell r="CP407">
            <v>42234</v>
          </cell>
          <cell r="CQ407" t="str">
            <v>M1: grid power + battery</v>
          </cell>
          <cell r="CR407">
            <v>0</v>
          </cell>
          <cell r="CS407">
            <v>42211</v>
          </cell>
          <cell r="CT407">
            <v>42236</v>
          </cell>
          <cell r="CU407" t="str">
            <v>MO0403</v>
          </cell>
          <cell r="DH407">
            <v>0</v>
          </cell>
          <cell r="DI407">
            <v>42221</v>
          </cell>
          <cell r="DK407">
            <v>42218</v>
          </cell>
          <cell r="DM407">
            <v>42222</v>
          </cell>
          <cell r="DO407">
            <v>0</v>
          </cell>
          <cell r="DP407">
            <v>42221</v>
          </cell>
          <cell r="DT407">
            <v>0</v>
          </cell>
          <cell r="DU407">
            <v>42236</v>
          </cell>
          <cell r="DW407">
            <v>0</v>
          </cell>
          <cell r="DY407">
            <v>42222</v>
          </cell>
          <cell r="DZ407">
            <v>42244</v>
          </cell>
          <cell r="EA407" t="str">
            <v>Leadcom</v>
          </cell>
          <cell r="EJ407">
            <v>0</v>
          </cell>
          <cell r="EK407">
            <v>42239</v>
          </cell>
          <cell r="EM407">
            <v>42240</v>
          </cell>
          <cell r="EQ407">
            <v>42249</v>
          </cell>
          <cell r="EW407">
            <v>0</v>
          </cell>
          <cell r="EX407">
            <v>42263</v>
          </cell>
          <cell r="EZ407">
            <v>42259</v>
          </cell>
          <cell r="FB407">
            <v>42261</v>
          </cell>
          <cell r="FU407">
            <v>42263</v>
          </cell>
          <cell r="FW407">
            <v>42263</v>
          </cell>
          <cell r="GJ407">
            <v>0</v>
          </cell>
          <cell r="GN407" t="str">
            <v>ERICSSON</v>
          </cell>
          <cell r="GS407" t="str">
            <v>4/4/4</v>
          </cell>
          <cell r="GU407" t="str">
            <v xml:space="preserve">		</v>
          </cell>
          <cell r="HD407">
            <v>1</v>
          </cell>
        </row>
        <row r="408">
          <cell r="A408" t="str">
            <v>MO0408</v>
          </cell>
          <cell r="B408" t="str">
            <v>ASMO_0212</v>
          </cell>
          <cell r="C408" t="str">
            <v>Apollo</v>
          </cell>
          <cell r="D408" t="str">
            <v>Robert</v>
          </cell>
          <cell r="F408" t="str">
            <v>Phyo Wai Maung</v>
          </cell>
          <cell r="G408" t="str">
            <v>Thant Zin Oo</v>
          </cell>
          <cell r="H408" t="str">
            <v>RED</v>
          </cell>
          <cell r="I408" t="str">
            <v>South</v>
          </cell>
          <cell r="J408" t="str">
            <v>97.964239</v>
          </cell>
          <cell r="K408" t="str">
            <v>16.255183</v>
          </cell>
          <cell r="L408" t="str">
            <v>Rural</v>
          </cell>
          <cell r="M408" t="str">
            <v>Mon</v>
          </cell>
          <cell r="N408" t="str">
            <v>Kyaikmaraw</v>
          </cell>
          <cell r="O408" t="str">
            <v>Kyaikmaraw</v>
          </cell>
          <cell r="P408" t="str">
            <v>Mon</v>
          </cell>
          <cell r="Q408" t="str">
            <v>22</v>
          </cell>
          <cell r="R408" t="str">
            <v>Kyaikmaraw</v>
          </cell>
          <cell r="S408" t="str">
            <v>171</v>
          </cell>
          <cell r="T408" t="str">
            <v>GSM+UMTS</v>
          </cell>
          <cell r="W408" t="str">
            <v>Ph2-Priority</v>
          </cell>
          <cell r="X408" t="str">
            <v>55</v>
          </cell>
          <cell r="Y408" t="str">
            <v>57</v>
          </cell>
          <cell r="Z408" t="str">
            <v>GBT</v>
          </cell>
          <cell r="AA408" t="str">
            <v>500</v>
          </cell>
          <cell r="AB408" t="str">
            <v>Access</v>
          </cell>
          <cell r="AC408" t="str">
            <v>Class C</v>
          </cell>
          <cell r="BE408" t="str">
            <v>Route 7 Bago - Pyawbwe</v>
          </cell>
          <cell r="BH408" t="str">
            <v>Leadcom</v>
          </cell>
          <cell r="BJ408">
            <v>42168</v>
          </cell>
          <cell r="BK408">
            <v>42167</v>
          </cell>
          <cell r="BL408">
            <v>42173</v>
          </cell>
          <cell r="BM408">
            <v>42174</v>
          </cell>
          <cell r="BT408">
            <v>46</v>
          </cell>
          <cell r="BU408">
            <v>42241</v>
          </cell>
          <cell r="BV408">
            <v>42213</v>
          </cell>
          <cell r="BW408" t="str">
            <v>97.965187</v>
          </cell>
          <cell r="BX408" t="str">
            <v>16.255765</v>
          </cell>
          <cell r="BY408" t="str">
            <v>C2</v>
          </cell>
          <cell r="BZ408" t="str">
            <v>Fber Thein village ,Kyeikmaraw Tsp.</v>
          </cell>
          <cell r="CA408" t="str">
            <v>U Saw Thaung Kyi,09-788335162</v>
          </cell>
          <cell r="CB408" t="str">
            <v>28 July 15 : C2 SAR sub;C1 PADDY LAND</v>
          </cell>
          <cell r="CC408" t="str">
            <v>Residential</v>
          </cell>
          <cell r="CE408">
            <v>1</v>
          </cell>
          <cell r="CF408">
            <v>42242</v>
          </cell>
          <cell r="CG408">
            <v>42214</v>
          </cell>
          <cell r="CH408">
            <v>42244</v>
          </cell>
          <cell r="CJ408">
            <v>42220</v>
          </cell>
          <cell r="CK408" t="str">
            <v>50</v>
          </cell>
          <cell r="CL408" t="str">
            <v>52</v>
          </cell>
          <cell r="CM408" t="str">
            <v>60</v>
          </cell>
          <cell r="CN408">
            <v>8</v>
          </cell>
          <cell r="CO408">
            <v>42247</v>
          </cell>
          <cell r="CP408">
            <v>42222</v>
          </cell>
          <cell r="CQ408" t="str">
            <v>M4: solar + DG + battery</v>
          </cell>
          <cell r="CR408">
            <v>1</v>
          </cell>
          <cell r="CS408">
            <v>42248</v>
          </cell>
          <cell r="CT408">
            <v>42223</v>
          </cell>
          <cell r="CU408" t="str">
            <v>MO0408</v>
          </cell>
          <cell r="DH408">
            <v>10</v>
          </cell>
          <cell r="DI408">
            <v>42258</v>
          </cell>
          <cell r="DK408">
            <v>42255</v>
          </cell>
          <cell r="DM408">
            <v>42259</v>
          </cell>
          <cell r="DO408">
            <v>0</v>
          </cell>
          <cell r="DP408">
            <v>42258</v>
          </cell>
          <cell r="DT408">
            <v>0</v>
          </cell>
          <cell r="DU408">
            <v>42273</v>
          </cell>
          <cell r="DW408">
            <v>0</v>
          </cell>
          <cell r="DY408">
            <v>42259</v>
          </cell>
          <cell r="DZ408">
            <v>42245</v>
          </cell>
          <cell r="EA408" t="str">
            <v>Leadcom</v>
          </cell>
          <cell r="ED408" t="str">
            <v xml:space="preserve">14Aug15 :KaungHtet: Columns casting will be done by today evening.
</v>
          </cell>
          <cell r="EJ408">
            <v>0</v>
          </cell>
          <cell r="EK408">
            <v>42281</v>
          </cell>
          <cell r="EM408">
            <v>42282</v>
          </cell>
          <cell r="EQ408">
            <v>42294</v>
          </cell>
          <cell r="EW408">
            <v>0</v>
          </cell>
          <cell r="EX408">
            <v>42308</v>
          </cell>
          <cell r="EZ408">
            <v>42304</v>
          </cell>
          <cell r="FB408">
            <v>42306</v>
          </cell>
          <cell r="FU408">
            <v>42308</v>
          </cell>
          <cell r="FW408">
            <v>42308</v>
          </cell>
          <cell r="GI408">
            <v>42246</v>
          </cell>
          <cell r="GJ408">
            <v>0</v>
          </cell>
          <cell r="GN408" t="str">
            <v>ERICSSON</v>
          </cell>
          <cell r="GU408" t="str">
            <v xml:space="preserve">		</v>
          </cell>
          <cell r="HD408">
            <v>1</v>
          </cell>
        </row>
        <row r="409">
          <cell r="A409" t="str">
            <v>MO0409</v>
          </cell>
          <cell r="B409" t="str">
            <v>ASMO_0213</v>
          </cell>
          <cell r="C409" t="str">
            <v>Apollo</v>
          </cell>
          <cell r="D409" t="str">
            <v>Robert</v>
          </cell>
          <cell r="F409" t="str">
            <v>Phyo Wai Maung</v>
          </cell>
          <cell r="G409" t="str">
            <v>Thant Zin Oo</v>
          </cell>
          <cell r="H409" t="str">
            <v>RED</v>
          </cell>
          <cell r="I409" t="str">
            <v>South</v>
          </cell>
          <cell r="J409" t="str">
            <v>97.881297</v>
          </cell>
          <cell r="K409" t="str">
            <v>16.204023</v>
          </cell>
          <cell r="L409" t="str">
            <v>Rural</v>
          </cell>
          <cell r="M409" t="str">
            <v>Mon</v>
          </cell>
          <cell r="N409" t="str">
            <v>Kyaikmaraw</v>
          </cell>
          <cell r="O409" t="str">
            <v>Kyaikmaraw</v>
          </cell>
          <cell r="P409" t="str">
            <v>Mon</v>
          </cell>
          <cell r="Q409" t="str">
            <v>22</v>
          </cell>
          <cell r="R409" t="str">
            <v>Kyaikmaraw</v>
          </cell>
          <cell r="S409" t="str">
            <v>171</v>
          </cell>
          <cell r="T409" t="str">
            <v>GSM+UMTS</v>
          </cell>
          <cell r="W409" t="str">
            <v>Ph2-Priority</v>
          </cell>
          <cell r="X409" t="str">
            <v>45</v>
          </cell>
          <cell r="Y409" t="str">
            <v>47</v>
          </cell>
          <cell r="Z409" t="str">
            <v>GBT</v>
          </cell>
          <cell r="AA409" t="str">
            <v>500</v>
          </cell>
          <cell r="AB409" t="str">
            <v>Access</v>
          </cell>
          <cell r="AC409" t="str">
            <v>Class C</v>
          </cell>
          <cell r="BE409" t="str">
            <v>Yangon Ring 4</v>
          </cell>
          <cell r="BH409" t="str">
            <v>Leadcom</v>
          </cell>
          <cell r="BJ409">
            <v>42168</v>
          </cell>
          <cell r="BK409">
            <v>42167</v>
          </cell>
          <cell r="BL409">
            <v>42173</v>
          </cell>
          <cell r="BM409">
            <v>42174</v>
          </cell>
          <cell r="BT409">
            <v>59</v>
          </cell>
          <cell r="BU409">
            <v>42178</v>
          </cell>
          <cell r="BV409">
            <v>42226</v>
          </cell>
          <cell r="BW409" t="str">
            <v>97.881408</v>
          </cell>
          <cell r="BX409" t="str">
            <v>16.207475</v>
          </cell>
          <cell r="BY409" t="str">
            <v>C3</v>
          </cell>
          <cell r="CB409" t="str">
            <v>10 Aug 15 :C3 SAR sub(C1,C2 FARMLAND)</v>
          </cell>
          <cell r="CC409" t="str">
            <v>GARDEN LAND</v>
          </cell>
          <cell r="CE409">
            <v>1</v>
          </cell>
          <cell r="CF409">
            <v>42179</v>
          </cell>
          <cell r="CG409">
            <v>42227</v>
          </cell>
          <cell r="CH409">
            <v>42181</v>
          </cell>
          <cell r="CN409">
            <v>6</v>
          </cell>
          <cell r="CO409">
            <v>42184</v>
          </cell>
          <cell r="CR409">
            <v>0</v>
          </cell>
          <cell r="CS409">
            <v>42185</v>
          </cell>
          <cell r="CU409" t="str">
            <v>MO0409</v>
          </cell>
          <cell r="DH409">
            <v>0</v>
          </cell>
          <cell r="DI409">
            <v>42195</v>
          </cell>
          <cell r="DK409">
            <v>42192</v>
          </cell>
          <cell r="DM409">
            <v>42196</v>
          </cell>
          <cell r="DO409">
            <v>0</v>
          </cell>
          <cell r="DP409">
            <v>42195</v>
          </cell>
          <cell r="DT409">
            <v>0</v>
          </cell>
          <cell r="DU409">
            <v>42210</v>
          </cell>
          <cell r="DW409">
            <v>0</v>
          </cell>
          <cell r="DY409">
            <v>42196</v>
          </cell>
          <cell r="EA409" t="str">
            <v>Leadcom</v>
          </cell>
          <cell r="EJ409">
            <v>0</v>
          </cell>
          <cell r="EK409">
            <v>42213</v>
          </cell>
          <cell r="EM409">
            <v>42214</v>
          </cell>
          <cell r="EQ409">
            <v>42223</v>
          </cell>
          <cell r="EW409">
            <v>0</v>
          </cell>
          <cell r="EX409">
            <v>42237</v>
          </cell>
          <cell r="EZ409">
            <v>42233</v>
          </cell>
          <cell r="FB409">
            <v>42235</v>
          </cell>
          <cell r="FU409">
            <v>42237</v>
          </cell>
          <cell r="FW409">
            <v>42237</v>
          </cell>
          <cell r="GJ409">
            <v>0</v>
          </cell>
          <cell r="GN409" t="str">
            <v>ERICSSON</v>
          </cell>
          <cell r="GS409" t="str">
            <v>4/4/4</v>
          </cell>
          <cell r="GU409" t="str">
            <v xml:space="preserve">		</v>
          </cell>
          <cell r="HD409">
            <v>1</v>
          </cell>
        </row>
        <row r="410">
          <cell r="A410" t="str">
            <v>MO0414</v>
          </cell>
          <cell r="B410" t="str">
            <v>ASMO_0214</v>
          </cell>
          <cell r="C410" t="str">
            <v>Apollo</v>
          </cell>
          <cell r="D410" t="str">
            <v>Robert</v>
          </cell>
          <cell r="F410" t="str">
            <v>Phyo Wai Maung</v>
          </cell>
          <cell r="G410" t="str">
            <v>Thant Zin Oo</v>
          </cell>
          <cell r="H410" t="str">
            <v>RED</v>
          </cell>
          <cell r="I410" t="str">
            <v>South</v>
          </cell>
          <cell r="J410" t="str">
            <v>97.418694</v>
          </cell>
          <cell r="K410" t="str">
            <v>16.958778</v>
          </cell>
          <cell r="L410" t="str">
            <v>Rural</v>
          </cell>
          <cell r="M410" t="str">
            <v>Mon</v>
          </cell>
          <cell r="N410" t="str">
            <v>Thaton</v>
          </cell>
          <cell r="O410" t="str">
            <v>Thaton</v>
          </cell>
          <cell r="P410" t="str">
            <v>Mon</v>
          </cell>
          <cell r="Q410" t="str">
            <v>22</v>
          </cell>
          <cell r="R410" t="str">
            <v>Thaton</v>
          </cell>
          <cell r="S410" t="str">
            <v>176</v>
          </cell>
          <cell r="T410" t="str">
            <v>GSM+UMTS</v>
          </cell>
          <cell r="W410" t="str">
            <v>Ph2-Priority</v>
          </cell>
          <cell r="X410" t="str">
            <v>45</v>
          </cell>
          <cell r="Y410" t="str">
            <v>47</v>
          </cell>
          <cell r="Z410" t="str">
            <v>GBT</v>
          </cell>
          <cell r="AA410" t="str">
            <v>500</v>
          </cell>
          <cell r="AB410" t="str">
            <v>Access</v>
          </cell>
          <cell r="AC410" t="str">
            <v>Class C</v>
          </cell>
          <cell r="BE410" t="str">
            <v>Route 1 Yangon - Mandalay</v>
          </cell>
          <cell r="BH410" t="str">
            <v>Camusat</v>
          </cell>
          <cell r="BJ410">
            <v>42168</v>
          </cell>
          <cell r="BK410">
            <v>42166</v>
          </cell>
          <cell r="BL410">
            <v>42173</v>
          </cell>
          <cell r="BM410">
            <v>42173</v>
          </cell>
          <cell r="BT410">
            <v>67</v>
          </cell>
          <cell r="BU410">
            <v>42209</v>
          </cell>
          <cell r="BV410">
            <v>42237</v>
          </cell>
          <cell r="BW410" t="str">
            <v>97.4186</v>
          </cell>
          <cell r="BX410" t="str">
            <v>16.96119</v>
          </cell>
          <cell r="BY410" t="str">
            <v>C4</v>
          </cell>
          <cell r="BZ410" t="str">
            <v>Field No. 493, We Yaw Street, Kyar Pan Village, Du Yinn Sake Village Track,Thatone Township, Mon State</v>
          </cell>
          <cell r="CA410" t="str">
            <v>Daw Mya Aye, 09-425264919, 09-973042694</v>
          </cell>
          <cell r="CB410" t="str">
            <v>21 Aug 15:C4 SAR sub(C1:C2:C3: Access issue)</v>
          </cell>
          <cell r="CC410" t="str">
            <v>Village Land</v>
          </cell>
          <cell r="CE410">
            <v>0</v>
          </cell>
          <cell r="CF410">
            <v>42210</v>
          </cell>
          <cell r="CG410">
            <v>42240</v>
          </cell>
          <cell r="CH410">
            <v>42212</v>
          </cell>
          <cell r="CJ410">
            <v>42245</v>
          </cell>
          <cell r="CK410" t="str">
            <v>45</v>
          </cell>
          <cell r="CL410" t="str">
            <v>47</v>
          </cell>
          <cell r="CM410" t="str">
            <v>50</v>
          </cell>
          <cell r="CN410">
            <v>0</v>
          </cell>
          <cell r="CO410">
            <v>42215</v>
          </cell>
          <cell r="CP410">
            <v>42247</v>
          </cell>
          <cell r="CQ410" t="str">
            <v>M1: grid power + battery</v>
          </cell>
          <cell r="CR410">
            <v>0</v>
          </cell>
          <cell r="CS410">
            <v>42216</v>
          </cell>
          <cell r="CT410">
            <v>42248</v>
          </cell>
          <cell r="CU410" t="str">
            <v>MO0414</v>
          </cell>
          <cell r="DH410">
            <v>0</v>
          </cell>
          <cell r="DI410">
            <v>42226</v>
          </cell>
          <cell r="DK410">
            <v>42223</v>
          </cell>
          <cell r="DL410">
            <v>42172</v>
          </cell>
          <cell r="DM410">
            <v>42227</v>
          </cell>
          <cell r="DN410">
            <v>42172</v>
          </cell>
          <cell r="DO410">
            <v>0</v>
          </cell>
          <cell r="DP410">
            <v>42226</v>
          </cell>
          <cell r="DT410">
            <v>0</v>
          </cell>
          <cell r="DU410">
            <v>42241</v>
          </cell>
          <cell r="DW410">
            <v>0</v>
          </cell>
          <cell r="DY410">
            <v>42227</v>
          </cell>
          <cell r="DZ410">
            <v>42188</v>
          </cell>
          <cell r="EA410" t="str">
            <v>Leadcom</v>
          </cell>
          <cell r="ED410" t="str">
            <v>31Jul15 :ChoYee.Thaung: 30/7/15 : Tower erection on going, Equ pad done, grounding done but bus bar not yet install_x000D_
23/7/15 : Backfilling on going, grounding done, tower on site
15Jul15 :ChoYee.Thaung: 14/7/15 : Rebar work done, Footing casted today, waiting for anchor bolt,nut and template_x000D_
9/7/15 : Excavation on going (90%)</v>
          </cell>
          <cell r="EI410" t="str">
            <v>M7: 2DG + battery      </v>
          </cell>
          <cell r="EJ410">
            <v>0</v>
          </cell>
          <cell r="EK410">
            <v>42244</v>
          </cell>
          <cell r="EL410">
            <v>42204</v>
          </cell>
          <cell r="EM410">
            <v>42245</v>
          </cell>
          <cell r="EN410">
            <v>42210</v>
          </cell>
          <cell r="EQ410">
            <v>42254</v>
          </cell>
          <cell r="ER410">
            <v>42219</v>
          </cell>
          <cell r="ES410">
            <v>42211</v>
          </cell>
          <cell r="ET410">
            <v>42222</v>
          </cell>
          <cell r="EU410">
            <v>42222</v>
          </cell>
          <cell r="EW410">
            <v>0</v>
          </cell>
          <cell r="EX410">
            <v>42268</v>
          </cell>
          <cell r="EZ410">
            <v>42264</v>
          </cell>
          <cell r="FA410">
            <v>42219</v>
          </cell>
          <cell r="FB410">
            <v>42266</v>
          </cell>
          <cell r="FC410">
            <v>42221</v>
          </cell>
          <cell r="FU410">
            <v>42268</v>
          </cell>
          <cell r="FW410">
            <v>42268</v>
          </cell>
          <cell r="FX410">
            <v>42222</v>
          </cell>
          <cell r="GI410">
            <v>42246</v>
          </cell>
          <cell r="GJ410">
            <v>0</v>
          </cell>
          <cell r="GL410" t="str">
            <v>Upstream Dependency :: FE BA0801 (BA0801_R Reapeter Reqd.)</v>
          </cell>
          <cell r="GN410" t="str">
            <v xml:space="preserve">ERICSSON </v>
          </cell>
          <cell r="GO410">
            <v>42151</v>
          </cell>
          <cell r="GP410">
            <v>42199</v>
          </cell>
          <cell r="GQ410" t="str">
            <v xml:space="preserve">Upstream Dependency; </v>
          </cell>
          <cell r="GU410" t="str">
            <v xml:space="preserve">		</v>
          </cell>
          <cell r="HD410">
            <v>1</v>
          </cell>
        </row>
        <row r="411">
          <cell r="A411" t="str">
            <v>MO0415</v>
          </cell>
          <cell r="B411" t="str">
            <v>ASMO_0215</v>
          </cell>
          <cell r="C411" t="str">
            <v>Apollo</v>
          </cell>
          <cell r="D411" t="str">
            <v>Robert</v>
          </cell>
          <cell r="F411" t="str">
            <v>Phyo Wai Maung</v>
          </cell>
          <cell r="G411" t="str">
            <v>Thant Zin Oo</v>
          </cell>
          <cell r="H411" t="str">
            <v>RED</v>
          </cell>
          <cell r="I411" t="str">
            <v>South</v>
          </cell>
          <cell r="J411" t="str">
            <v>97.368035</v>
          </cell>
          <cell r="K411" t="str">
            <v>17.103846</v>
          </cell>
          <cell r="L411" t="str">
            <v>Rural</v>
          </cell>
          <cell r="M411" t="str">
            <v>Mon</v>
          </cell>
          <cell r="N411" t="str">
            <v>Thaton</v>
          </cell>
          <cell r="O411" t="str">
            <v>Thaton</v>
          </cell>
          <cell r="P411" t="str">
            <v>Mon</v>
          </cell>
          <cell r="Q411" t="str">
            <v>22</v>
          </cell>
          <cell r="R411" t="str">
            <v>Thaton</v>
          </cell>
          <cell r="S411" t="str">
            <v>176</v>
          </cell>
          <cell r="T411" t="str">
            <v>GSM+UMTS</v>
          </cell>
          <cell r="W411" t="str">
            <v>Ph2-Priority</v>
          </cell>
          <cell r="X411" t="str">
            <v>45</v>
          </cell>
          <cell r="Y411" t="str">
            <v>47</v>
          </cell>
          <cell r="Z411" t="str">
            <v>GBT</v>
          </cell>
          <cell r="AA411" t="str">
            <v>500</v>
          </cell>
          <cell r="AB411" t="str">
            <v>Access</v>
          </cell>
          <cell r="AC411" t="str">
            <v>Class C</v>
          </cell>
          <cell r="BH411" t="str">
            <v>Leadcom</v>
          </cell>
          <cell r="BJ411">
            <v>42168</v>
          </cell>
          <cell r="BK411">
            <v>42167</v>
          </cell>
          <cell r="BL411">
            <v>42173</v>
          </cell>
          <cell r="BM411">
            <v>42174</v>
          </cell>
          <cell r="BT411">
            <v>60</v>
          </cell>
          <cell r="BU411">
            <v>42178</v>
          </cell>
          <cell r="BV411">
            <v>42227</v>
          </cell>
          <cell r="BW411" t="str">
            <v>97.36891</v>
          </cell>
          <cell r="BX411" t="str">
            <v>17.10377</v>
          </cell>
          <cell r="BY411" t="str">
            <v>C6</v>
          </cell>
          <cell r="BZ411" t="str">
            <v>Field No(439/A),U py no(n/37),Htonbo lay village,Thaton tsp,Mon State</v>
          </cell>
          <cell r="CA411" t="str">
            <v>Daw Sein Myint,09-255930349/09-795094107</v>
          </cell>
          <cell r="CB411" t="str">
            <v>11 Aug 15 : C6 SAR sub</v>
          </cell>
          <cell r="CC411" t="str">
            <v>GARDEN LAND</v>
          </cell>
          <cell r="CE411">
            <v>1</v>
          </cell>
          <cell r="CF411">
            <v>42179</v>
          </cell>
          <cell r="CG411">
            <v>42228</v>
          </cell>
          <cell r="CH411">
            <v>42181</v>
          </cell>
          <cell r="CJ411">
            <v>42232</v>
          </cell>
          <cell r="CK411" t="str">
            <v>45</v>
          </cell>
          <cell r="CL411" t="str">
            <v>47</v>
          </cell>
          <cell r="CM411" t="str">
            <v>50</v>
          </cell>
          <cell r="CN411">
            <v>5</v>
          </cell>
          <cell r="CO411">
            <v>42184</v>
          </cell>
          <cell r="CP411">
            <v>42234</v>
          </cell>
          <cell r="CQ411" t="str">
            <v>M4: solar + DG + battery</v>
          </cell>
          <cell r="CR411">
            <v>0</v>
          </cell>
          <cell r="CS411">
            <v>42185</v>
          </cell>
          <cell r="CT411">
            <v>42236</v>
          </cell>
          <cell r="CU411" t="str">
            <v>MO0415</v>
          </cell>
          <cell r="DH411">
            <v>0</v>
          </cell>
          <cell r="DI411">
            <v>42195</v>
          </cell>
          <cell r="DJ411">
            <v>42170</v>
          </cell>
          <cell r="DK411">
            <v>42192</v>
          </cell>
          <cell r="DL411">
            <v>42168</v>
          </cell>
          <cell r="DM411">
            <v>42196</v>
          </cell>
          <cell r="DN411">
            <v>42174</v>
          </cell>
          <cell r="DO411">
            <v>0</v>
          </cell>
          <cell r="DP411">
            <v>42195</v>
          </cell>
          <cell r="DQ411">
            <v>42170</v>
          </cell>
          <cell r="DT411">
            <v>0</v>
          </cell>
          <cell r="DU411">
            <v>42210</v>
          </cell>
          <cell r="DV411">
            <v>42173</v>
          </cell>
          <cell r="DW411">
            <v>0</v>
          </cell>
          <cell r="DY411">
            <v>42196</v>
          </cell>
          <cell r="DZ411">
            <v>42245</v>
          </cell>
          <cell r="EA411" t="str">
            <v>Leadcom</v>
          </cell>
          <cell r="ED411" t="str">
            <v xml:space="preserve">25Jul15 :KyawZay.Yar: Erection ongoing.Equip; PAD ongoing.
</v>
          </cell>
          <cell r="EI411" t="str">
            <v>M5: grid power + DG + battery      </v>
          </cell>
          <cell r="EJ411">
            <v>0</v>
          </cell>
          <cell r="EK411">
            <v>42213</v>
          </cell>
          <cell r="EL411">
            <v>42193</v>
          </cell>
          <cell r="EM411">
            <v>42214</v>
          </cell>
          <cell r="EN411">
            <v>42204</v>
          </cell>
          <cell r="EQ411">
            <v>42223</v>
          </cell>
          <cell r="ER411">
            <v>42210</v>
          </cell>
          <cell r="ES411">
            <v>42214</v>
          </cell>
          <cell r="ET411">
            <v>42214</v>
          </cell>
          <cell r="EU411">
            <v>42214</v>
          </cell>
          <cell r="EW411">
            <v>0</v>
          </cell>
          <cell r="EX411">
            <v>42239</v>
          </cell>
          <cell r="EZ411">
            <v>42233</v>
          </cell>
          <cell r="FA411">
            <v>42216</v>
          </cell>
          <cell r="FB411">
            <v>42235</v>
          </cell>
          <cell r="FC411">
            <v>42217</v>
          </cell>
          <cell r="FU411">
            <v>42237</v>
          </cell>
          <cell r="FW411">
            <v>42237</v>
          </cell>
          <cell r="FX411">
            <v>42217</v>
          </cell>
          <cell r="FY411" t="str">
            <v>EM</v>
          </cell>
          <cell r="FZ411">
            <v>42217</v>
          </cell>
          <cell r="GA411">
            <v>42232</v>
          </cell>
          <cell r="GB411">
            <v>42232</v>
          </cell>
          <cell r="GC411">
            <v>42232</v>
          </cell>
          <cell r="GD411">
            <v>42233</v>
          </cell>
          <cell r="GE411">
            <v>42233</v>
          </cell>
          <cell r="GF411">
            <v>42233</v>
          </cell>
          <cell r="GG411">
            <v>42234</v>
          </cell>
          <cell r="GH411">
            <v>42234</v>
          </cell>
          <cell r="GJ411">
            <v>0</v>
          </cell>
          <cell r="GK411">
            <v>42234</v>
          </cell>
          <cell r="GN411" t="str">
            <v>ERICSSON</v>
          </cell>
          <cell r="GQ411">
            <v>0</v>
          </cell>
          <cell r="GU411" t="str">
            <v xml:space="preserve">		</v>
          </cell>
          <cell r="HD411">
            <v>1</v>
          </cell>
        </row>
        <row r="412">
          <cell r="A412" t="str">
            <v>MO0416</v>
          </cell>
          <cell r="B412" t="str">
            <v>ASMO_0216</v>
          </cell>
          <cell r="C412" t="str">
            <v>Apollo</v>
          </cell>
          <cell r="D412" t="str">
            <v>Robert</v>
          </cell>
          <cell r="F412" t="str">
            <v>Phyo Wai Maung</v>
          </cell>
          <cell r="G412" t="str">
            <v>Thant Zin Oo</v>
          </cell>
          <cell r="H412" t="str">
            <v>RED</v>
          </cell>
          <cell r="I412" t="str">
            <v>South</v>
          </cell>
          <cell r="J412" t="str">
            <v>97.453468</v>
          </cell>
          <cell r="K412" t="str">
            <v>16.923115</v>
          </cell>
          <cell r="L412" t="str">
            <v>Rural</v>
          </cell>
          <cell r="M412" t="str">
            <v>Mon</v>
          </cell>
          <cell r="N412" t="str">
            <v>Thaton</v>
          </cell>
          <cell r="O412" t="str">
            <v>Thaton</v>
          </cell>
          <cell r="P412" t="str">
            <v>Mon</v>
          </cell>
          <cell r="Q412" t="str">
            <v>22</v>
          </cell>
          <cell r="R412" t="str">
            <v>Thaton</v>
          </cell>
          <cell r="S412" t="str">
            <v>176</v>
          </cell>
          <cell r="T412" t="str">
            <v>GSM+UMTS</v>
          </cell>
          <cell r="W412" t="str">
            <v>Ph2-Priority</v>
          </cell>
          <cell r="X412" t="str">
            <v>45</v>
          </cell>
          <cell r="Y412" t="str">
            <v>47</v>
          </cell>
          <cell r="Z412" t="str">
            <v>GBT</v>
          </cell>
          <cell r="AA412" t="str">
            <v>500</v>
          </cell>
          <cell r="AB412" t="str">
            <v>Access</v>
          </cell>
          <cell r="AC412" t="str">
            <v>Class C</v>
          </cell>
          <cell r="BH412" t="str">
            <v>Leadcom</v>
          </cell>
          <cell r="BJ412">
            <v>42168</v>
          </cell>
          <cell r="BK412">
            <v>42139</v>
          </cell>
          <cell r="BL412">
            <v>42173</v>
          </cell>
          <cell r="BM412">
            <v>42146</v>
          </cell>
          <cell r="BT412">
            <v>17</v>
          </cell>
          <cell r="BU412">
            <v>42209</v>
          </cell>
          <cell r="BV412">
            <v>42156</v>
          </cell>
          <cell r="BW412" t="str">
            <v>95.24226</v>
          </cell>
          <cell r="BX412" t="str">
            <v>21.833648</v>
          </cell>
          <cell r="BY412" t="str">
            <v>C1</v>
          </cell>
          <cell r="BZ412" t="str">
            <v>Magyi Gwa Village, Chaung U Township, Sagaing Division.</v>
          </cell>
          <cell r="CA412" t="str">
            <v>U Aung Gyi;No (260), Ma Gyee Khwa Village, Chaung Oo Township,Monywar District, Sagaing Division;09 976462844</v>
          </cell>
          <cell r="CB412" t="str">
            <v>1May15: C1 SAR Sub</v>
          </cell>
          <cell r="CE412">
            <v>0</v>
          </cell>
          <cell r="CF412">
            <v>42210</v>
          </cell>
          <cell r="CG412">
            <v>42157</v>
          </cell>
          <cell r="CH412">
            <v>42212</v>
          </cell>
          <cell r="CJ412">
            <v>42164</v>
          </cell>
          <cell r="CK412" t="str">
            <v>45</v>
          </cell>
          <cell r="CL412" t="str">
            <v>47</v>
          </cell>
          <cell r="CM412" t="str">
            <v>50</v>
          </cell>
          <cell r="CN412">
            <v>0</v>
          </cell>
          <cell r="CO412">
            <v>42215</v>
          </cell>
          <cell r="CP412">
            <v>42166</v>
          </cell>
          <cell r="CQ412" t="str">
            <v>M1: grid power + battery</v>
          </cell>
          <cell r="CR412">
            <v>0</v>
          </cell>
          <cell r="CS412">
            <v>42216</v>
          </cell>
          <cell r="CT412">
            <v>42167</v>
          </cell>
          <cell r="CU412" t="str">
            <v>MO0416</v>
          </cell>
          <cell r="DH412">
            <v>0</v>
          </cell>
          <cell r="DI412">
            <v>42226</v>
          </cell>
          <cell r="DJ412">
            <v>42181</v>
          </cell>
          <cell r="DK412">
            <v>42223</v>
          </cell>
          <cell r="DL412">
            <v>42172</v>
          </cell>
          <cell r="DM412">
            <v>42227</v>
          </cell>
          <cell r="DN412">
            <v>42187</v>
          </cell>
          <cell r="DO412">
            <v>0</v>
          </cell>
          <cell r="DP412">
            <v>42226</v>
          </cell>
          <cell r="DQ412">
            <v>42181</v>
          </cell>
          <cell r="DT412">
            <v>0</v>
          </cell>
          <cell r="DU412">
            <v>42241</v>
          </cell>
          <cell r="DW412">
            <v>0</v>
          </cell>
          <cell r="DY412">
            <v>42227</v>
          </cell>
          <cell r="DZ412">
            <v>42186</v>
          </cell>
          <cell r="EA412" t="str">
            <v>Leadcom</v>
          </cell>
          <cell r="ED412" t="str">
            <v xml:space="preserve">25Jul15 :KyawZay.Yar: Excavation done.Lean concrete done.
</v>
          </cell>
          <cell r="EJ412">
            <v>0</v>
          </cell>
          <cell r="EK412">
            <v>42244</v>
          </cell>
          <cell r="EM412">
            <v>42245</v>
          </cell>
          <cell r="EQ412">
            <v>42254</v>
          </cell>
          <cell r="EW412">
            <v>0</v>
          </cell>
          <cell r="EX412">
            <v>42268</v>
          </cell>
          <cell r="EZ412">
            <v>42264</v>
          </cell>
          <cell r="FB412">
            <v>42266</v>
          </cell>
          <cell r="FU412">
            <v>42268</v>
          </cell>
          <cell r="FW412">
            <v>42268</v>
          </cell>
          <cell r="GI412">
            <v>42135</v>
          </cell>
          <cell r="GJ412">
            <v>0</v>
          </cell>
          <cell r="GN412" t="str">
            <v>ERICSSON</v>
          </cell>
          <cell r="GP412">
            <v>42206</v>
          </cell>
          <cell r="GU412" t="str">
            <v xml:space="preserve">		</v>
          </cell>
          <cell r="HD412">
            <v>1</v>
          </cell>
        </row>
        <row r="413">
          <cell r="A413" t="str">
            <v>MO0417</v>
          </cell>
          <cell r="B413" t="str">
            <v>ASMO_0217</v>
          </cell>
          <cell r="C413" t="str">
            <v>Apollo</v>
          </cell>
          <cell r="D413" t="str">
            <v>Robert</v>
          </cell>
          <cell r="F413" t="str">
            <v>Phyo Wai Maung</v>
          </cell>
          <cell r="G413" t="str">
            <v>Thant Zin Oo</v>
          </cell>
          <cell r="H413" t="str">
            <v>RED</v>
          </cell>
          <cell r="I413" t="str">
            <v>South</v>
          </cell>
          <cell r="J413" t="str">
            <v>97.499659</v>
          </cell>
          <cell r="K413" t="str">
            <v>16.556196</v>
          </cell>
          <cell r="L413" t="str">
            <v>Rural</v>
          </cell>
          <cell r="M413" t="str">
            <v>Mon</v>
          </cell>
          <cell r="N413" t="str">
            <v>Paung</v>
          </cell>
          <cell r="O413" t="str">
            <v>Paung</v>
          </cell>
          <cell r="P413" t="str">
            <v>Mon</v>
          </cell>
          <cell r="Q413" t="str">
            <v>22</v>
          </cell>
          <cell r="R413" t="str">
            <v>Paung</v>
          </cell>
          <cell r="S413" t="str">
            <v>177</v>
          </cell>
          <cell r="T413" t="str">
            <v>GSM+UMTS</v>
          </cell>
          <cell r="W413" t="str">
            <v>Ph2-Priority</v>
          </cell>
          <cell r="X413" t="str">
            <v>45</v>
          </cell>
          <cell r="Y413" t="str">
            <v>47</v>
          </cell>
          <cell r="Z413" t="str">
            <v>GBT</v>
          </cell>
          <cell r="AA413" t="str">
            <v>500</v>
          </cell>
          <cell r="AB413" t="str">
            <v>Access</v>
          </cell>
          <cell r="AC413" t="str">
            <v>Class C</v>
          </cell>
          <cell r="BE413" t="str">
            <v>Yangon Ring 4</v>
          </cell>
          <cell r="BH413" t="str">
            <v>Camusat</v>
          </cell>
          <cell r="BJ413">
            <v>42168</v>
          </cell>
          <cell r="BK413">
            <v>42156</v>
          </cell>
          <cell r="BL413">
            <v>42173</v>
          </cell>
          <cell r="BM413">
            <v>42163</v>
          </cell>
          <cell r="BT413">
            <v>77</v>
          </cell>
          <cell r="BU413">
            <v>42235</v>
          </cell>
          <cell r="BV413">
            <v>42250</v>
          </cell>
          <cell r="BY413" t="str">
            <v>Reject</v>
          </cell>
          <cell r="CB413" t="str">
            <v>26 June 15 : C4 SAR rejected(  RND rejected this candidate because it locates at the edge of the population area. Please find the candidate around (16.555272°   97.476466°) that TM radio proposed.);18Jun15: C4 SAR Sub, C1 Farmland</v>
          </cell>
          <cell r="CC413" t="str">
            <v>Garden Land</v>
          </cell>
          <cell r="CE413">
            <v>0</v>
          </cell>
          <cell r="CF413">
            <v>42236</v>
          </cell>
          <cell r="CH413">
            <v>42238</v>
          </cell>
          <cell r="CN413">
            <v>0</v>
          </cell>
          <cell r="CO413">
            <v>42241</v>
          </cell>
          <cell r="CR413">
            <v>0</v>
          </cell>
          <cell r="CS413">
            <v>42242</v>
          </cell>
          <cell r="CU413" t="str">
            <v>MO0417</v>
          </cell>
          <cell r="DH413">
            <v>0</v>
          </cell>
          <cell r="DI413">
            <v>42252</v>
          </cell>
          <cell r="DK413">
            <v>42249</v>
          </cell>
          <cell r="DM413">
            <v>42253</v>
          </cell>
          <cell r="DO413">
            <v>0</v>
          </cell>
          <cell r="DP413">
            <v>42252</v>
          </cell>
          <cell r="DT413">
            <v>0</v>
          </cell>
          <cell r="DU413">
            <v>42267</v>
          </cell>
          <cell r="DW413">
            <v>0</v>
          </cell>
          <cell r="DY413">
            <v>42253</v>
          </cell>
          <cell r="EA413" t="str">
            <v>Leadcom</v>
          </cell>
          <cell r="EJ413">
            <v>0</v>
          </cell>
          <cell r="EK413">
            <v>42270</v>
          </cell>
          <cell r="EM413">
            <v>42271</v>
          </cell>
          <cell r="EQ413">
            <v>42280</v>
          </cell>
          <cell r="EW413">
            <v>0</v>
          </cell>
          <cell r="EX413">
            <v>42294</v>
          </cell>
          <cell r="EZ413">
            <v>42290</v>
          </cell>
          <cell r="FB413">
            <v>42292</v>
          </cell>
          <cell r="FU413">
            <v>42294</v>
          </cell>
          <cell r="FW413">
            <v>42294</v>
          </cell>
          <cell r="GJ413">
            <v>0</v>
          </cell>
          <cell r="GN413" t="str">
            <v>ERICSSON</v>
          </cell>
          <cell r="GS413" t="str">
            <v>4/4/4</v>
          </cell>
          <cell r="GU413" t="str">
            <v xml:space="preserve">		</v>
          </cell>
          <cell r="HD413">
            <v>1</v>
          </cell>
        </row>
        <row r="414">
          <cell r="A414" t="str">
            <v>MO0418</v>
          </cell>
          <cell r="B414" t="str">
            <v>ASMO_0218</v>
          </cell>
          <cell r="C414" t="str">
            <v>Apollo</v>
          </cell>
          <cell r="D414" t="str">
            <v>Robert</v>
          </cell>
          <cell r="F414" t="str">
            <v>Phyo Wai Maung</v>
          </cell>
          <cell r="G414" t="str">
            <v>Thant Zin Oo</v>
          </cell>
          <cell r="H414" t="str">
            <v>RED</v>
          </cell>
          <cell r="I414" t="str">
            <v>South</v>
          </cell>
          <cell r="J414" t="str">
            <v>97.537711</v>
          </cell>
          <cell r="K414" t="str">
            <v>16.236765</v>
          </cell>
          <cell r="L414" t="str">
            <v>Rural</v>
          </cell>
          <cell r="M414" t="str">
            <v>Mon</v>
          </cell>
          <cell r="N414" t="str">
            <v>Chaungzon</v>
          </cell>
          <cell r="O414" t="str">
            <v>Chaungzon</v>
          </cell>
          <cell r="P414" t="str">
            <v>Mon</v>
          </cell>
          <cell r="Q414" t="str">
            <v>22</v>
          </cell>
          <cell r="R414" t="str">
            <v>Chaungzon</v>
          </cell>
          <cell r="S414" t="str">
            <v>172</v>
          </cell>
          <cell r="T414" t="str">
            <v>GSM+UMTS</v>
          </cell>
          <cell r="W414" t="str">
            <v>Ph2-Priority</v>
          </cell>
          <cell r="X414" t="str">
            <v>45</v>
          </cell>
          <cell r="Y414" t="str">
            <v>47</v>
          </cell>
          <cell r="Z414" t="str">
            <v>GBT</v>
          </cell>
          <cell r="AA414" t="str">
            <v>500</v>
          </cell>
          <cell r="AB414" t="str">
            <v>Access</v>
          </cell>
          <cell r="AC414" t="str">
            <v>Class C</v>
          </cell>
          <cell r="BE414" t="str">
            <v>Route 15 Taunggyi - Tachileik</v>
          </cell>
          <cell r="BH414" t="str">
            <v>Leadcom</v>
          </cell>
          <cell r="BJ414">
            <v>42168</v>
          </cell>
          <cell r="BK414">
            <v>42168</v>
          </cell>
          <cell r="BL414">
            <v>42173</v>
          </cell>
          <cell r="BM414">
            <v>42162</v>
          </cell>
          <cell r="BT414">
            <v>4</v>
          </cell>
          <cell r="BU414">
            <v>42235</v>
          </cell>
          <cell r="BV414">
            <v>42172</v>
          </cell>
          <cell r="BW414" t="str">
            <v>97.541597</v>
          </cell>
          <cell r="BX414" t="str">
            <v>16.241322</v>
          </cell>
          <cell r="BY414" t="str">
            <v>C2</v>
          </cell>
          <cell r="BZ414" t="str">
            <v>Kwanhla Village, Chaung Sone Tsp</v>
          </cell>
          <cell r="CA414" t="str">
            <v>Daw Aye Myat,09-253788675</v>
          </cell>
          <cell r="CB414" t="str">
            <v>17Jun15: C2 SAR Sub</v>
          </cell>
          <cell r="CC414" t="str">
            <v>Residential</v>
          </cell>
          <cell r="CE414">
            <v>1</v>
          </cell>
          <cell r="CF414">
            <v>42236</v>
          </cell>
          <cell r="CG414">
            <v>42173</v>
          </cell>
          <cell r="CH414">
            <v>42238</v>
          </cell>
          <cell r="CJ414">
            <v>42210</v>
          </cell>
          <cell r="CK414" t="str">
            <v>45</v>
          </cell>
          <cell r="CL414" t="str">
            <v>47</v>
          </cell>
          <cell r="CM414" t="str">
            <v>50</v>
          </cell>
          <cell r="CN414">
            <v>39</v>
          </cell>
          <cell r="CO414">
            <v>42241</v>
          </cell>
          <cell r="CP414">
            <v>42212</v>
          </cell>
          <cell r="CQ414" t="str">
            <v>M1: grid power + battery</v>
          </cell>
          <cell r="CR414">
            <v>1</v>
          </cell>
          <cell r="CS414">
            <v>42242</v>
          </cell>
          <cell r="CT414">
            <v>42213</v>
          </cell>
          <cell r="CU414" t="str">
            <v>MO0418</v>
          </cell>
          <cell r="DH414">
            <v>20</v>
          </cell>
          <cell r="DI414">
            <v>42252</v>
          </cell>
          <cell r="DK414">
            <v>42249</v>
          </cell>
          <cell r="DL414">
            <v>42242</v>
          </cell>
          <cell r="DM414">
            <v>42253</v>
          </cell>
          <cell r="DO414">
            <v>0</v>
          </cell>
          <cell r="DP414">
            <v>42252</v>
          </cell>
          <cell r="DT414">
            <v>0</v>
          </cell>
          <cell r="DU414">
            <v>42267</v>
          </cell>
          <cell r="DW414">
            <v>0</v>
          </cell>
          <cell r="DY414">
            <v>42253</v>
          </cell>
          <cell r="DZ414">
            <v>42234</v>
          </cell>
          <cell r="EA414" t="str">
            <v>Leadcom</v>
          </cell>
          <cell r="ED414" t="str">
            <v xml:space="preserve">31Aug15 :ThantZin.Oo: 26/8/2015 : Excavation in progress .
</v>
          </cell>
          <cell r="EJ414">
            <v>0</v>
          </cell>
          <cell r="EK414">
            <v>42270</v>
          </cell>
          <cell r="EM414">
            <v>42271</v>
          </cell>
          <cell r="EQ414">
            <v>42280</v>
          </cell>
          <cell r="EW414">
            <v>0</v>
          </cell>
          <cell r="EX414">
            <v>42294</v>
          </cell>
          <cell r="EZ414">
            <v>42290</v>
          </cell>
          <cell r="FB414">
            <v>42292</v>
          </cell>
          <cell r="FU414">
            <v>42294</v>
          </cell>
          <cell r="FW414">
            <v>42294</v>
          </cell>
          <cell r="GI414">
            <v>42277</v>
          </cell>
          <cell r="GJ414">
            <v>0</v>
          </cell>
          <cell r="GN414" t="str">
            <v>ERICSSON</v>
          </cell>
          <cell r="GU414" t="str">
            <v xml:space="preserve">		</v>
          </cell>
          <cell r="HD414">
            <v>1</v>
          </cell>
        </row>
        <row r="415">
          <cell r="A415" t="str">
            <v>MO0419</v>
          </cell>
          <cell r="B415" t="str">
            <v>ASMO_0219</v>
          </cell>
          <cell r="C415" t="str">
            <v>Apollo</v>
          </cell>
          <cell r="D415" t="str">
            <v>Robert</v>
          </cell>
          <cell r="F415" t="str">
            <v>Phyo Wai Maung</v>
          </cell>
          <cell r="G415" t="str">
            <v>Thant Zin Oo</v>
          </cell>
          <cell r="H415" t="str">
            <v>RED</v>
          </cell>
          <cell r="I415" t="str">
            <v>South</v>
          </cell>
          <cell r="J415" t="str">
            <v>97.9103</v>
          </cell>
          <cell r="K415" t="str">
            <v>16.302</v>
          </cell>
          <cell r="L415" t="str">
            <v>Rural</v>
          </cell>
          <cell r="M415" t="str">
            <v>Mon</v>
          </cell>
          <cell r="N415" t="str">
            <v>Kyaikmaraw</v>
          </cell>
          <cell r="O415" t="str">
            <v>Kyaikmaraw</v>
          </cell>
          <cell r="P415" t="str">
            <v>Mon</v>
          </cell>
          <cell r="Q415" t="str">
            <v>22</v>
          </cell>
          <cell r="R415" t="str">
            <v>Kyaikmaraw</v>
          </cell>
          <cell r="S415" t="str">
            <v>171</v>
          </cell>
          <cell r="T415" t="str">
            <v>GSM+UMTS</v>
          </cell>
          <cell r="W415" t="str">
            <v>Ph2-Priority</v>
          </cell>
          <cell r="X415" t="str">
            <v>45</v>
          </cell>
          <cell r="Y415" t="str">
            <v>47</v>
          </cell>
          <cell r="Z415" t="str">
            <v>GBT</v>
          </cell>
          <cell r="AA415" t="str">
            <v>500</v>
          </cell>
          <cell r="AB415" t="str">
            <v>Access</v>
          </cell>
          <cell r="AC415" t="str">
            <v>Class C</v>
          </cell>
          <cell r="BE415" t="str">
            <v>Route 4 Meiktila - Taunggyi</v>
          </cell>
          <cell r="BH415" t="str">
            <v>Leadcom</v>
          </cell>
          <cell r="BJ415">
            <v>42168</v>
          </cell>
          <cell r="BK415">
            <v>42170</v>
          </cell>
          <cell r="BL415">
            <v>42173</v>
          </cell>
          <cell r="BM415">
            <v>42177</v>
          </cell>
          <cell r="BT415">
            <v>7</v>
          </cell>
          <cell r="BU415">
            <v>42178</v>
          </cell>
          <cell r="BV415">
            <v>42177</v>
          </cell>
          <cell r="BW415" t="str">
            <v>97.909379</v>
          </cell>
          <cell r="BX415" t="str">
            <v>16.303178</v>
          </cell>
          <cell r="BY415" t="str">
            <v>C2</v>
          </cell>
          <cell r="BZ415" t="str">
            <v>War Pyan Gone Village, Kyeik MA Yaw Tsp, Mon State</v>
          </cell>
          <cell r="CA415" t="str">
            <v>Daw Shwe Meet;09-425344074</v>
          </cell>
          <cell r="CE415">
            <v>5</v>
          </cell>
          <cell r="CF415">
            <v>42179</v>
          </cell>
          <cell r="CG415">
            <v>42182</v>
          </cell>
          <cell r="CH415">
            <v>42181</v>
          </cell>
          <cell r="CJ415">
            <v>42190</v>
          </cell>
          <cell r="CK415" t="str">
            <v>45</v>
          </cell>
          <cell r="CL415" t="str">
            <v>47</v>
          </cell>
          <cell r="CM415" t="str">
            <v>50</v>
          </cell>
          <cell r="CN415">
            <v>10</v>
          </cell>
          <cell r="CO415">
            <v>42184</v>
          </cell>
          <cell r="CP415">
            <v>42192</v>
          </cell>
          <cell r="CQ415" t="str">
            <v>M4: solar + DG + battery</v>
          </cell>
          <cell r="CR415">
            <v>1</v>
          </cell>
          <cell r="CS415">
            <v>42185</v>
          </cell>
          <cell r="CT415">
            <v>42193</v>
          </cell>
          <cell r="CU415" t="str">
            <v>MO0419</v>
          </cell>
          <cell r="DH415">
            <v>40</v>
          </cell>
          <cell r="DI415">
            <v>42195</v>
          </cell>
          <cell r="DK415">
            <v>42192</v>
          </cell>
          <cell r="DM415">
            <v>42196</v>
          </cell>
          <cell r="DO415">
            <v>0</v>
          </cell>
          <cell r="DP415">
            <v>42195</v>
          </cell>
          <cell r="DT415">
            <v>0</v>
          </cell>
          <cell r="DU415">
            <v>42210</v>
          </cell>
          <cell r="DW415">
            <v>0</v>
          </cell>
          <cell r="DY415">
            <v>42196</v>
          </cell>
          <cell r="DZ415">
            <v>42245</v>
          </cell>
          <cell r="EA415" t="str">
            <v>Leadcom</v>
          </cell>
          <cell r="EJ415">
            <v>0</v>
          </cell>
          <cell r="EK415">
            <v>42213</v>
          </cell>
          <cell r="EM415">
            <v>42214</v>
          </cell>
          <cell r="EQ415">
            <v>42223</v>
          </cell>
          <cell r="EW415">
            <v>0</v>
          </cell>
          <cell r="EX415">
            <v>42239</v>
          </cell>
          <cell r="EZ415">
            <v>42233</v>
          </cell>
          <cell r="FB415">
            <v>42235</v>
          </cell>
          <cell r="FU415">
            <v>42237</v>
          </cell>
          <cell r="FW415">
            <v>42237</v>
          </cell>
          <cell r="GJ415">
            <v>0</v>
          </cell>
          <cell r="GN415" t="str">
            <v>ERICSSON</v>
          </cell>
          <cell r="GU415" t="str">
            <v xml:space="preserve">		</v>
          </cell>
          <cell r="HD415">
            <v>1</v>
          </cell>
        </row>
        <row r="416">
          <cell r="A416" t="str">
            <v>MO0422</v>
          </cell>
          <cell r="B416" t="str">
            <v>ASMO_0220</v>
          </cell>
          <cell r="C416" t="str">
            <v>Apollo</v>
          </cell>
          <cell r="D416" t="str">
            <v>Robert</v>
          </cell>
          <cell r="F416" t="str">
            <v>Phyo Wai Maung</v>
          </cell>
          <cell r="G416" t="str">
            <v>Thant Zin Oo</v>
          </cell>
          <cell r="H416" t="str">
            <v>RED</v>
          </cell>
          <cell r="I416" t="str">
            <v>South</v>
          </cell>
          <cell r="J416" t="str">
            <v>97.406</v>
          </cell>
          <cell r="K416" t="str">
            <v>17.1444</v>
          </cell>
          <cell r="L416" t="str">
            <v>Rural</v>
          </cell>
          <cell r="M416" t="str">
            <v>Mon</v>
          </cell>
          <cell r="N416" t="str">
            <v>Thaton</v>
          </cell>
          <cell r="O416" t="str">
            <v>Thaton</v>
          </cell>
          <cell r="P416" t="str">
            <v>Mon</v>
          </cell>
          <cell r="Q416" t="str">
            <v>22</v>
          </cell>
          <cell r="R416" t="str">
            <v>Thaton</v>
          </cell>
          <cell r="S416" t="str">
            <v>176</v>
          </cell>
          <cell r="T416" t="str">
            <v>GSM+UMTS</v>
          </cell>
          <cell r="W416" t="str">
            <v>Ph2-Priority</v>
          </cell>
          <cell r="X416" t="str">
            <v>55</v>
          </cell>
          <cell r="Y416" t="str">
            <v>57</v>
          </cell>
          <cell r="Z416" t="str">
            <v>GBT</v>
          </cell>
          <cell r="AA416" t="str">
            <v>500</v>
          </cell>
          <cell r="AB416" t="str">
            <v>Access</v>
          </cell>
          <cell r="AC416" t="str">
            <v>Class C</v>
          </cell>
          <cell r="BE416" t="str">
            <v>Route 14 Dawei - Myeik</v>
          </cell>
          <cell r="BH416" t="str">
            <v>Leadcom</v>
          </cell>
          <cell r="BJ416">
            <v>42168</v>
          </cell>
          <cell r="BK416">
            <v>42170</v>
          </cell>
          <cell r="BL416">
            <v>42173</v>
          </cell>
          <cell r="BM416">
            <v>42177</v>
          </cell>
          <cell r="BT416">
            <v>63</v>
          </cell>
          <cell r="BU416">
            <v>42241</v>
          </cell>
          <cell r="BV416">
            <v>42227</v>
          </cell>
          <cell r="BW416" t="str">
            <v>98.12612</v>
          </cell>
          <cell r="BX416" t="str">
            <v>14.00891</v>
          </cell>
          <cell r="BY416" t="str">
            <v>C1</v>
          </cell>
          <cell r="CB416" t="str">
            <v>11 Aug 15 : C1 SAR sub</v>
          </cell>
          <cell r="CC416" t="str">
            <v>GARDEN LAND</v>
          </cell>
          <cell r="CE416">
            <v>0</v>
          </cell>
          <cell r="CF416">
            <v>42242</v>
          </cell>
          <cell r="CG416">
            <v>42228</v>
          </cell>
          <cell r="CH416">
            <v>42244</v>
          </cell>
          <cell r="CN416">
            <v>0</v>
          </cell>
          <cell r="CO416">
            <v>42247</v>
          </cell>
          <cell r="CQ416" t="str">
            <v>M4: solar + DG + battery</v>
          </cell>
          <cell r="CR416">
            <v>0</v>
          </cell>
          <cell r="CS416">
            <v>42248</v>
          </cell>
          <cell r="CU416" t="str">
            <v>MO0422</v>
          </cell>
          <cell r="DH416">
            <v>0</v>
          </cell>
          <cell r="DI416">
            <v>42258</v>
          </cell>
          <cell r="DK416">
            <v>42255</v>
          </cell>
          <cell r="DM416">
            <v>42259</v>
          </cell>
          <cell r="DO416">
            <v>0</v>
          </cell>
          <cell r="DP416">
            <v>42258</v>
          </cell>
          <cell r="DT416">
            <v>0</v>
          </cell>
          <cell r="DU416">
            <v>42273</v>
          </cell>
          <cell r="DW416">
            <v>0</v>
          </cell>
          <cell r="DY416">
            <v>42259</v>
          </cell>
          <cell r="EA416" t="str">
            <v>Leadcom</v>
          </cell>
          <cell r="EJ416">
            <v>0</v>
          </cell>
          <cell r="EK416">
            <v>42281</v>
          </cell>
          <cell r="EM416">
            <v>42282</v>
          </cell>
          <cell r="EQ416">
            <v>42294</v>
          </cell>
          <cell r="EW416">
            <v>0</v>
          </cell>
          <cell r="EX416">
            <v>42308</v>
          </cell>
          <cell r="EZ416">
            <v>42304</v>
          </cell>
          <cell r="FB416">
            <v>42306</v>
          </cell>
          <cell r="FU416">
            <v>42308</v>
          </cell>
          <cell r="FW416">
            <v>42308</v>
          </cell>
          <cell r="GJ416">
            <v>0</v>
          </cell>
          <cell r="GN416" t="str">
            <v>ERICSSON</v>
          </cell>
          <cell r="GS416" t="str">
            <v>4/4/4</v>
          </cell>
          <cell r="GU416" t="str">
            <v xml:space="preserve">		</v>
          </cell>
          <cell r="HD416">
            <v>1</v>
          </cell>
        </row>
        <row r="417">
          <cell r="A417" t="str">
            <v>MO0423</v>
          </cell>
          <cell r="B417" t="str">
            <v>ASMO_0221</v>
          </cell>
          <cell r="C417" t="str">
            <v>Apollo</v>
          </cell>
          <cell r="D417" t="str">
            <v>Robert</v>
          </cell>
          <cell r="F417" t="str">
            <v>Phyo Wai Maung</v>
          </cell>
          <cell r="G417" t="str">
            <v>Thant Zin Oo</v>
          </cell>
          <cell r="H417" t="str">
            <v>RED</v>
          </cell>
          <cell r="I417" t="str">
            <v>South</v>
          </cell>
          <cell r="J417" t="str">
            <v>97.299208</v>
          </cell>
          <cell r="K417" t="str">
            <v>16.718319</v>
          </cell>
          <cell r="L417" t="str">
            <v>Rural</v>
          </cell>
          <cell r="M417" t="str">
            <v>Mon</v>
          </cell>
          <cell r="N417" t="str">
            <v>Paung</v>
          </cell>
          <cell r="O417" t="str">
            <v>Paung</v>
          </cell>
          <cell r="P417" t="str">
            <v>Mon</v>
          </cell>
          <cell r="Q417" t="str">
            <v>22</v>
          </cell>
          <cell r="R417" t="str">
            <v>Paung</v>
          </cell>
          <cell r="S417" t="str">
            <v>177</v>
          </cell>
          <cell r="T417" t="str">
            <v>GSM+UMTS</v>
          </cell>
          <cell r="W417" t="str">
            <v>Ph2-Priority</v>
          </cell>
          <cell r="X417" t="str">
            <v>55</v>
          </cell>
          <cell r="Y417" t="str">
            <v>57</v>
          </cell>
          <cell r="Z417" t="str">
            <v>GBT</v>
          </cell>
          <cell r="AA417" t="str">
            <v>500</v>
          </cell>
          <cell r="AB417" t="str">
            <v>Access</v>
          </cell>
          <cell r="AC417" t="str">
            <v>Class C</v>
          </cell>
          <cell r="BH417" t="str">
            <v>Leadcom</v>
          </cell>
          <cell r="BJ417">
            <v>42168</v>
          </cell>
          <cell r="BK417">
            <v>42166</v>
          </cell>
          <cell r="BL417">
            <v>42173</v>
          </cell>
          <cell r="BM417">
            <v>42173</v>
          </cell>
          <cell r="BT417">
            <v>67</v>
          </cell>
          <cell r="BU417">
            <v>42241</v>
          </cell>
          <cell r="BV417">
            <v>42226</v>
          </cell>
          <cell r="BW417" t="str">
            <v>98.048357</v>
          </cell>
          <cell r="BX417" t="str">
            <v>16.152255</v>
          </cell>
          <cell r="BY417" t="str">
            <v>Reject</v>
          </cell>
          <cell r="BZ417" t="str">
            <v>Yoe st, Yoe Qr, Thae Kone Village, Paung Tsp, Mon State.</v>
          </cell>
          <cell r="CA417" t="str">
            <v>Daw Khin Own,933902319</v>
          </cell>
          <cell r="CB417" t="str">
            <v>13 Aug 15: C2 deactivate because of Low Soil barreing capacity ;7 Aug 15 : C2 TSSR app; 6 Aug 15 : C2 TSSR sub;29 Jul 15 : C2 SAR app;28 July 15 : C2 SAR sub;C1 farmland</v>
          </cell>
          <cell r="CC417" t="str">
            <v>FreeHold</v>
          </cell>
          <cell r="CE417">
            <v>0</v>
          </cell>
          <cell r="CF417">
            <v>42242</v>
          </cell>
          <cell r="CG417">
            <v>42228</v>
          </cell>
          <cell r="CH417">
            <v>42244</v>
          </cell>
          <cell r="CJ417">
            <v>42220</v>
          </cell>
          <cell r="CK417" t="str">
            <v>55</v>
          </cell>
          <cell r="CL417" t="str">
            <v>57</v>
          </cell>
          <cell r="CM417" t="str">
            <v>60</v>
          </cell>
          <cell r="CN417">
            <v>0</v>
          </cell>
          <cell r="CO417">
            <v>42247</v>
          </cell>
          <cell r="CP417">
            <v>42222</v>
          </cell>
          <cell r="CQ417" t="str">
            <v>M1: grid power + battery</v>
          </cell>
          <cell r="CR417">
            <v>0</v>
          </cell>
          <cell r="CS417">
            <v>42248</v>
          </cell>
          <cell r="CT417">
            <v>42223</v>
          </cell>
          <cell r="CU417" t="str">
            <v>MO0423</v>
          </cell>
          <cell r="DH417">
            <v>0</v>
          </cell>
          <cell r="DI417">
            <v>42258</v>
          </cell>
          <cell r="DK417">
            <v>42255</v>
          </cell>
          <cell r="DM417">
            <v>42259</v>
          </cell>
          <cell r="DO417">
            <v>0</v>
          </cell>
          <cell r="DP417">
            <v>42258</v>
          </cell>
          <cell r="DT417">
            <v>0</v>
          </cell>
          <cell r="DU417">
            <v>42273</v>
          </cell>
          <cell r="DW417">
            <v>0</v>
          </cell>
          <cell r="DY417">
            <v>42259</v>
          </cell>
          <cell r="EA417" t="str">
            <v>Leadcom</v>
          </cell>
          <cell r="EJ417">
            <v>0</v>
          </cell>
          <cell r="EK417">
            <v>42281</v>
          </cell>
          <cell r="EM417">
            <v>42282</v>
          </cell>
          <cell r="EQ417">
            <v>42294</v>
          </cell>
          <cell r="EW417">
            <v>0</v>
          </cell>
          <cell r="EX417">
            <v>42308</v>
          </cell>
          <cell r="EZ417">
            <v>42304</v>
          </cell>
          <cell r="FB417">
            <v>42306</v>
          </cell>
          <cell r="FU417">
            <v>42308</v>
          </cell>
          <cell r="FW417">
            <v>42308</v>
          </cell>
          <cell r="GJ417">
            <v>0</v>
          </cell>
          <cell r="GN417" t="str">
            <v>ERICSSON</v>
          </cell>
          <cell r="GU417" t="str">
            <v xml:space="preserve">		</v>
          </cell>
          <cell r="HD417">
            <v>1</v>
          </cell>
        </row>
        <row r="418">
          <cell r="A418" t="str">
            <v>MO0424</v>
          </cell>
          <cell r="B418" t="str">
            <v>ASMO_0222</v>
          </cell>
          <cell r="C418" t="str">
            <v>Apollo</v>
          </cell>
          <cell r="D418" t="str">
            <v>Robert</v>
          </cell>
          <cell r="F418" t="str">
            <v>Phyo Wai Maung</v>
          </cell>
          <cell r="G418" t="str">
            <v>Thant Zin Oo</v>
          </cell>
          <cell r="H418" t="str">
            <v>YELLOW</v>
          </cell>
          <cell r="I418" t="str">
            <v>South</v>
          </cell>
          <cell r="J418" t="str">
            <v>97.510538</v>
          </cell>
          <cell r="K418" t="str">
            <v>16.746316</v>
          </cell>
          <cell r="L418" t="str">
            <v>Rural</v>
          </cell>
          <cell r="M418" t="str">
            <v>Mon</v>
          </cell>
          <cell r="N418" t="str">
            <v>Paung</v>
          </cell>
          <cell r="O418" t="str">
            <v>Paung</v>
          </cell>
          <cell r="P418" t="str">
            <v>Mon</v>
          </cell>
          <cell r="Q418" t="str">
            <v>22</v>
          </cell>
          <cell r="R418" t="str">
            <v>Paung</v>
          </cell>
          <cell r="S418" t="str">
            <v>177</v>
          </cell>
          <cell r="T418" t="str">
            <v>GSM+UMTS</v>
          </cell>
          <cell r="W418" t="str">
            <v>Ph2-Priority</v>
          </cell>
          <cell r="X418" t="str">
            <v>45</v>
          </cell>
          <cell r="Y418" t="str">
            <v>47</v>
          </cell>
          <cell r="Z418" t="str">
            <v>GBT</v>
          </cell>
          <cell r="AA418" t="str">
            <v>500</v>
          </cell>
          <cell r="AB418" t="str">
            <v>Access</v>
          </cell>
          <cell r="AC418" t="str">
            <v>Class C</v>
          </cell>
          <cell r="BH418" t="str">
            <v>Leadcom</v>
          </cell>
          <cell r="BJ418">
            <v>42168</v>
          </cell>
          <cell r="BK418">
            <v>42168</v>
          </cell>
          <cell r="BL418">
            <v>42173</v>
          </cell>
          <cell r="BM418">
            <v>42162</v>
          </cell>
          <cell r="BT418">
            <v>4</v>
          </cell>
          <cell r="BU418">
            <v>42178</v>
          </cell>
          <cell r="BV418">
            <v>42172</v>
          </cell>
          <cell r="BW418" t="str">
            <v>97.51079</v>
          </cell>
          <cell r="BX418" t="str">
            <v>16.74523</v>
          </cell>
          <cell r="BY418" t="str">
            <v>C1</v>
          </cell>
          <cell r="BZ418" t="str">
            <v>NO.(4),THEL EAIN VILLAGE, PAUNG TOWNSHIP, MON STATE.</v>
          </cell>
          <cell r="CA418" t="str">
            <v>U KYAW MYINT;09-333 406 55</v>
          </cell>
          <cell r="CB418" t="str">
            <v>12 Aug 15 : C1 TSSR updated checklist given from E// because of updating link up site and MW antenna height and size but the actual antenna height didn't change;7 Jul 15 : C1 TSSR app;17Jun15: C1 SAR Sub</v>
          </cell>
          <cell r="CC418" t="str">
            <v>GARDEN LAND</v>
          </cell>
          <cell r="CE418">
            <v>1</v>
          </cell>
          <cell r="CF418">
            <v>42179</v>
          </cell>
          <cell r="CG418">
            <v>42173</v>
          </cell>
          <cell r="CH418">
            <v>42181</v>
          </cell>
          <cell r="CJ418">
            <v>42189</v>
          </cell>
          <cell r="CK418" t="str">
            <v>45</v>
          </cell>
          <cell r="CL418" t="str">
            <v>47</v>
          </cell>
          <cell r="CM418" t="str">
            <v>50</v>
          </cell>
          <cell r="CN418">
            <v>18</v>
          </cell>
          <cell r="CO418">
            <v>42184</v>
          </cell>
          <cell r="CP418">
            <v>42191</v>
          </cell>
          <cell r="CQ418" t="str">
            <v>M1: grid power + battery</v>
          </cell>
          <cell r="CR418">
            <v>1</v>
          </cell>
          <cell r="CS418">
            <v>42185</v>
          </cell>
          <cell r="CT418">
            <v>42192</v>
          </cell>
          <cell r="CU418" t="str">
            <v>MO0424</v>
          </cell>
          <cell r="DH418">
            <v>6</v>
          </cell>
          <cell r="DI418">
            <v>42195</v>
          </cell>
          <cell r="DJ418">
            <v>42198</v>
          </cell>
          <cell r="DK418">
            <v>42192</v>
          </cell>
          <cell r="DL418">
            <v>42201</v>
          </cell>
          <cell r="DM418">
            <v>42196</v>
          </cell>
          <cell r="DN418">
            <v>42201</v>
          </cell>
          <cell r="DO418">
            <v>0</v>
          </cell>
          <cell r="DP418">
            <v>42195</v>
          </cell>
          <cell r="DQ418">
            <v>42198</v>
          </cell>
          <cell r="DT418">
            <v>35</v>
          </cell>
          <cell r="DU418">
            <v>42210</v>
          </cell>
          <cell r="DW418">
            <v>0</v>
          </cell>
          <cell r="DY418">
            <v>42196</v>
          </cell>
          <cell r="DZ418">
            <v>42201</v>
          </cell>
          <cell r="EA418" t="str">
            <v>Leadcom</v>
          </cell>
          <cell r="ED418" t="str">
            <v xml:space="preserve">17Aug15 :ThantZin.Oo: 13/8/15 : Tower erection in progress . 40% done .
</v>
          </cell>
          <cell r="EE418" t="str">
            <v xml:space="preserve">10 Aug 15:Rain affected_Progress affected; 4-Aug-15: muddy access road -slow progress								</v>
          </cell>
          <cell r="EJ418">
            <v>19</v>
          </cell>
          <cell r="EK418">
            <v>42213</v>
          </cell>
          <cell r="EL418">
            <v>42220</v>
          </cell>
          <cell r="EM418">
            <v>42214</v>
          </cell>
          <cell r="EN418">
            <v>42225</v>
          </cell>
          <cell r="EQ418">
            <v>42223</v>
          </cell>
          <cell r="ER418">
            <v>42234</v>
          </cell>
          <cell r="ES418">
            <v>42221</v>
          </cell>
          <cell r="ET418">
            <v>42234</v>
          </cell>
          <cell r="EU418">
            <v>42234</v>
          </cell>
          <cell r="EW418">
            <v>32</v>
          </cell>
          <cell r="EX418">
            <v>42239</v>
          </cell>
          <cell r="EZ418">
            <v>42233</v>
          </cell>
          <cell r="FA418">
            <v>42229</v>
          </cell>
          <cell r="FB418">
            <v>42235</v>
          </cell>
          <cell r="FC418">
            <v>42229</v>
          </cell>
          <cell r="FU418">
            <v>42237</v>
          </cell>
          <cell r="FW418">
            <v>42237</v>
          </cell>
          <cell r="FX418">
            <v>42235</v>
          </cell>
          <cell r="FY418" t="str">
            <v>CFVL</v>
          </cell>
          <cell r="FZ418">
            <v>42227</v>
          </cell>
          <cell r="GA418">
            <v>42229</v>
          </cell>
          <cell r="GB418">
            <v>42236</v>
          </cell>
          <cell r="GC418">
            <v>42236</v>
          </cell>
          <cell r="GD418">
            <v>42236</v>
          </cell>
          <cell r="GE418">
            <v>42237</v>
          </cell>
          <cell r="GF418">
            <v>42237</v>
          </cell>
          <cell r="GG418">
            <v>42237</v>
          </cell>
          <cell r="GH418">
            <v>42237</v>
          </cell>
          <cell r="GI418">
            <v>42246</v>
          </cell>
          <cell r="GJ418" t="str">
            <v>44-2015</v>
          </cell>
          <cell r="GK418">
            <v>42238</v>
          </cell>
          <cell r="GN418" t="str">
            <v xml:space="preserve">ERICSSON </v>
          </cell>
          <cell r="GU418" t="str">
            <v xml:space="preserve">		</v>
          </cell>
          <cell r="HD418">
            <v>1</v>
          </cell>
        </row>
        <row r="419">
          <cell r="A419" t="str">
            <v>MO0425</v>
          </cell>
          <cell r="B419" t="str">
            <v>ASMO_0223</v>
          </cell>
          <cell r="C419" t="str">
            <v>Apollo</v>
          </cell>
          <cell r="D419" t="str">
            <v>Robert</v>
          </cell>
          <cell r="F419" t="str">
            <v>Phyo Wai Maung</v>
          </cell>
          <cell r="G419" t="str">
            <v>Thant Zin Oo</v>
          </cell>
          <cell r="H419" t="str">
            <v>AMBER</v>
          </cell>
          <cell r="I419" t="str">
            <v>South</v>
          </cell>
          <cell r="J419" t="str">
            <v>97.437019</v>
          </cell>
          <cell r="K419" t="str">
            <v>16.860768</v>
          </cell>
          <cell r="L419" t="str">
            <v>Rural</v>
          </cell>
          <cell r="M419" t="str">
            <v>Mon</v>
          </cell>
          <cell r="N419" t="str">
            <v>Thaton</v>
          </cell>
          <cell r="O419" t="str">
            <v>Thaton</v>
          </cell>
          <cell r="P419" t="str">
            <v>Mon</v>
          </cell>
          <cell r="Q419" t="str">
            <v>22</v>
          </cell>
          <cell r="R419" t="str">
            <v>Thaton</v>
          </cell>
          <cell r="S419" t="str">
            <v>176</v>
          </cell>
          <cell r="T419" t="str">
            <v>GSM+UMTS</v>
          </cell>
          <cell r="W419" t="str">
            <v>Ph2-Priority</v>
          </cell>
          <cell r="X419" t="str">
            <v>45</v>
          </cell>
          <cell r="Y419" t="str">
            <v>47</v>
          </cell>
          <cell r="Z419" t="str">
            <v>GBT</v>
          </cell>
          <cell r="AA419" t="str">
            <v>500</v>
          </cell>
          <cell r="AB419" t="str">
            <v>Access</v>
          </cell>
          <cell r="AC419" t="str">
            <v>Class C</v>
          </cell>
          <cell r="BE419" t="str">
            <v>Route 8 Mandalay - Magwe</v>
          </cell>
          <cell r="BH419" t="str">
            <v>Leadcom</v>
          </cell>
          <cell r="BJ419">
            <v>42168</v>
          </cell>
          <cell r="BK419">
            <v>42130</v>
          </cell>
          <cell r="BL419">
            <v>42173</v>
          </cell>
          <cell r="BM419">
            <v>42124</v>
          </cell>
          <cell r="BT419">
            <v>4</v>
          </cell>
          <cell r="BU419">
            <v>42209</v>
          </cell>
          <cell r="BV419">
            <v>42195</v>
          </cell>
          <cell r="BW419" t="str">
            <v>97.43668</v>
          </cell>
          <cell r="BX419" t="str">
            <v>16.85909</v>
          </cell>
          <cell r="BY419" t="str">
            <v>C1</v>
          </cell>
          <cell r="BZ419" t="str">
            <v>No. (50), Sa Khon Gyi Village, Tha Htone Tsp, Mon State.</v>
          </cell>
          <cell r="CA419" t="str">
            <v>U Mg Mg,09 7916778341</v>
          </cell>
          <cell r="CB419" t="str">
            <v>10May15: C1 SAR Sub.</v>
          </cell>
          <cell r="CC419" t="str">
            <v>GARDEN LAND</v>
          </cell>
          <cell r="CE419">
            <v>5</v>
          </cell>
          <cell r="CF419">
            <v>42210</v>
          </cell>
          <cell r="CG419">
            <v>42200</v>
          </cell>
          <cell r="CH419">
            <v>42212</v>
          </cell>
          <cell r="CJ419">
            <v>42206</v>
          </cell>
          <cell r="CK419" t="str">
            <v>45</v>
          </cell>
          <cell r="CL419" t="str">
            <v>47</v>
          </cell>
          <cell r="CM419" t="str">
            <v>50</v>
          </cell>
          <cell r="CN419">
            <v>8</v>
          </cell>
          <cell r="CO419">
            <v>42215</v>
          </cell>
          <cell r="CP419">
            <v>42208</v>
          </cell>
          <cell r="CQ419" t="str">
            <v>M4: solar + DG + battery</v>
          </cell>
          <cell r="CR419">
            <v>1</v>
          </cell>
          <cell r="CS419">
            <v>42216</v>
          </cell>
          <cell r="CT419">
            <v>42209</v>
          </cell>
          <cell r="CU419" t="str">
            <v>MO0425</v>
          </cell>
          <cell r="DH419">
            <v>0</v>
          </cell>
          <cell r="DI419">
            <v>42226</v>
          </cell>
          <cell r="DJ419">
            <v>42209</v>
          </cell>
          <cell r="DK419">
            <v>42223</v>
          </cell>
          <cell r="DL419">
            <v>42160</v>
          </cell>
          <cell r="DM419">
            <v>42227</v>
          </cell>
          <cell r="DN419">
            <v>42165</v>
          </cell>
          <cell r="DO419">
            <v>0</v>
          </cell>
          <cell r="DP419">
            <v>42226</v>
          </cell>
          <cell r="DQ419">
            <v>42209</v>
          </cell>
          <cell r="DT419">
            <v>24</v>
          </cell>
          <cell r="DU419">
            <v>42241</v>
          </cell>
          <cell r="DW419">
            <v>0</v>
          </cell>
          <cell r="DY419">
            <v>42227</v>
          </cell>
          <cell r="DZ419">
            <v>42213</v>
          </cell>
          <cell r="EA419" t="str">
            <v>Leadcom</v>
          </cell>
          <cell r="ED419" t="str">
            <v xml:space="preserve">01Jul15 :SiThu.Moe: 90% of the total height have been erected.Equipment slab is on going.
</v>
          </cell>
          <cell r="EI419" t="str">
            <v>M5: grid power + DG + battery      </v>
          </cell>
          <cell r="EJ419">
            <v>20</v>
          </cell>
          <cell r="EK419">
            <v>42244</v>
          </cell>
          <cell r="EL419">
            <v>42242</v>
          </cell>
          <cell r="EM419">
            <v>42245</v>
          </cell>
          <cell r="EN419">
            <v>42174</v>
          </cell>
          <cell r="EQ419">
            <v>42254</v>
          </cell>
          <cell r="ER419">
            <v>42185</v>
          </cell>
          <cell r="ES419">
            <v>42247</v>
          </cell>
          <cell r="ET419">
            <v>42185</v>
          </cell>
          <cell r="EU419">
            <v>42185</v>
          </cell>
          <cell r="EW419">
            <v>20</v>
          </cell>
          <cell r="EX419">
            <v>42268</v>
          </cell>
          <cell r="EZ419">
            <v>42264</v>
          </cell>
          <cell r="FA419">
            <v>42184</v>
          </cell>
          <cell r="FB419">
            <v>42266</v>
          </cell>
          <cell r="FC419">
            <v>42185</v>
          </cell>
          <cell r="FU419">
            <v>42268</v>
          </cell>
          <cell r="FW419">
            <v>42268</v>
          </cell>
          <cell r="FX419">
            <v>42185</v>
          </cell>
          <cell r="FY419" t="str">
            <v>AZM</v>
          </cell>
          <cell r="FZ419">
            <v>42187</v>
          </cell>
          <cell r="GA419">
            <v>42189</v>
          </cell>
          <cell r="GB419">
            <v>42192</v>
          </cell>
          <cell r="GC419">
            <v>42192</v>
          </cell>
          <cell r="GD419">
            <v>42192</v>
          </cell>
          <cell r="GE419">
            <v>42192</v>
          </cell>
          <cell r="GG419">
            <v>42192</v>
          </cell>
          <cell r="GH419">
            <v>42192</v>
          </cell>
          <cell r="GI419">
            <v>42307</v>
          </cell>
          <cell r="GJ419" t="str">
            <v>44-2015</v>
          </cell>
          <cell r="GK419">
            <v>42192</v>
          </cell>
          <cell r="GN419" t="str">
            <v>ERICSSON</v>
          </cell>
          <cell r="GO419">
            <v>42150</v>
          </cell>
          <cell r="GP419">
            <v>42179</v>
          </cell>
          <cell r="GU419" t="str">
            <v xml:space="preserve">		</v>
          </cell>
          <cell r="HD419">
            <v>1</v>
          </cell>
        </row>
        <row r="420">
          <cell r="A420" t="str">
            <v>MO0426</v>
          </cell>
          <cell r="B420" t="str">
            <v>ASMO_0224</v>
          </cell>
          <cell r="C420" t="str">
            <v>Apollo</v>
          </cell>
          <cell r="D420" t="str">
            <v>Robert</v>
          </cell>
          <cell r="F420" t="str">
            <v>Phyo Wai Maung</v>
          </cell>
          <cell r="G420" t="str">
            <v>Thant Zin Oo</v>
          </cell>
          <cell r="H420" t="str">
            <v>RED</v>
          </cell>
          <cell r="I420" t="str">
            <v>South</v>
          </cell>
          <cell r="J420" t="str">
            <v>97.783054</v>
          </cell>
          <cell r="K420" t="str">
            <v>16.311464</v>
          </cell>
          <cell r="L420" t="str">
            <v>Rural</v>
          </cell>
          <cell r="M420" t="str">
            <v>Mon</v>
          </cell>
          <cell r="N420" t="str">
            <v>Kyaikmaraw</v>
          </cell>
          <cell r="O420" t="str">
            <v>Kyaikmaraw</v>
          </cell>
          <cell r="P420" t="str">
            <v>Mon</v>
          </cell>
          <cell r="Q420" t="str">
            <v>22</v>
          </cell>
          <cell r="R420" t="str">
            <v>Kyaikmaraw</v>
          </cell>
          <cell r="S420" t="str">
            <v>171</v>
          </cell>
          <cell r="T420" t="str">
            <v>GSM+UMTS</v>
          </cell>
          <cell r="W420" t="str">
            <v>Ph2-Priority</v>
          </cell>
          <cell r="X420" t="str">
            <v>45</v>
          </cell>
          <cell r="Y420" t="str">
            <v>47</v>
          </cell>
          <cell r="Z420" t="str">
            <v>GBT</v>
          </cell>
          <cell r="AA420" t="str">
            <v>500</v>
          </cell>
          <cell r="AB420" t="str">
            <v>Access</v>
          </cell>
          <cell r="AC420" t="str">
            <v>Class C</v>
          </cell>
          <cell r="BE420" t="str">
            <v>Kyauktaw-Kyaukpadaung</v>
          </cell>
          <cell r="BH420" t="str">
            <v>Camusat</v>
          </cell>
          <cell r="BJ420">
            <v>42168</v>
          </cell>
          <cell r="BK420">
            <v>42166</v>
          </cell>
          <cell r="BL420">
            <v>42173</v>
          </cell>
          <cell r="BM420">
            <v>42173</v>
          </cell>
          <cell r="BT420">
            <v>67</v>
          </cell>
          <cell r="BU420">
            <v>42235</v>
          </cell>
          <cell r="BV420">
            <v>42242</v>
          </cell>
          <cell r="BW420" t="str">
            <v>97.77491</v>
          </cell>
          <cell r="BX420" t="str">
            <v>16.31518</v>
          </cell>
          <cell r="BY420" t="str">
            <v>C4</v>
          </cell>
          <cell r="BZ420" t="str">
            <v>Ni Tone (Shan Ywar Lay) Village, Kyaikmaraw Township, Mon State.</v>
          </cell>
          <cell r="CA420" t="str">
            <v>U Thaung Shein, 09-973382945</v>
          </cell>
          <cell r="CB420" t="str">
            <v>26 Aug 15: C4 SAR sub(Given nominal is under paddy land, C1-C4 option in middle of paddy field)</v>
          </cell>
          <cell r="CC420" t="str">
            <v>Garden Land</v>
          </cell>
          <cell r="CE420">
            <v>0</v>
          </cell>
          <cell r="CF420">
            <v>42236</v>
          </cell>
          <cell r="CG420">
            <v>42243</v>
          </cell>
          <cell r="CH420">
            <v>42238</v>
          </cell>
          <cell r="CJ420">
            <v>42245</v>
          </cell>
          <cell r="CK420" t="str">
            <v>45</v>
          </cell>
          <cell r="CL420" t="str">
            <v>47</v>
          </cell>
          <cell r="CM420" t="str">
            <v>50</v>
          </cell>
          <cell r="CN420">
            <v>0</v>
          </cell>
          <cell r="CO420">
            <v>42241</v>
          </cell>
          <cell r="CP420">
            <v>42247</v>
          </cell>
          <cell r="CQ420" t="str">
            <v>M4: solar + DG + battery</v>
          </cell>
          <cell r="CR420">
            <v>0</v>
          </cell>
          <cell r="CS420">
            <v>42242</v>
          </cell>
          <cell r="CT420">
            <v>42248</v>
          </cell>
          <cell r="CU420" t="str">
            <v>MO0426</v>
          </cell>
          <cell r="DH420">
            <v>0</v>
          </cell>
          <cell r="DI420">
            <v>42252</v>
          </cell>
          <cell r="DJ420">
            <v>42177</v>
          </cell>
          <cell r="DK420">
            <v>42249</v>
          </cell>
          <cell r="DL420">
            <v>42160</v>
          </cell>
          <cell r="DM420">
            <v>42253</v>
          </cell>
          <cell r="DN420">
            <v>42165</v>
          </cell>
          <cell r="DO420">
            <v>0</v>
          </cell>
          <cell r="DP420">
            <v>42252</v>
          </cell>
          <cell r="DQ420">
            <v>42177</v>
          </cell>
          <cell r="DT420">
            <v>0</v>
          </cell>
          <cell r="DU420">
            <v>42267</v>
          </cell>
          <cell r="DW420">
            <v>0</v>
          </cell>
          <cell r="DY420">
            <v>42253</v>
          </cell>
          <cell r="DZ420">
            <v>42163</v>
          </cell>
          <cell r="EA420" t="str">
            <v>Leadcom</v>
          </cell>
          <cell r="ED420" t="str">
            <v xml:space="preserve">06Jul15 :SiThu.Moe: Tower foundation and backfilling are done.Equipment slab is ongoing.
</v>
          </cell>
          <cell r="EI420" t="str">
            <v>M5: grid power + DG + battery      </v>
          </cell>
          <cell r="EJ420">
            <v>0</v>
          </cell>
          <cell r="EK420">
            <v>42270</v>
          </cell>
          <cell r="EL420">
            <v>42187</v>
          </cell>
          <cell r="EM420">
            <v>42271</v>
          </cell>
          <cell r="EN420">
            <v>42187</v>
          </cell>
          <cell r="EQ420">
            <v>42280</v>
          </cell>
          <cell r="ER420">
            <v>42195</v>
          </cell>
          <cell r="ES420">
            <v>42189</v>
          </cell>
          <cell r="ET420">
            <v>42195</v>
          </cell>
          <cell r="EU420">
            <v>42195</v>
          </cell>
          <cell r="EW420">
            <v>0</v>
          </cell>
          <cell r="EX420">
            <v>42294</v>
          </cell>
          <cell r="EZ420">
            <v>42290</v>
          </cell>
          <cell r="FA420">
            <v>42198</v>
          </cell>
          <cell r="FB420">
            <v>42292</v>
          </cell>
          <cell r="FC420">
            <v>42201</v>
          </cell>
          <cell r="FU420">
            <v>42294</v>
          </cell>
          <cell r="FV420">
            <v>42210</v>
          </cell>
          <cell r="FW420">
            <v>42294</v>
          </cell>
          <cell r="FX420">
            <v>42201</v>
          </cell>
          <cell r="FY420" t="str">
            <v>CFVL</v>
          </cell>
          <cell r="FZ420">
            <v>42205</v>
          </cell>
          <cell r="GA420">
            <v>42209</v>
          </cell>
          <cell r="GB420">
            <v>42209</v>
          </cell>
          <cell r="GC420">
            <v>42209</v>
          </cell>
          <cell r="GD420">
            <v>42215</v>
          </cell>
          <cell r="GE420">
            <v>42216</v>
          </cell>
          <cell r="GF420">
            <v>42193</v>
          </cell>
          <cell r="GG420">
            <v>42216</v>
          </cell>
          <cell r="GH420">
            <v>42216</v>
          </cell>
          <cell r="GJ420">
            <v>0</v>
          </cell>
          <cell r="GK420">
            <v>42216</v>
          </cell>
          <cell r="GN420" t="str">
            <v>ERICSSON</v>
          </cell>
          <cell r="GO420">
            <v>42149</v>
          </cell>
          <cell r="GP420">
            <v>42178</v>
          </cell>
          <cell r="GU420" t="str">
            <v xml:space="preserve">		</v>
          </cell>
          <cell r="HD420">
            <v>1</v>
          </cell>
        </row>
        <row r="421">
          <cell r="A421" t="str">
            <v>MO0430</v>
          </cell>
          <cell r="B421" t="str">
            <v>ASMO_0225</v>
          </cell>
          <cell r="C421" t="str">
            <v>Apollo</v>
          </cell>
          <cell r="D421" t="str">
            <v>Robert</v>
          </cell>
          <cell r="F421" t="str">
            <v>Phyo Wai Maung</v>
          </cell>
          <cell r="G421" t="str">
            <v>Thant Zin Oo</v>
          </cell>
          <cell r="H421" t="str">
            <v>RED</v>
          </cell>
          <cell r="I421" t="str">
            <v>South</v>
          </cell>
          <cell r="J421" t="str">
            <v>97.339182</v>
          </cell>
          <cell r="K421" t="str">
            <v>16.632209</v>
          </cell>
          <cell r="L421" t="str">
            <v>Rural</v>
          </cell>
          <cell r="M421" t="str">
            <v>Mon</v>
          </cell>
          <cell r="N421" t="str">
            <v>Paung</v>
          </cell>
          <cell r="O421" t="str">
            <v>Paung</v>
          </cell>
          <cell r="P421" t="str">
            <v>Mon</v>
          </cell>
          <cell r="Q421" t="str">
            <v>22</v>
          </cell>
          <cell r="R421" t="str">
            <v>Paung</v>
          </cell>
          <cell r="S421" t="str">
            <v>177</v>
          </cell>
          <cell r="T421" t="str">
            <v>GSM+UMTS</v>
          </cell>
          <cell r="W421" t="str">
            <v>Ph2-Priority</v>
          </cell>
          <cell r="X421" t="str">
            <v>55</v>
          </cell>
          <cell r="Y421" t="str">
            <v>57</v>
          </cell>
          <cell r="Z421" t="str">
            <v>GBT</v>
          </cell>
          <cell r="AA421" t="str">
            <v>500</v>
          </cell>
          <cell r="AB421" t="str">
            <v>Access</v>
          </cell>
          <cell r="AC421" t="str">
            <v>Class C</v>
          </cell>
          <cell r="BE421" t="str">
            <v>Route 2 Yangon -Mawlamyine</v>
          </cell>
          <cell r="BH421" t="str">
            <v>Leadcom</v>
          </cell>
          <cell r="BJ421">
            <v>42169</v>
          </cell>
          <cell r="BK421">
            <v>42130</v>
          </cell>
          <cell r="BL421">
            <v>42174</v>
          </cell>
          <cell r="BT421">
            <v>16</v>
          </cell>
          <cell r="BU421">
            <v>42241</v>
          </cell>
          <cell r="BV421">
            <v>42235</v>
          </cell>
          <cell r="BW421" t="str">
            <v>97.34052</v>
          </cell>
          <cell r="BX421" t="str">
            <v>16.63277</v>
          </cell>
          <cell r="BY421" t="str">
            <v>C1</v>
          </cell>
          <cell r="BZ421" t="str">
            <v>Kyaung St, Kaw Thit Block, Htan Pin Chaung Gyi Village, Paung Tsp, Mon.</v>
          </cell>
          <cell r="CA421" t="str">
            <v>Daw Khine Yee Mon, 09-425316440, 09 32721191</v>
          </cell>
          <cell r="CB421" t="str">
            <v>19 Aug 15 : C1 SAR sub</v>
          </cell>
          <cell r="CC421" t="str">
            <v>Residential land</v>
          </cell>
          <cell r="CE421">
            <v>0</v>
          </cell>
          <cell r="CF421">
            <v>42242</v>
          </cell>
          <cell r="CG421">
            <v>42236</v>
          </cell>
          <cell r="CH421">
            <v>42244</v>
          </cell>
          <cell r="CJ421">
            <v>42242</v>
          </cell>
          <cell r="CK421" t="str">
            <v>50</v>
          </cell>
          <cell r="CL421" t="str">
            <v>52</v>
          </cell>
          <cell r="CM421" t="str">
            <v>60</v>
          </cell>
          <cell r="CN421">
            <v>0</v>
          </cell>
          <cell r="CO421">
            <v>42247</v>
          </cell>
          <cell r="CP421">
            <v>42244</v>
          </cell>
          <cell r="CQ421" t="str">
            <v>M1: grid power + battery</v>
          </cell>
          <cell r="CR421">
            <v>0</v>
          </cell>
          <cell r="CS421">
            <v>42248</v>
          </cell>
          <cell r="CT421">
            <v>42247</v>
          </cell>
          <cell r="CU421" t="str">
            <v>MO0430</v>
          </cell>
          <cell r="DH421">
            <v>0</v>
          </cell>
          <cell r="DI421">
            <v>42258</v>
          </cell>
          <cell r="DK421">
            <v>42255</v>
          </cell>
          <cell r="DM421">
            <v>42259</v>
          </cell>
          <cell r="DO421">
            <v>0</v>
          </cell>
          <cell r="DP421">
            <v>42258</v>
          </cell>
          <cell r="DT421">
            <v>0</v>
          </cell>
          <cell r="DU421">
            <v>42273</v>
          </cell>
          <cell r="DW421">
            <v>0</v>
          </cell>
          <cell r="DY421">
            <v>42259</v>
          </cell>
          <cell r="EA421" t="str">
            <v>Leadcom</v>
          </cell>
          <cell r="EJ421">
            <v>0</v>
          </cell>
          <cell r="EK421">
            <v>42281</v>
          </cell>
          <cell r="EM421">
            <v>42282</v>
          </cell>
          <cell r="EQ421">
            <v>42294</v>
          </cell>
          <cell r="EW421">
            <v>0</v>
          </cell>
          <cell r="EX421">
            <v>42308</v>
          </cell>
          <cell r="EZ421">
            <v>42304</v>
          </cell>
          <cell r="FB421">
            <v>42306</v>
          </cell>
          <cell r="FU421">
            <v>42308</v>
          </cell>
          <cell r="FW421">
            <v>42308</v>
          </cell>
          <cell r="GJ421">
            <v>0</v>
          </cell>
          <cell r="GN421" t="str">
            <v>ERICSSON</v>
          </cell>
          <cell r="GU421" t="str">
            <v xml:space="preserve">		</v>
          </cell>
          <cell r="HD421">
            <v>1</v>
          </cell>
        </row>
        <row r="422">
          <cell r="A422" t="str">
            <v>MO0431</v>
          </cell>
          <cell r="B422" t="str">
            <v>ASMO_0226</v>
          </cell>
          <cell r="C422" t="str">
            <v>Apollo</v>
          </cell>
          <cell r="D422" t="str">
            <v>Robert</v>
          </cell>
          <cell r="F422" t="str">
            <v>Phyo Wai Maung</v>
          </cell>
          <cell r="G422" t="str">
            <v>Thant Zin Oo</v>
          </cell>
          <cell r="H422" t="str">
            <v>RED</v>
          </cell>
          <cell r="I422" t="str">
            <v>South</v>
          </cell>
          <cell r="J422" t="str">
            <v>97.774337</v>
          </cell>
          <cell r="K422" t="str">
            <v>16.516296</v>
          </cell>
          <cell r="L422" t="str">
            <v>Rural</v>
          </cell>
          <cell r="M422" t="str">
            <v>Mon</v>
          </cell>
          <cell r="N422" t="str">
            <v>Kyaikmaraw</v>
          </cell>
          <cell r="O422" t="str">
            <v>Kyaikmaraw</v>
          </cell>
          <cell r="P422" t="str">
            <v>Mon</v>
          </cell>
          <cell r="Q422" t="str">
            <v>22</v>
          </cell>
          <cell r="R422" t="str">
            <v>Kyaikmaraw</v>
          </cell>
          <cell r="S422" t="str">
            <v>171</v>
          </cell>
          <cell r="T422" t="str">
            <v>GSM+UMTS</v>
          </cell>
          <cell r="W422" t="str">
            <v>Ph2-Priority</v>
          </cell>
          <cell r="X422" t="str">
            <v>45</v>
          </cell>
          <cell r="Y422" t="str">
            <v>47</v>
          </cell>
          <cell r="Z422" t="str">
            <v>GBT</v>
          </cell>
          <cell r="AA422" t="str">
            <v>500</v>
          </cell>
          <cell r="AB422" t="str">
            <v>Access</v>
          </cell>
          <cell r="AC422" t="str">
            <v>Class C</v>
          </cell>
          <cell r="BH422" t="str">
            <v>Camusat</v>
          </cell>
          <cell r="BJ422">
            <v>42169</v>
          </cell>
          <cell r="BK422">
            <v>42174</v>
          </cell>
          <cell r="BL422">
            <v>42174</v>
          </cell>
          <cell r="BM422">
            <v>42174</v>
          </cell>
          <cell r="BT422">
            <v>59</v>
          </cell>
          <cell r="BU422">
            <v>42180</v>
          </cell>
          <cell r="BV422">
            <v>42248</v>
          </cell>
          <cell r="BW422" t="str">
            <v>97.77368</v>
          </cell>
          <cell r="BX422" t="str">
            <v>16.51067</v>
          </cell>
          <cell r="BY422" t="str">
            <v>Reject</v>
          </cell>
          <cell r="BZ422" t="str">
            <v>Lan Ywar Village, Lan Ywar Village Track, Pakokku Township, Magway Division.</v>
          </cell>
          <cell r="CA422" t="str">
            <v>U Kyaw Kyaw Htoo</v>
          </cell>
          <cell r="CB422" t="str">
            <v>13 Aug 15: C2 deactivate because of 3.5 flood history and 0.5 mtr below the road level and no legal doc; 24 Jun 15 : C2 SAR app;23 Jun 15 : C2 SAR sub</v>
          </cell>
          <cell r="CC422" t="str">
            <v>Other use application</v>
          </cell>
          <cell r="CE422">
            <v>0</v>
          </cell>
          <cell r="CF422">
            <v>42181</v>
          </cell>
          <cell r="CG422">
            <v>42249</v>
          </cell>
          <cell r="CH422">
            <v>42183</v>
          </cell>
          <cell r="CJ422">
            <v>42189</v>
          </cell>
          <cell r="CK422" t="str">
            <v>45</v>
          </cell>
          <cell r="CL422" t="str">
            <v>47</v>
          </cell>
          <cell r="CM422" t="str">
            <v>50</v>
          </cell>
          <cell r="CN422">
            <v>0</v>
          </cell>
          <cell r="CO422">
            <v>42186</v>
          </cell>
          <cell r="CP422">
            <v>42191</v>
          </cell>
          <cell r="CQ422" t="str">
            <v>M4: solar + DG + battery</v>
          </cell>
          <cell r="CR422">
            <v>0</v>
          </cell>
          <cell r="CS422">
            <v>42187</v>
          </cell>
          <cell r="CT422">
            <v>42193</v>
          </cell>
          <cell r="CU422" t="str">
            <v>MO0431</v>
          </cell>
          <cell r="DH422">
            <v>0</v>
          </cell>
          <cell r="DI422">
            <v>42197</v>
          </cell>
          <cell r="DJ422">
            <v>42202</v>
          </cell>
          <cell r="DK422">
            <v>42194</v>
          </cell>
          <cell r="DL422">
            <v>42198</v>
          </cell>
          <cell r="DM422">
            <v>42198</v>
          </cell>
          <cell r="DN422">
            <v>42198</v>
          </cell>
          <cell r="DO422">
            <v>0</v>
          </cell>
          <cell r="DP422">
            <v>42197</v>
          </cell>
          <cell r="DQ422">
            <v>42202</v>
          </cell>
          <cell r="DT422">
            <v>0</v>
          </cell>
          <cell r="DU422">
            <v>42212</v>
          </cell>
          <cell r="DW422">
            <v>0</v>
          </cell>
          <cell r="DY422">
            <v>42198</v>
          </cell>
          <cell r="DZ422">
            <v>42206</v>
          </cell>
          <cell r="EA422" t="str">
            <v>Leadcom</v>
          </cell>
          <cell r="EE422" t="str">
            <v xml:space="preserve">10 Aug 15:Rain affected_Progress affected; 2-Aug-15: CW started and excavation IP								</v>
          </cell>
          <cell r="EJ422">
            <v>0</v>
          </cell>
          <cell r="EK422">
            <v>42215</v>
          </cell>
          <cell r="EM422">
            <v>42216</v>
          </cell>
          <cell r="EQ422">
            <v>42225</v>
          </cell>
          <cell r="EW422">
            <v>0</v>
          </cell>
          <cell r="EX422">
            <v>42239</v>
          </cell>
          <cell r="EZ422">
            <v>42235</v>
          </cell>
          <cell r="FB422">
            <v>42237</v>
          </cell>
          <cell r="FU422">
            <v>42239</v>
          </cell>
          <cell r="FW422">
            <v>42239</v>
          </cell>
          <cell r="GI422">
            <v>42169</v>
          </cell>
          <cell r="GJ422">
            <v>0</v>
          </cell>
          <cell r="GN422" t="str">
            <v>ERICSSON</v>
          </cell>
          <cell r="GU422" t="str">
            <v xml:space="preserve">		</v>
          </cell>
          <cell r="HD422">
            <v>1</v>
          </cell>
        </row>
        <row r="423">
          <cell r="A423" t="str">
            <v>MO0432</v>
          </cell>
          <cell r="B423" t="str">
            <v>ASMO_0227</v>
          </cell>
          <cell r="C423" t="str">
            <v>Apollo</v>
          </cell>
          <cell r="D423" t="str">
            <v>Robert</v>
          </cell>
          <cell r="F423" t="str">
            <v>Phyo Wai Maung</v>
          </cell>
          <cell r="G423" t="str">
            <v>Thant Zin Oo</v>
          </cell>
          <cell r="H423" t="str">
            <v>RED</v>
          </cell>
          <cell r="I423" t="str">
            <v>South</v>
          </cell>
          <cell r="J423" t="str">
            <v>97.866745</v>
          </cell>
          <cell r="K423" t="str">
            <v>16.230608</v>
          </cell>
          <cell r="L423" t="str">
            <v>Rural</v>
          </cell>
          <cell r="M423" t="str">
            <v>Mon</v>
          </cell>
          <cell r="N423" t="str">
            <v>Kyaikmaraw</v>
          </cell>
          <cell r="O423" t="str">
            <v>Kyaikmaraw</v>
          </cell>
          <cell r="P423" t="str">
            <v>Mon</v>
          </cell>
          <cell r="Q423" t="str">
            <v>22</v>
          </cell>
          <cell r="R423" t="str">
            <v>Kyaikmaraw</v>
          </cell>
          <cell r="S423" t="str">
            <v>171</v>
          </cell>
          <cell r="T423" t="str">
            <v>GSM+UMTS</v>
          </cell>
          <cell r="W423" t="str">
            <v>Ph2-Priority</v>
          </cell>
          <cell r="X423" t="str">
            <v>45</v>
          </cell>
          <cell r="Y423" t="str">
            <v>47</v>
          </cell>
          <cell r="Z423" t="str">
            <v>GBT</v>
          </cell>
          <cell r="AA423" t="str">
            <v>500</v>
          </cell>
          <cell r="AB423" t="str">
            <v>Access</v>
          </cell>
          <cell r="AC423" t="str">
            <v>Class C</v>
          </cell>
          <cell r="BH423" t="str">
            <v>Camusat</v>
          </cell>
          <cell r="BJ423">
            <v>42169</v>
          </cell>
          <cell r="BK423">
            <v>42167</v>
          </cell>
          <cell r="BL423">
            <v>42174</v>
          </cell>
          <cell r="BM423">
            <v>42156</v>
          </cell>
          <cell r="BT423">
            <v>66</v>
          </cell>
          <cell r="BU423">
            <v>42180</v>
          </cell>
          <cell r="BV423">
            <v>42241</v>
          </cell>
          <cell r="BW423" t="str">
            <v>97.86474</v>
          </cell>
          <cell r="BX423" t="str">
            <v>16.23049</v>
          </cell>
          <cell r="BY423" t="str">
            <v>Reject</v>
          </cell>
          <cell r="BZ423" t="str">
            <v>Tha Yat Kone (Myanmar Su), Kada Village, Kyaikmaraw Township, Mon State.</v>
          </cell>
          <cell r="CA423" t="str">
            <v>U Tin Shwe, 09-780434053</v>
          </cell>
          <cell r="CB423" t="str">
            <v>13 Aug 15: C2 deactivate because of Ownership issue, Minor owner; 7 Jul 15 : C2 TSSR app;6 Jul 15: C2 TSSR sub;26 Jun 15 : C2 SAR app;23 Jun 15 :C2 SAR sub</v>
          </cell>
          <cell r="CC423" t="str">
            <v>GARDEN LAND</v>
          </cell>
          <cell r="CE423">
            <v>0</v>
          </cell>
          <cell r="CF423">
            <v>42181</v>
          </cell>
          <cell r="CG423">
            <v>42242</v>
          </cell>
          <cell r="CH423">
            <v>42183</v>
          </cell>
          <cell r="CJ423">
            <v>42245</v>
          </cell>
          <cell r="CK423" t="str">
            <v>45</v>
          </cell>
          <cell r="CL423" t="str">
            <v>47</v>
          </cell>
          <cell r="CM423" t="str">
            <v>50</v>
          </cell>
          <cell r="CN423">
            <v>0</v>
          </cell>
          <cell r="CO423">
            <v>42186</v>
          </cell>
          <cell r="CP423">
            <v>42247</v>
          </cell>
          <cell r="CQ423" t="str">
            <v>M4: solar + DG + battery</v>
          </cell>
          <cell r="CR423">
            <v>0</v>
          </cell>
          <cell r="CS423">
            <v>42187</v>
          </cell>
          <cell r="CT423">
            <v>42248</v>
          </cell>
          <cell r="CU423" t="str">
            <v>MO0432</v>
          </cell>
          <cell r="DH423">
            <v>0</v>
          </cell>
          <cell r="DI423">
            <v>42197</v>
          </cell>
          <cell r="DJ423">
            <v>42217</v>
          </cell>
          <cell r="DK423">
            <v>42194</v>
          </cell>
          <cell r="DL423">
            <v>42188</v>
          </cell>
          <cell r="DM423">
            <v>42198</v>
          </cell>
          <cell r="DN423">
            <v>42208</v>
          </cell>
          <cell r="DO423">
            <v>0</v>
          </cell>
          <cell r="DP423">
            <v>42197</v>
          </cell>
          <cell r="DQ423">
            <v>42217</v>
          </cell>
          <cell r="DT423">
            <v>0</v>
          </cell>
          <cell r="DU423">
            <v>42212</v>
          </cell>
          <cell r="DW423">
            <v>0</v>
          </cell>
          <cell r="DY423">
            <v>42198</v>
          </cell>
          <cell r="DZ423">
            <v>42208</v>
          </cell>
          <cell r="EA423" t="str">
            <v>Leadcom</v>
          </cell>
          <cell r="ED423" t="str">
            <v>13Aug15 :KyawZay.Yar: Pouring lean concrete ongoing.Rebars on site.
02Aug15 :KyawZay.Yar: Excavation done.Pouring lean concrete not started yet.Rebars on site.</v>
          </cell>
          <cell r="EJ423">
            <v>0</v>
          </cell>
          <cell r="EK423">
            <v>42215</v>
          </cell>
          <cell r="EM423">
            <v>42216</v>
          </cell>
          <cell r="EQ423">
            <v>42225</v>
          </cell>
          <cell r="EW423">
            <v>0</v>
          </cell>
          <cell r="EX423">
            <v>42239</v>
          </cell>
          <cell r="EZ423">
            <v>42235</v>
          </cell>
          <cell r="FB423">
            <v>42237</v>
          </cell>
          <cell r="FU423">
            <v>42239</v>
          </cell>
          <cell r="FW423">
            <v>42239</v>
          </cell>
          <cell r="GI423">
            <v>42246</v>
          </cell>
          <cell r="GJ423">
            <v>0</v>
          </cell>
          <cell r="GN423" t="str">
            <v>ERICSSON</v>
          </cell>
          <cell r="GU423" t="str">
            <v xml:space="preserve">		</v>
          </cell>
          <cell r="HD423">
            <v>1</v>
          </cell>
        </row>
        <row r="424">
          <cell r="A424" t="str">
            <v>MO0433</v>
          </cell>
          <cell r="B424" t="str">
            <v>ASMO_0228</v>
          </cell>
          <cell r="C424" t="str">
            <v>Apollo</v>
          </cell>
          <cell r="D424" t="str">
            <v>Robert</v>
          </cell>
          <cell r="F424" t="str">
            <v>Phyo Wai Maung</v>
          </cell>
          <cell r="G424" t="str">
            <v>Thant Zin Oo</v>
          </cell>
          <cell r="H424" t="str">
            <v>AMBER</v>
          </cell>
          <cell r="I424" t="str">
            <v>South</v>
          </cell>
          <cell r="J424" t="str">
            <v>97.84646115</v>
          </cell>
          <cell r="K424" t="str">
            <v>16.45309122</v>
          </cell>
          <cell r="L424" t="str">
            <v>Rural</v>
          </cell>
          <cell r="M424" t="str">
            <v>Mon</v>
          </cell>
          <cell r="N424" t="str">
            <v>Kyaikmaraw</v>
          </cell>
          <cell r="O424" t="str">
            <v>Kyaikmaraw</v>
          </cell>
          <cell r="P424" t="str">
            <v>Mon</v>
          </cell>
          <cell r="Q424" t="str">
            <v>22</v>
          </cell>
          <cell r="R424" t="str">
            <v>Kyaikmaraw</v>
          </cell>
          <cell r="S424" t="str">
            <v>171</v>
          </cell>
          <cell r="T424" t="str">
            <v>GSM+UMTS</v>
          </cell>
          <cell r="W424" t="str">
            <v>Ph2-Priority</v>
          </cell>
          <cell r="X424" t="str">
            <v>55</v>
          </cell>
          <cell r="Y424" t="str">
            <v>57</v>
          </cell>
          <cell r="Z424" t="str">
            <v>GBT</v>
          </cell>
          <cell r="AA424" t="str">
            <v>500</v>
          </cell>
          <cell r="AB424" t="str">
            <v>Access</v>
          </cell>
          <cell r="AC424" t="str">
            <v>Class C</v>
          </cell>
          <cell r="BH424" t="str">
            <v>Leadcom</v>
          </cell>
          <cell r="BJ424">
            <v>42169</v>
          </cell>
          <cell r="BK424">
            <v>42156</v>
          </cell>
          <cell r="BL424">
            <v>42174</v>
          </cell>
          <cell r="BM424">
            <v>42163</v>
          </cell>
          <cell r="BT424">
            <v>17</v>
          </cell>
          <cell r="BU424">
            <v>42241</v>
          </cell>
          <cell r="BV424">
            <v>42173</v>
          </cell>
          <cell r="BW424" t="str">
            <v>97.845057</v>
          </cell>
          <cell r="BX424" t="str">
            <v>16.453012</v>
          </cell>
          <cell r="BY424" t="str">
            <v>C1</v>
          </cell>
          <cell r="BZ424" t="str">
            <v>No.(249), 4St, Khop Khalone Village, Kyaik Mayaw Tsp, Mon State.</v>
          </cell>
          <cell r="CA424" t="str">
            <v>Daw Sandar;09 792294247</v>
          </cell>
          <cell r="CB424" t="str">
            <v>18Jun15: C1 SAR Sub</v>
          </cell>
          <cell r="CE424">
            <v>1</v>
          </cell>
          <cell r="CF424">
            <v>42242</v>
          </cell>
          <cell r="CG424">
            <v>42174</v>
          </cell>
          <cell r="CH424">
            <v>42244</v>
          </cell>
          <cell r="CJ424">
            <v>42183</v>
          </cell>
          <cell r="CK424" t="str">
            <v>50</v>
          </cell>
          <cell r="CL424" t="str">
            <v>52</v>
          </cell>
          <cell r="CM424" t="str">
            <v>60</v>
          </cell>
          <cell r="CN424">
            <v>11</v>
          </cell>
          <cell r="CO424">
            <v>42247</v>
          </cell>
          <cell r="CP424">
            <v>42185</v>
          </cell>
          <cell r="CQ424" t="str">
            <v>M4: solar + DG + battery</v>
          </cell>
          <cell r="CR424">
            <v>1</v>
          </cell>
          <cell r="CS424">
            <v>42248</v>
          </cell>
          <cell r="CT424">
            <v>42186</v>
          </cell>
          <cell r="CU424" t="str">
            <v>MO0433</v>
          </cell>
          <cell r="DH424">
            <v>47</v>
          </cell>
          <cell r="DI424">
            <v>42258</v>
          </cell>
          <cell r="DJ424">
            <v>42217</v>
          </cell>
          <cell r="DK424">
            <v>42255</v>
          </cell>
          <cell r="DL424">
            <v>42179</v>
          </cell>
          <cell r="DM424">
            <v>42259</v>
          </cell>
          <cell r="DO424">
            <v>0</v>
          </cell>
          <cell r="DP424">
            <v>42258</v>
          </cell>
          <cell r="DQ424">
            <v>42217</v>
          </cell>
          <cell r="DT424">
            <v>0</v>
          </cell>
          <cell r="DU424">
            <v>42273</v>
          </cell>
          <cell r="DW424">
            <v>0</v>
          </cell>
          <cell r="DY424">
            <v>42259</v>
          </cell>
          <cell r="DZ424">
            <v>42208</v>
          </cell>
          <cell r="EA424" t="str">
            <v>Leadcom</v>
          </cell>
          <cell r="EB424">
            <v>42217</v>
          </cell>
          <cell r="EE424" t="str">
            <v xml:space="preserve">10 Aug 15:Flood affected_Hold-No access; 1-Aug-15: Site cancelled from SKOM &amp; CW, due to Flooded access. SG Area is affected by Flood.								</v>
          </cell>
          <cell r="EJ424">
            <v>25</v>
          </cell>
          <cell r="EK424">
            <v>42281</v>
          </cell>
          <cell r="EM424">
            <v>42282</v>
          </cell>
          <cell r="EQ424">
            <v>42294</v>
          </cell>
          <cell r="EW424">
            <v>25</v>
          </cell>
          <cell r="EX424">
            <v>42308</v>
          </cell>
          <cell r="EZ424">
            <v>42304</v>
          </cell>
          <cell r="FB424">
            <v>42306</v>
          </cell>
          <cell r="FU424">
            <v>42308</v>
          </cell>
          <cell r="FW424">
            <v>42308</v>
          </cell>
          <cell r="GI424">
            <v>42307</v>
          </cell>
          <cell r="GJ424" t="str">
            <v>44-2015</v>
          </cell>
          <cell r="GN424" t="str">
            <v>ERICSSON</v>
          </cell>
          <cell r="GU424" t="str">
            <v xml:space="preserve">		</v>
          </cell>
          <cell r="HD424">
            <v>1</v>
          </cell>
        </row>
        <row r="425">
          <cell r="A425" t="str">
            <v>MO0434</v>
          </cell>
          <cell r="B425" t="str">
            <v>ASMO_0229</v>
          </cell>
          <cell r="C425" t="str">
            <v>Apollo</v>
          </cell>
          <cell r="D425" t="str">
            <v>Robert</v>
          </cell>
          <cell r="F425" t="str">
            <v>Phyo Wai Maung</v>
          </cell>
          <cell r="G425" t="str">
            <v>Thant Zin Oo</v>
          </cell>
          <cell r="H425" t="str">
            <v>RED</v>
          </cell>
          <cell r="I425" t="str">
            <v>South</v>
          </cell>
          <cell r="J425" t="str">
            <v>97.475884</v>
          </cell>
          <cell r="K425" t="str">
            <v>17.118107</v>
          </cell>
          <cell r="L425" t="str">
            <v>Rural</v>
          </cell>
          <cell r="M425" t="str">
            <v>Mon</v>
          </cell>
          <cell r="N425" t="str">
            <v>Thaton</v>
          </cell>
          <cell r="O425" t="str">
            <v>Thaton</v>
          </cell>
          <cell r="P425" t="str">
            <v>Mon</v>
          </cell>
          <cell r="Q425" t="str">
            <v>22</v>
          </cell>
          <cell r="R425" t="str">
            <v>Thaton</v>
          </cell>
          <cell r="S425" t="str">
            <v>176</v>
          </cell>
          <cell r="T425" t="str">
            <v>GSM+UMTS</v>
          </cell>
          <cell r="W425" t="str">
            <v>Ph2-Priority</v>
          </cell>
          <cell r="X425" t="str">
            <v>55</v>
          </cell>
          <cell r="Y425" t="str">
            <v>57</v>
          </cell>
          <cell r="Z425" t="str">
            <v>GBT</v>
          </cell>
          <cell r="AA425" t="str">
            <v>500</v>
          </cell>
          <cell r="AB425" t="str">
            <v>Access</v>
          </cell>
          <cell r="AC425" t="str">
            <v>Class C</v>
          </cell>
          <cell r="BE425" t="str">
            <v>Route 10 Mandalay - Myitkyina</v>
          </cell>
          <cell r="BH425" t="str">
            <v>Leadcom</v>
          </cell>
          <cell r="BJ425">
            <v>42169</v>
          </cell>
          <cell r="BK425">
            <v>42169</v>
          </cell>
          <cell r="BL425">
            <v>42174</v>
          </cell>
          <cell r="BM425">
            <v>42138</v>
          </cell>
          <cell r="BT425">
            <v>61</v>
          </cell>
          <cell r="BU425">
            <v>42241</v>
          </cell>
          <cell r="BV425">
            <v>42230</v>
          </cell>
          <cell r="BW425" t="str">
            <v>97.47383</v>
          </cell>
          <cell r="BX425" t="str">
            <v>17.11728</v>
          </cell>
          <cell r="BY425" t="str">
            <v>C1 rev</v>
          </cell>
          <cell r="BZ425" t="str">
            <v>No(244), Block -3 Quarter, Kantbalu Town,Shwe Bo ,Sagaing.</v>
          </cell>
          <cell r="CA425" t="str">
            <v>U Myint Sein;No(244), Block -3 Quarter, Kantbalu Town, Shwe BoDistrict, Sagaing Division.;09-402752924/09-259946160</v>
          </cell>
          <cell r="CB425" t="str">
            <v>14 Aug 15 : C1 SAR rev sub(RESUBMITTED CHANGED COORDINATE);13 Jul 15 : C1 TSSR app;10 Jul 15 : C1 TSSR sub;30 Jun 15 : C1 SAR app;26 Jun 15 : C1 SAR sub</v>
          </cell>
          <cell r="CC425" t="str">
            <v>GARDEN LAND</v>
          </cell>
          <cell r="CE425">
            <v>3</v>
          </cell>
          <cell r="CF425">
            <v>42242</v>
          </cell>
          <cell r="CG425">
            <v>42235</v>
          </cell>
          <cell r="CH425">
            <v>42244</v>
          </cell>
          <cell r="CJ425">
            <v>42168</v>
          </cell>
          <cell r="CK425" t="str">
            <v>35</v>
          </cell>
          <cell r="CL425" t="str">
            <v>37</v>
          </cell>
          <cell r="CM425" t="str">
            <v>40</v>
          </cell>
          <cell r="CN425">
            <v>0</v>
          </cell>
          <cell r="CO425">
            <v>42247</v>
          </cell>
          <cell r="CP425">
            <v>42170</v>
          </cell>
          <cell r="CQ425" t="str">
            <v>M4: solar + DG + battery</v>
          </cell>
          <cell r="CR425">
            <v>0</v>
          </cell>
          <cell r="CS425">
            <v>42248</v>
          </cell>
          <cell r="CT425">
            <v>42171</v>
          </cell>
          <cell r="CU425" t="str">
            <v>MO0434</v>
          </cell>
          <cell r="DH425">
            <v>0</v>
          </cell>
          <cell r="DI425">
            <v>42258</v>
          </cell>
          <cell r="DJ425">
            <v>42186</v>
          </cell>
          <cell r="DK425">
            <v>42255</v>
          </cell>
          <cell r="DL425">
            <v>42168</v>
          </cell>
          <cell r="DM425">
            <v>42259</v>
          </cell>
          <cell r="DN425">
            <v>42188</v>
          </cell>
          <cell r="DO425">
            <v>0</v>
          </cell>
          <cell r="DP425">
            <v>42258</v>
          </cell>
          <cell r="DQ425">
            <v>42187</v>
          </cell>
          <cell r="DT425">
            <v>0</v>
          </cell>
          <cell r="DU425">
            <v>42273</v>
          </cell>
          <cell r="DW425">
            <v>0</v>
          </cell>
          <cell r="DY425">
            <v>42259</v>
          </cell>
          <cell r="DZ425">
            <v>42188</v>
          </cell>
          <cell r="EA425" t="str">
            <v>Leadcom</v>
          </cell>
          <cell r="EB425">
            <v>42192</v>
          </cell>
          <cell r="EE425" t="str">
            <v xml:space="preserve">10 Aug 15:Flood affected_Hold-No access; 7-Jul-15: Flooded access or site is flooded_ we canÆt proceed to this site. For now								</v>
          </cell>
          <cell r="EJ425">
            <v>0</v>
          </cell>
          <cell r="EK425">
            <v>42281</v>
          </cell>
          <cell r="EM425">
            <v>42282</v>
          </cell>
          <cell r="EQ425">
            <v>42294</v>
          </cell>
          <cell r="EW425">
            <v>0</v>
          </cell>
          <cell r="EX425">
            <v>42308</v>
          </cell>
          <cell r="EZ425">
            <v>42304</v>
          </cell>
          <cell r="FB425">
            <v>42306</v>
          </cell>
          <cell r="FU425">
            <v>42308</v>
          </cell>
          <cell r="FW425">
            <v>42308</v>
          </cell>
          <cell r="GJ425">
            <v>0</v>
          </cell>
          <cell r="GN425" t="str">
            <v>ERICSSON</v>
          </cell>
          <cell r="GU425" t="str">
            <v xml:space="preserve">		</v>
          </cell>
          <cell r="HD425">
            <v>1</v>
          </cell>
        </row>
        <row r="426">
          <cell r="A426" t="str">
            <v>MO0436</v>
          </cell>
          <cell r="B426" t="str">
            <v>ASMO_0230</v>
          </cell>
          <cell r="C426" t="str">
            <v>Apollo</v>
          </cell>
          <cell r="D426" t="str">
            <v>Robert</v>
          </cell>
          <cell r="F426" t="str">
            <v>Phyo Wai Maung</v>
          </cell>
          <cell r="G426" t="str">
            <v>Thant Zin Oo</v>
          </cell>
          <cell r="H426" t="str">
            <v>RED</v>
          </cell>
          <cell r="I426" t="str">
            <v>South</v>
          </cell>
          <cell r="J426" t="str">
            <v>97.690355</v>
          </cell>
          <cell r="K426" t="str">
            <v>16.522856</v>
          </cell>
          <cell r="L426" t="str">
            <v>Rural</v>
          </cell>
          <cell r="M426" t="str">
            <v>Mon</v>
          </cell>
          <cell r="N426" t="str">
            <v>Kyaikmaraw</v>
          </cell>
          <cell r="O426" t="str">
            <v>Kyaikmaraw</v>
          </cell>
          <cell r="P426" t="str">
            <v>Mon</v>
          </cell>
          <cell r="Q426" t="str">
            <v>22</v>
          </cell>
          <cell r="R426" t="str">
            <v>Kyaikmaraw</v>
          </cell>
          <cell r="S426" t="str">
            <v>171</v>
          </cell>
          <cell r="T426" t="str">
            <v>GSM+UMTS</v>
          </cell>
          <cell r="W426" t="str">
            <v>Ph2-Priority</v>
          </cell>
          <cell r="X426" t="str">
            <v>45</v>
          </cell>
          <cell r="Y426" t="str">
            <v>47</v>
          </cell>
          <cell r="Z426" t="str">
            <v>GBT</v>
          </cell>
          <cell r="AA426" t="str">
            <v>500</v>
          </cell>
          <cell r="AB426" t="str">
            <v>Access</v>
          </cell>
          <cell r="AC426" t="str">
            <v>Class C</v>
          </cell>
          <cell r="BH426" t="str">
            <v>Leadcom</v>
          </cell>
          <cell r="BJ426">
            <v>42169</v>
          </cell>
          <cell r="BK426">
            <v>42169</v>
          </cell>
          <cell r="BL426">
            <v>42174</v>
          </cell>
          <cell r="BM426">
            <v>42162</v>
          </cell>
          <cell r="BT426">
            <v>3</v>
          </cell>
          <cell r="BU426">
            <v>42235</v>
          </cell>
          <cell r="BV426">
            <v>42172</v>
          </cell>
          <cell r="BW426" t="str">
            <v>97.67881</v>
          </cell>
          <cell r="BX426" t="str">
            <v>16.52062</v>
          </cell>
          <cell r="BY426" t="str">
            <v>C4</v>
          </cell>
          <cell r="BZ426" t="str">
            <v>BarBuKone, Village, Kyaik Ma Yaw Township.</v>
          </cell>
          <cell r="CA426" t="str">
            <v>Khin Mar Cho, 940160490</v>
          </cell>
          <cell r="CB426" t="str">
            <v>17Jun15: C4 SAR Sub</v>
          </cell>
          <cell r="CE426">
            <v>1</v>
          </cell>
          <cell r="CF426">
            <v>42236</v>
          </cell>
          <cell r="CG426">
            <v>42173</v>
          </cell>
          <cell r="CH426">
            <v>42238</v>
          </cell>
          <cell r="CJ426">
            <v>42227</v>
          </cell>
          <cell r="CK426" t="str">
            <v>45</v>
          </cell>
          <cell r="CL426" t="str">
            <v>47</v>
          </cell>
          <cell r="CM426" t="str">
            <v>50</v>
          </cell>
          <cell r="CN426">
            <v>56</v>
          </cell>
          <cell r="CO426">
            <v>42241</v>
          </cell>
          <cell r="CP426">
            <v>42229</v>
          </cell>
          <cell r="CQ426" t="str">
            <v>M1: grid power + battery</v>
          </cell>
          <cell r="CR426">
            <v>4</v>
          </cell>
          <cell r="CS426">
            <v>42242</v>
          </cell>
          <cell r="CT426">
            <v>42233</v>
          </cell>
          <cell r="CU426" t="str">
            <v>MO0436</v>
          </cell>
          <cell r="DH426">
            <v>0</v>
          </cell>
          <cell r="DI426">
            <v>42252</v>
          </cell>
          <cell r="DK426">
            <v>42249</v>
          </cell>
          <cell r="DM426">
            <v>42253</v>
          </cell>
          <cell r="DO426">
            <v>0</v>
          </cell>
          <cell r="DP426">
            <v>42252</v>
          </cell>
          <cell r="DT426">
            <v>0</v>
          </cell>
          <cell r="DU426">
            <v>42267</v>
          </cell>
          <cell r="DW426">
            <v>0</v>
          </cell>
          <cell r="DY426">
            <v>42253</v>
          </cell>
          <cell r="DZ426">
            <v>42250</v>
          </cell>
          <cell r="EA426" t="str">
            <v>Leadcom</v>
          </cell>
          <cell r="EJ426">
            <v>0</v>
          </cell>
          <cell r="EK426">
            <v>42270</v>
          </cell>
          <cell r="EM426">
            <v>42271</v>
          </cell>
          <cell r="EQ426">
            <v>42280</v>
          </cell>
          <cell r="EW426">
            <v>0</v>
          </cell>
          <cell r="EX426">
            <v>42294</v>
          </cell>
          <cell r="EZ426">
            <v>42290</v>
          </cell>
          <cell r="FB426">
            <v>42292</v>
          </cell>
          <cell r="FU426">
            <v>42294</v>
          </cell>
          <cell r="FW426">
            <v>42294</v>
          </cell>
          <cell r="GJ426">
            <v>0</v>
          </cell>
          <cell r="GN426" t="str">
            <v>ERICSSON</v>
          </cell>
          <cell r="GU426" t="str">
            <v xml:space="preserve">		</v>
          </cell>
          <cell r="HD426">
            <v>1</v>
          </cell>
        </row>
        <row r="427">
          <cell r="A427" t="str">
            <v>MO0437</v>
          </cell>
          <cell r="B427" t="str">
            <v>ASMO_0231</v>
          </cell>
          <cell r="C427" t="str">
            <v>Apollo</v>
          </cell>
          <cell r="D427" t="str">
            <v>Robert</v>
          </cell>
          <cell r="F427" t="str">
            <v>Phyo Wai Maung</v>
          </cell>
          <cell r="G427" t="str">
            <v>Thant Zin Oo</v>
          </cell>
          <cell r="H427" t="str">
            <v>RED</v>
          </cell>
          <cell r="I427" t="str">
            <v>South</v>
          </cell>
          <cell r="J427" t="str">
            <v>98.0471</v>
          </cell>
          <cell r="K427" t="str">
            <v>16.1523</v>
          </cell>
          <cell r="L427" t="str">
            <v>Rural</v>
          </cell>
          <cell r="M427" t="str">
            <v>Mon</v>
          </cell>
          <cell r="N427" t="str">
            <v>Kyaikmaraw</v>
          </cell>
          <cell r="O427" t="str">
            <v>Kyaikmaraw</v>
          </cell>
          <cell r="P427" t="str">
            <v>Mon</v>
          </cell>
          <cell r="Q427" t="str">
            <v>22</v>
          </cell>
          <cell r="R427" t="str">
            <v>Kyaikmaraw</v>
          </cell>
          <cell r="S427" t="str">
            <v>171</v>
          </cell>
          <cell r="T427" t="str">
            <v>GSM+UMTS</v>
          </cell>
          <cell r="W427" t="str">
            <v>Ph2-Priority</v>
          </cell>
          <cell r="X427" t="str">
            <v>45</v>
          </cell>
          <cell r="Y427" t="str">
            <v>47</v>
          </cell>
          <cell r="Z427" t="str">
            <v>GBT</v>
          </cell>
          <cell r="AA427" t="str">
            <v>500</v>
          </cell>
          <cell r="AB427" t="str">
            <v>Access</v>
          </cell>
          <cell r="AC427" t="str">
            <v>Class C</v>
          </cell>
          <cell r="BH427" t="str">
            <v>Leadcom</v>
          </cell>
          <cell r="BJ427">
            <v>42169</v>
          </cell>
          <cell r="BK427">
            <v>42156</v>
          </cell>
          <cell r="BL427">
            <v>42174</v>
          </cell>
          <cell r="BM427">
            <v>42163</v>
          </cell>
          <cell r="BT427">
            <v>70</v>
          </cell>
          <cell r="BU427">
            <v>42180</v>
          </cell>
          <cell r="BV427">
            <v>42226</v>
          </cell>
          <cell r="BW427" t="str">
            <v>98.048357</v>
          </cell>
          <cell r="BX427" t="str">
            <v>16.152255</v>
          </cell>
          <cell r="BY427" t="str">
            <v>C3</v>
          </cell>
          <cell r="BZ427" t="str">
            <v>Sagaing Division , Myaung Township, Mal Ma thaw Village .</v>
          </cell>
          <cell r="CA427" t="str">
            <v>U Tin Htun</v>
          </cell>
          <cell r="CB427" t="str">
            <v>10 Aug 15 : C3 SAR sub (C1 OWNER BACKED OUT, C2 PADDY LAND);19 Jun 15 : C1 SAR app;18Jun15: C1 SAR Sub</v>
          </cell>
          <cell r="CC427" t="str">
            <v>FreeHold</v>
          </cell>
          <cell r="CE427">
            <v>2</v>
          </cell>
          <cell r="CF427">
            <v>42181</v>
          </cell>
          <cell r="CG427">
            <v>42228</v>
          </cell>
          <cell r="CH427">
            <v>42183</v>
          </cell>
          <cell r="CJ427">
            <v>42193</v>
          </cell>
          <cell r="CK427" t="str">
            <v>45</v>
          </cell>
          <cell r="CL427" t="str">
            <v>47</v>
          </cell>
          <cell r="CM427" t="str">
            <v>50</v>
          </cell>
          <cell r="CN427">
            <v>5</v>
          </cell>
          <cell r="CO427">
            <v>42186</v>
          </cell>
          <cell r="CP427">
            <v>42195</v>
          </cell>
          <cell r="CQ427" t="str">
            <v>M4: solar + DG + battery</v>
          </cell>
          <cell r="CR427">
            <v>0</v>
          </cell>
          <cell r="CS427">
            <v>42187</v>
          </cell>
          <cell r="CT427">
            <v>42198</v>
          </cell>
          <cell r="CU427" t="str">
            <v>MO0437</v>
          </cell>
          <cell r="DH427">
            <v>0</v>
          </cell>
          <cell r="DI427">
            <v>42197</v>
          </cell>
          <cell r="DJ427">
            <v>42217</v>
          </cell>
          <cell r="DK427">
            <v>42194</v>
          </cell>
          <cell r="DM427">
            <v>42198</v>
          </cell>
          <cell r="DO427">
            <v>0</v>
          </cell>
          <cell r="DP427">
            <v>42197</v>
          </cell>
          <cell r="DQ427">
            <v>42217</v>
          </cell>
          <cell r="DT427">
            <v>0</v>
          </cell>
          <cell r="DU427">
            <v>42212</v>
          </cell>
          <cell r="DW427">
            <v>0</v>
          </cell>
          <cell r="DY427">
            <v>42198</v>
          </cell>
          <cell r="EA427" t="str">
            <v>Leadcom</v>
          </cell>
          <cell r="EB427">
            <v>42215</v>
          </cell>
          <cell r="EE427" t="str">
            <v xml:space="preserve">10 Aug 15:Flood affected_Hold-No access; 30-Jul-15: Site cancelled from SKOM &amp; CW, due to Flooded access. SG Area is affected by Flood.								</v>
          </cell>
          <cell r="EJ427">
            <v>0</v>
          </cell>
          <cell r="EK427">
            <v>42215</v>
          </cell>
          <cell r="EM427">
            <v>42216</v>
          </cell>
          <cell r="EQ427">
            <v>42225</v>
          </cell>
          <cell r="EW427">
            <v>0</v>
          </cell>
          <cell r="EX427">
            <v>42239</v>
          </cell>
          <cell r="EZ427">
            <v>42235</v>
          </cell>
          <cell r="FB427">
            <v>42237</v>
          </cell>
          <cell r="FU427">
            <v>42239</v>
          </cell>
          <cell r="FW427">
            <v>42239</v>
          </cell>
          <cell r="GI427">
            <v>42277</v>
          </cell>
          <cell r="GJ427">
            <v>0</v>
          </cell>
          <cell r="GN427" t="str">
            <v>ERICSSON</v>
          </cell>
          <cell r="GU427" t="str">
            <v xml:space="preserve">		</v>
          </cell>
          <cell r="HD427">
            <v>1</v>
          </cell>
        </row>
        <row r="428">
          <cell r="A428" t="str">
            <v>MO0438</v>
          </cell>
          <cell r="B428" t="str">
            <v>ASMO_0232</v>
          </cell>
          <cell r="C428" t="str">
            <v>Apollo</v>
          </cell>
          <cell r="D428" t="str">
            <v>Robert</v>
          </cell>
          <cell r="F428" t="str">
            <v>Phyo Wai Maung</v>
          </cell>
          <cell r="G428" t="str">
            <v>Thant Zin Oo</v>
          </cell>
          <cell r="H428" t="str">
            <v>RED</v>
          </cell>
          <cell r="I428" t="str">
            <v>South</v>
          </cell>
          <cell r="J428" t="str">
            <v>97.534075</v>
          </cell>
          <cell r="K428" t="str">
            <v>16.4779</v>
          </cell>
          <cell r="L428" t="str">
            <v>Rural</v>
          </cell>
          <cell r="M428" t="str">
            <v>Mon</v>
          </cell>
          <cell r="N428" t="str">
            <v>Chaungzon</v>
          </cell>
          <cell r="O428" t="str">
            <v>Chaungzon</v>
          </cell>
          <cell r="P428" t="str">
            <v>Mon</v>
          </cell>
          <cell r="Q428" t="str">
            <v>22</v>
          </cell>
          <cell r="R428" t="str">
            <v>Chaungzon</v>
          </cell>
          <cell r="S428" t="str">
            <v>172</v>
          </cell>
          <cell r="T428" t="str">
            <v>GSM+UMTS</v>
          </cell>
          <cell r="W428" t="str">
            <v>Ph2-Priority</v>
          </cell>
          <cell r="X428" t="str">
            <v>45</v>
          </cell>
          <cell r="Y428" t="str">
            <v>47</v>
          </cell>
          <cell r="Z428" t="str">
            <v>GBT</v>
          </cell>
          <cell r="AA428" t="str">
            <v>500</v>
          </cell>
          <cell r="AB428" t="str">
            <v>Access</v>
          </cell>
          <cell r="AC428" t="str">
            <v>Class C</v>
          </cell>
          <cell r="BE428" t="str">
            <v>Route 8 Mandalay - Magwe</v>
          </cell>
          <cell r="BH428" t="str">
            <v>Leadcom</v>
          </cell>
          <cell r="BJ428">
            <v>42169</v>
          </cell>
          <cell r="BK428">
            <v>42163</v>
          </cell>
          <cell r="BL428">
            <v>42174</v>
          </cell>
          <cell r="BM428">
            <v>42149</v>
          </cell>
          <cell r="BT428">
            <v>70</v>
          </cell>
          <cell r="BU428">
            <v>42180</v>
          </cell>
          <cell r="BV428">
            <v>42234</v>
          </cell>
          <cell r="BW428" t="str">
            <v>97.53923</v>
          </cell>
          <cell r="BX428" t="str">
            <v>16.48055</v>
          </cell>
          <cell r="BY428" t="str">
            <v>C6</v>
          </cell>
          <cell r="BZ428" t="str">
            <v>Field No.(659/A), U Paing No.(87/2), Taung Soon Village, Chaung Sone Township, Mon State.</v>
          </cell>
          <cell r="CA428" t="str">
            <v>Daw Aye Myint,09-255 992 242</v>
          </cell>
          <cell r="CB428" t="str">
            <v>18 Aug 15:C6 SAR sub;13 Aug 15: C5 deactivate because of  Owner backed out due to internal disputes ;24 Jun 15 : C5 SAR app;23 Jun 15 : C5 SAR sub;23Jun15 :C4 SAR rejected( RND rejected because this site is 1km far from the nominal point. Please find the new candidate at 16.481710°, 97.534963°.); 18Jun15: C4 SAR Sub, C1 C2 and C3 FARMLAND.</v>
          </cell>
          <cell r="CC428" t="str">
            <v>GARDEN LAND</v>
          </cell>
          <cell r="CE428">
            <v>0</v>
          </cell>
          <cell r="CF428">
            <v>42181</v>
          </cell>
          <cell r="CG428">
            <v>42236</v>
          </cell>
          <cell r="CH428">
            <v>42183</v>
          </cell>
          <cell r="CJ428">
            <v>42247</v>
          </cell>
          <cell r="CK428" t="str">
            <v>45</v>
          </cell>
          <cell r="CL428" t="str">
            <v>47</v>
          </cell>
          <cell r="CM428" t="str">
            <v>50</v>
          </cell>
          <cell r="CN428">
            <v>0</v>
          </cell>
          <cell r="CO428">
            <v>42186</v>
          </cell>
          <cell r="CP428">
            <v>42249</v>
          </cell>
          <cell r="CQ428" t="str">
            <v>M4: solar + DG + battery</v>
          </cell>
          <cell r="CR428">
            <v>0</v>
          </cell>
          <cell r="CS428">
            <v>42187</v>
          </cell>
          <cell r="CT428">
            <v>42250</v>
          </cell>
          <cell r="CU428" t="str">
            <v>MO0438</v>
          </cell>
          <cell r="DH428">
            <v>0</v>
          </cell>
          <cell r="DI428">
            <v>42197</v>
          </cell>
          <cell r="DJ428">
            <v>42188</v>
          </cell>
          <cell r="DK428">
            <v>42194</v>
          </cell>
          <cell r="DL428">
            <v>42179</v>
          </cell>
          <cell r="DM428">
            <v>42198</v>
          </cell>
          <cell r="DN428">
            <v>42192</v>
          </cell>
          <cell r="DO428">
            <v>0</v>
          </cell>
          <cell r="DP428">
            <v>42197</v>
          </cell>
          <cell r="DQ428">
            <v>42188</v>
          </cell>
          <cell r="DT428">
            <v>0</v>
          </cell>
          <cell r="DU428">
            <v>42212</v>
          </cell>
          <cell r="DW428">
            <v>0</v>
          </cell>
          <cell r="DY428">
            <v>42198</v>
          </cell>
          <cell r="DZ428">
            <v>42192</v>
          </cell>
          <cell r="EA428" t="str">
            <v>Leadcom</v>
          </cell>
          <cell r="ED428" t="str">
            <v xml:space="preserve">17Aug15 :SiThu.Moe: 4/8/15:CW not start yet.
</v>
          </cell>
          <cell r="EE428" t="str">
            <v xml:space="preserve">10 Aug 15:Rain affected_Progress affected; 4-Aug-15: Rain affected_ Site is progressing but rain is affecting the work every day. Excavation IP,site is flooded but we are trying to do some work 								</v>
          </cell>
          <cell r="EJ428">
            <v>0</v>
          </cell>
          <cell r="EK428">
            <v>42215</v>
          </cell>
          <cell r="EM428">
            <v>42216</v>
          </cell>
          <cell r="EQ428">
            <v>42225</v>
          </cell>
          <cell r="EW428">
            <v>0</v>
          </cell>
          <cell r="EX428">
            <v>42239</v>
          </cell>
          <cell r="EZ428">
            <v>42235</v>
          </cell>
          <cell r="FB428">
            <v>42237</v>
          </cell>
          <cell r="FU428">
            <v>42239</v>
          </cell>
          <cell r="FW428">
            <v>42239</v>
          </cell>
          <cell r="GF428">
            <v>42192</v>
          </cell>
          <cell r="GJ428">
            <v>0</v>
          </cell>
          <cell r="GN428" t="str">
            <v>ERICSSON</v>
          </cell>
          <cell r="GO428">
            <v>42199</v>
          </cell>
          <cell r="GU428" t="str">
            <v xml:space="preserve">		</v>
          </cell>
          <cell r="HD428">
            <v>1</v>
          </cell>
        </row>
        <row r="429">
          <cell r="A429" t="str">
            <v>MO0439</v>
          </cell>
          <cell r="B429" t="str">
            <v>ASMO_0233</v>
          </cell>
          <cell r="C429" t="str">
            <v>Apollo</v>
          </cell>
          <cell r="D429" t="str">
            <v>Robert</v>
          </cell>
          <cell r="F429" t="str">
            <v>Phyo Wai Maung</v>
          </cell>
          <cell r="G429" t="str">
            <v>Thant Zin Oo</v>
          </cell>
          <cell r="H429" t="str">
            <v>RED</v>
          </cell>
          <cell r="I429" t="str">
            <v>South</v>
          </cell>
          <cell r="J429" t="str">
            <v>97.495679</v>
          </cell>
          <cell r="K429" t="str">
            <v>16.448321</v>
          </cell>
          <cell r="L429" t="str">
            <v>Rural</v>
          </cell>
          <cell r="M429" t="str">
            <v>Mon</v>
          </cell>
          <cell r="N429" t="str">
            <v>Chaungzon</v>
          </cell>
          <cell r="O429" t="str">
            <v>Chaungzon</v>
          </cell>
          <cell r="P429" t="str">
            <v>Mon</v>
          </cell>
          <cell r="Q429" t="str">
            <v>22</v>
          </cell>
          <cell r="R429" t="str">
            <v>Chaungzon</v>
          </cell>
          <cell r="S429" t="str">
            <v>172</v>
          </cell>
          <cell r="T429" t="str">
            <v>GSM+UMTS</v>
          </cell>
          <cell r="W429" t="str">
            <v>Ph2-Priority</v>
          </cell>
          <cell r="X429" t="str">
            <v>45</v>
          </cell>
          <cell r="Y429" t="str">
            <v>47</v>
          </cell>
          <cell r="Z429" t="str">
            <v>GBT</v>
          </cell>
          <cell r="AA429" t="str">
            <v>500</v>
          </cell>
          <cell r="AB429" t="str">
            <v>Access</v>
          </cell>
          <cell r="AC429" t="str">
            <v>Class C</v>
          </cell>
          <cell r="BE429" t="str">
            <v>Kyauktaw-Kyaukpadaung</v>
          </cell>
          <cell r="BH429" t="str">
            <v>Leadcom</v>
          </cell>
          <cell r="BJ429">
            <v>42169</v>
          </cell>
          <cell r="BK429">
            <v>42121</v>
          </cell>
          <cell r="BL429">
            <v>42174</v>
          </cell>
          <cell r="BM429">
            <v>42122</v>
          </cell>
          <cell r="BT429">
            <v>11</v>
          </cell>
          <cell r="BU429">
            <v>42180</v>
          </cell>
          <cell r="BV429">
            <v>42132</v>
          </cell>
          <cell r="BW429" t="str">
            <v>94.8206</v>
          </cell>
          <cell r="BX429" t="str">
            <v>20.879</v>
          </cell>
          <cell r="BY429" t="str">
            <v>C1</v>
          </cell>
          <cell r="BZ429" t="str">
            <v>No (506),No(15) Quarter,Yadanar Aint.(Address taken from SAR).</v>
          </cell>
          <cell r="CA429" t="str">
            <v>U Than Swe;No (506),No(15)Quarter, Yadanar Aint.Chauk Township,Magway Division;09-794562274</v>
          </cell>
          <cell r="CB429" t="str">
            <v>8May15: C1 SAR Sub</v>
          </cell>
          <cell r="CC429" t="str">
            <v>Farmland</v>
          </cell>
          <cell r="CE429">
            <v>0</v>
          </cell>
          <cell r="CF429">
            <v>42181</v>
          </cell>
          <cell r="CG429">
            <v>42136</v>
          </cell>
          <cell r="CH429">
            <v>42183</v>
          </cell>
          <cell r="CJ429">
            <v>42170</v>
          </cell>
          <cell r="CK429" t="str">
            <v>35</v>
          </cell>
          <cell r="CL429" t="str">
            <v>37</v>
          </cell>
          <cell r="CM429" t="str">
            <v>40</v>
          </cell>
          <cell r="CN429">
            <v>0</v>
          </cell>
          <cell r="CO429">
            <v>42186</v>
          </cell>
          <cell r="CP429">
            <v>42172</v>
          </cell>
          <cell r="CQ429" t="str">
            <v>M1: grid power + battery</v>
          </cell>
          <cell r="CR429">
            <v>0</v>
          </cell>
          <cell r="CS429">
            <v>42187</v>
          </cell>
          <cell r="CT429">
            <v>42173</v>
          </cell>
          <cell r="CU429" t="str">
            <v>MO0439</v>
          </cell>
          <cell r="DH429">
            <v>0</v>
          </cell>
          <cell r="DI429">
            <v>42197</v>
          </cell>
          <cell r="DJ429">
            <v>42150</v>
          </cell>
          <cell r="DK429">
            <v>42194</v>
          </cell>
          <cell r="DL429">
            <v>42160</v>
          </cell>
          <cell r="DM429">
            <v>42198</v>
          </cell>
          <cell r="DN429">
            <v>42185</v>
          </cell>
          <cell r="DO429">
            <v>0</v>
          </cell>
          <cell r="DP429">
            <v>42197</v>
          </cell>
          <cell r="DQ429">
            <v>42150</v>
          </cell>
          <cell r="DT429">
            <v>0</v>
          </cell>
          <cell r="DU429">
            <v>42212</v>
          </cell>
          <cell r="DW429">
            <v>0</v>
          </cell>
          <cell r="DY429">
            <v>42198</v>
          </cell>
          <cell r="DZ429">
            <v>42185</v>
          </cell>
          <cell r="EA429" t="str">
            <v>Leadcom</v>
          </cell>
          <cell r="EE429" t="str">
            <v xml:space="preserve">10 Aug 15:Rain affected_Progress affected; 4-Aug-15: Awaiting tower EDA 8/15.  Tower foundation casted. Equipment Slab to start								</v>
          </cell>
          <cell r="EJ429">
            <v>0</v>
          </cell>
          <cell r="EK429">
            <v>42215</v>
          </cell>
          <cell r="EL429">
            <v>42216</v>
          </cell>
          <cell r="EM429">
            <v>42216</v>
          </cell>
          <cell r="EN429">
            <v>42234</v>
          </cell>
          <cell r="EQ429">
            <v>42225</v>
          </cell>
          <cell r="ES429">
            <v>42227</v>
          </cell>
          <cell r="EW429">
            <v>0</v>
          </cell>
          <cell r="EX429">
            <v>42239</v>
          </cell>
          <cell r="EZ429">
            <v>42235</v>
          </cell>
          <cell r="FB429">
            <v>42237</v>
          </cell>
          <cell r="FU429">
            <v>42239</v>
          </cell>
          <cell r="FW429">
            <v>42239</v>
          </cell>
          <cell r="FY429" t="str">
            <v>UT</v>
          </cell>
          <cell r="GJ429">
            <v>0</v>
          </cell>
          <cell r="GN429" t="str">
            <v>ERICSSON</v>
          </cell>
          <cell r="GO429">
            <v>42149</v>
          </cell>
          <cell r="GU429" t="str">
            <v xml:space="preserve">		</v>
          </cell>
          <cell r="HD429">
            <v>1</v>
          </cell>
        </row>
        <row r="430">
          <cell r="A430" t="str">
            <v>MO0440</v>
          </cell>
          <cell r="B430" t="str">
            <v>ASMO_0234</v>
          </cell>
          <cell r="C430" t="str">
            <v>Apollo</v>
          </cell>
          <cell r="D430" t="str">
            <v>Robert</v>
          </cell>
          <cell r="F430" t="str">
            <v>Phyo Wai Maung</v>
          </cell>
          <cell r="G430" t="str">
            <v>Thant Zin Oo</v>
          </cell>
          <cell r="H430" t="str">
            <v>RED</v>
          </cell>
          <cell r="I430" t="str">
            <v>South</v>
          </cell>
          <cell r="J430" t="str">
            <v>97.510912</v>
          </cell>
          <cell r="K430" t="str">
            <v>16.408706</v>
          </cell>
          <cell r="L430" t="str">
            <v>Rural</v>
          </cell>
          <cell r="M430" t="str">
            <v>Mon</v>
          </cell>
          <cell r="N430" t="str">
            <v>Chaungzon</v>
          </cell>
          <cell r="O430" t="str">
            <v>Chaungzon</v>
          </cell>
          <cell r="P430" t="str">
            <v>Mon</v>
          </cell>
          <cell r="Q430" t="str">
            <v>22</v>
          </cell>
          <cell r="R430" t="str">
            <v>Chaungzon</v>
          </cell>
          <cell r="S430" t="str">
            <v>172</v>
          </cell>
          <cell r="T430" t="str">
            <v>GSM+UMTS</v>
          </cell>
          <cell r="W430" t="str">
            <v>Ph2-Priority</v>
          </cell>
          <cell r="X430" t="str">
            <v>45</v>
          </cell>
          <cell r="Y430" t="str">
            <v>47</v>
          </cell>
          <cell r="Z430" t="str">
            <v>GBT</v>
          </cell>
          <cell r="AA430" t="str">
            <v>500</v>
          </cell>
          <cell r="AB430" t="str">
            <v>Access</v>
          </cell>
          <cell r="AC430" t="str">
            <v>Class C</v>
          </cell>
          <cell r="BE430" t="str">
            <v>Route 13 Mawlamyine-Dawei</v>
          </cell>
          <cell r="BH430" t="str">
            <v>Leadcom</v>
          </cell>
          <cell r="BJ430">
            <v>42169</v>
          </cell>
          <cell r="BL430">
            <v>42174</v>
          </cell>
          <cell r="BT430">
            <v>42158</v>
          </cell>
          <cell r="BU430">
            <v>42180</v>
          </cell>
          <cell r="BV430">
            <v>42205</v>
          </cell>
          <cell r="BW430" t="str">
            <v>97.511415</v>
          </cell>
          <cell r="BX430" t="str">
            <v>16.40592</v>
          </cell>
          <cell r="BY430" t="str">
            <v>C2</v>
          </cell>
          <cell r="BZ430" t="str">
            <v>Nee Moat Group,Kogdot Village,Chaung Sone Township,Mon State.</v>
          </cell>
          <cell r="CA430" t="str">
            <v>U San Nyunt,09-255992122</v>
          </cell>
          <cell r="CB430" t="str">
            <v>20 July 15 : C2 SAR sub;(C3 OWNER BACKED OUT);15 July 15 : C3 SAR app;10 July 15: C3 SAR sub(C3  AT priority candidate)</v>
          </cell>
          <cell r="CC430" t="str">
            <v>GARDEN LAND</v>
          </cell>
          <cell r="CE430">
            <v>2</v>
          </cell>
          <cell r="CF430">
            <v>42181</v>
          </cell>
          <cell r="CG430">
            <v>42207</v>
          </cell>
          <cell r="CH430">
            <v>42183</v>
          </cell>
          <cell r="CJ430">
            <v>42210</v>
          </cell>
          <cell r="CK430" t="str">
            <v>45</v>
          </cell>
          <cell r="CL430" t="str">
            <v>47</v>
          </cell>
          <cell r="CM430" t="str">
            <v>50</v>
          </cell>
          <cell r="CN430">
            <v>5</v>
          </cell>
          <cell r="CO430">
            <v>42186</v>
          </cell>
          <cell r="CP430">
            <v>42212</v>
          </cell>
          <cell r="CQ430" t="str">
            <v>M1: grid power + battery</v>
          </cell>
          <cell r="CR430">
            <v>1</v>
          </cell>
          <cell r="CS430">
            <v>42187</v>
          </cell>
          <cell r="CT430">
            <v>42213</v>
          </cell>
          <cell r="CU430" t="str">
            <v>MO0440</v>
          </cell>
          <cell r="DH430">
            <v>4</v>
          </cell>
          <cell r="DI430">
            <v>42197</v>
          </cell>
          <cell r="DJ430">
            <v>42217</v>
          </cell>
          <cell r="DK430">
            <v>42194</v>
          </cell>
          <cell r="DL430">
            <v>42242</v>
          </cell>
          <cell r="DM430">
            <v>42198</v>
          </cell>
          <cell r="DO430">
            <v>0</v>
          </cell>
          <cell r="DP430">
            <v>42197</v>
          </cell>
          <cell r="DQ430">
            <v>42217</v>
          </cell>
          <cell r="DT430">
            <v>16</v>
          </cell>
          <cell r="DU430">
            <v>42212</v>
          </cell>
          <cell r="DW430">
            <v>0</v>
          </cell>
          <cell r="DY430">
            <v>42198</v>
          </cell>
          <cell r="DZ430">
            <v>42234</v>
          </cell>
          <cell r="EA430" t="str">
            <v>Leadcom</v>
          </cell>
          <cell r="ED430" t="str">
            <v xml:space="preserve">31Aug15 :ThantZin.Oo: 24/8/2015 : Kick-off meeting . Excavation in progress.
</v>
          </cell>
          <cell r="EJ430">
            <v>0</v>
          </cell>
          <cell r="EK430">
            <v>42215</v>
          </cell>
          <cell r="EM430">
            <v>42216</v>
          </cell>
          <cell r="EQ430">
            <v>42225</v>
          </cell>
          <cell r="EW430">
            <v>0</v>
          </cell>
          <cell r="EX430">
            <v>42239</v>
          </cell>
          <cell r="EZ430">
            <v>42235</v>
          </cell>
          <cell r="FB430">
            <v>42237</v>
          </cell>
          <cell r="FU430">
            <v>42239</v>
          </cell>
          <cell r="FW430">
            <v>42239</v>
          </cell>
          <cell r="GJ430">
            <v>0</v>
          </cell>
          <cell r="GN430" t="str">
            <v>ERICSSON</v>
          </cell>
          <cell r="GS430" t="str">
            <v>4/4/4</v>
          </cell>
          <cell r="GU430" t="str">
            <v xml:space="preserve">		</v>
          </cell>
          <cell r="HD430">
            <v>1</v>
          </cell>
        </row>
        <row r="431">
          <cell r="A431" t="str">
            <v>MO0441</v>
          </cell>
          <cell r="B431" t="str">
            <v>ASMO_0235</v>
          </cell>
          <cell r="C431" t="str">
            <v>Apollo</v>
          </cell>
          <cell r="D431" t="str">
            <v>Robert</v>
          </cell>
          <cell r="F431" t="str">
            <v>Phyo Wai Maung</v>
          </cell>
          <cell r="G431" t="str">
            <v>Thant Zin Oo</v>
          </cell>
          <cell r="H431" t="str">
            <v>RED</v>
          </cell>
          <cell r="I431" t="str">
            <v>South</v>
          </cell>
          <cell r="J431" t="str">
            <v>97.537725</v>
          </cell>
          <cell r="K431" t="str">
            <v>16.285842</v>
          </cell>
          <cell r="L431" t="str">
            <v>Rural</v>
          </cell>
          <cell r="M431" t="str">
            <v>Mon</v>
          </cell>
          <cell r="N431" t="str">
            <v>Chaungzon</v>
          </cell>
          <cell r="O431" t="str">
            <v>Chaungzon</v>
          </cell>
          <cell r="P431" t="str">
            <v>Mon</v>
          </cell>
          <cell r="Q431" t="str">
            <v>22</v>
          </cell>
          <cell r="R431" t="str">
            <v>Chaungzon</v>
          </cell>
          <cell r="S431" t="str">
            <v>172</v>
          </cell>
          <cell r="T431" t="str">
            <v>GSM+UMTS</v>
          </cell>
          <cell r="W431" t="str">
            <v>Ph2-Priority</v>
          </cell>
          <cell r="X431" t="str">
            <v>45</v>
          </cell>
          <cell r="Y431" t="str">
            <v>47</v>
          </cell>
          <cell r="Z431" t="str">
            <v>GBT</v>
          </cell>
          <cell r="AA431" t="str">
            <v>500</v>
          </cell>
          <cell r="AB431" t="str">
            <v>Access</v>
          </cell>
          <cell r="AC431" t="str">
            <v>Class C</v>
          </cell>
          <cell r="BH431" t="str">
            <v>Leadcom</v>
          </cell>
          <cell r="BJ431">
            <v>42169</v>
          </cell>
          <cell r="BK431">
            <v>42175</v>
          </cell>
          <cell r="BL431">
            <v>42174</v>
          </cell>
          <cell r="BT431">
            <v>10</v>
          </cell>
          <cell r="BU431">
            <v>42180</v>
          </cell>
          <cell r="BV431">
            <v>42195</v>
          </cell>
          <cell r="BW431" t="str">
            <v>97.542295</v>
          </cell>
          <cell r="BX431" t="str">
            <v>16.285917</v>
          </cell>
          <cell r="BY431" t="str">
            <v>C1</v>
          </cell>
          <cell r="BZ431" t="str">
            <v>Muritgale village, Chaung Sone Tsp, Mon State.</v>
          </cell>
          <cell r="CA431" t="str">
            <v>U Ko Kyi,09 49801725, 09 255994960</v>
          </cell>
          <cell r="CC431" t="str">
            <v>GARDEN</v>
          </cell>
          <cell r="CE431">
            <v>5</v>
          </cell>
          <cell r="CF431">
            <v>42181</v>
          </cell>
          <cell r="CG431">
            <v>42200</v>
          </cell>
          <cell r="CH431">
            <v>42183</v>
          </cell>
          <cell r="CJ431">
            <v>42211</v>
          </cell>
          <cell r="CK431" t="str">
            <v>45</v>
          </cell>
          <cell r="CL431" t="str">
            <v>47</v>
          </cell>
          <cell r="CM431" t="str">
            <v>60</v>
          </cell>
          <cell r="CN431">
            <v>13</v>
          </cell>
          <cell r="CO431">
            <v>42186</v>
          </cell>
          <cell r="CP431">
            <v>42213</v>
          </cell>
          <cell r="CQ431" t="str">
            <v>M1: grid power + battery</v>
          </cell>
          <cell r="CR431">
            <v>1</v>
          </cell>
          <cell r="CS431">
            <v>42187</v>
          </cell>
          <cell r="CT431">
            <v>42214</v>
          </cell>
          <cell r="CU431" t="str">
            <v>MO0441</v>
          </cell>
          <cell r="DH431">
            <v>3</v>
          </cell>
          <cell r="DI431">
            <v>42197</v>
          </cell>
          <cell r="DJ431">
            <v>42217</v>
          </cell>
          <cell r="DK431">
            <v>42194</v>
          </cell>
          <cell r="DL431">
            <v>42242</v>
          </cell>
          <cell r="DM431">
            <v>42198</v>
          </cell>
          <cell r="DO431">
            <v>0</v>
          </cell>
          <cell r="DP431">
            <v>42197</v>
          </cell>
          <cell r="DQ431">
            <v>42217</v>
          </cell>
          <cell r="DT431">
            <v>16</v>
          </cell>
          <cell r="DU431">
            <v>42212</v>
          </cell>
          <cell r="DW431">
            <v>0</v>
          </cell>
          <cell r="DY431">
            <v>42198</v>
          </cell>
          <cell r="DZ431">
            <v>42234</v>
          </cell>
          <cell r="EA431" t="str">
            <v>Leadcom</v>
          </cell>
          <cell r="ED431" t="str">
            <v xml:space="preserve">31Aug15 :ThantZin.Oo: 26/8/2015 : Excavation in progress .
</v>
          </cell>
          <cell r="EJ431">
            <v>0</v>
          </cell>
          <cell r="EK431">
            <v>42220</v>
          </cell>
          <cell r="EM431">
            <v>42221</v>
          </cell>
          <cell r="EQ431">
            <v>42233</v>
          </cell>
          <cell r="EW431">
            <v>0</v>
          </cell>
          <cell r="EX431">
            <v>42247</v>
          </cell>
          <cell r="EZ431">
            <v>42243</v>
          </cell>
          <cell r="FB431">
            <v>42245</v>
          </cell>
          <cell r="FU431">
            <v>42247</v>
          </cell>
          <cell r="FW431">
            <v>42247</v>
          </cell>
          <cell r="GJ431">
            <v>0</v>
          </cell>
          <cell r="GN431" t="str">
            <v>ERICSSON</v>
          </cell>
          <cell r="GU431" t="str">
            <v xml:space="preserve">		</v>
          </cell>
          <cell r="HD431">
            <v>1</v>
          </cell>
        </row>
        <row r="432">
          <cell r="A432" t="str">
            <v>MO0442</v>
          </cell>
          <cell r="B432" t="str">
            <v>ASMO_0236</v>
          </cell>
          <cell r="C432" t="str">
            <v>Apollo</v>
          </cell>
          <cell r="D432" t="str">
            <v>Robert</v>
          </cell>
          <cell r="F432" t="str">
            <v>Phyo Wai Maung</v>
          </cell>
          <cell r="G432" t="str">
            <v>Thant Zin Oo</v>
          </cell>
          <cell r="H432" t="str">
            <v>RED</v>
          </cell>
          <cell r="I432" t="str">
            <v>South</v>
          </cell>
          <cell r="J432" t="str">
            <v>97.773349</v>
          </cell>
          <cell r="K432" t="str">
            <v>16.455892</v>
          </cell>
          <cell r="L432" t="str">
            <v>Rural</v>
          </cell>
          <cell r="M432" t="str">
            <v>Mon</v>
          </cell>
          <cell r="N432" t="str">
            <v>Kyaikmaraw</v>
          </cell>
          <cell r="O432" t="str">
            <v>Kyaikmaraw</v>
          </cell>
          <cell r="P432" t="str">
            <v>Mon</v>
          </cell>
          <cell r="Q432" t="str">
            <v>22</v>
          </cell>
          <cell r="R432" t="str">
            <v>Kyaikmaraw</v>
          </cell>
          <cell r="S432" t="str">
            <v>171</v>
          </cell>
          <cell r="T432" t="str">
            <v>GSM+UMTS</v>
          </cell>
          <cell r="W432" t="str">
            <v>Ph2-Priority</v>
          </cell>
          <cell r="X432" t="str">
            <v>45</v>
          </cell>
          <cell r="Y432" t="str">
            <v>47</v>
          </cell>
          <cell r="Z432" t="str">
            <v>GBT</v>
          </cell>
          <cell r="AA432" t="str">
            <v>500</v>
          </cell>
          <cell r="AB432" t="str">
            <v>Access</v>
          </cell>
          <cell r="AC432" t="str">
            <v>Class C</v>
          </cell>
          <cell r="BE432" t="str">
            <v>Yangon Ring 4</v>
          </cell>
          <cell r="BH432" t="str">
            <v>Leadcom</v>
          </cell>
          <cell r="BJ432">
            <v>42169</v>
          </cell>
          <cell r="BK432">
            <v>42130</v>
          </cell>
          <cell r="BL432">
            <v>42174</v>
          </cell>
          <cell r="BM432">
            <v>42148</v>
          </cell>
          <cell r="BT432">
            <v>28</v>
          </cell>
          <cell r="BU432">
            <v>42181</v>
          </cell>
          <cell r="BV432">
            <v>42220</v>
          </cell>
          <cell r="BW432" t="str">
            <v>97.78029</v>
          </cell>
          <cell r="BX432" t="str">
            <v>16.45729</v>
          </cell>
          <cell r="BY432" t="str">
            <v>C1</v>
          </cell>
          <cell r="BZ432" t="str">
            <v>Ah Hlaup Kong Vee Village, Kyaik Ma Yaw Tsp, Mon State.</v>
          </cell>
          <cell r="CA432" t="str">
            <v>U Min Hla Than,09 8703160</v>
          </cell>
          <cell r="CB432" t="str">
            <v>04 Aug 15 : C1 SAR reconsider and approved again as an option 1 because earlier rejected ( RND approved with 45m / 47m GBT as per SAQ metting and confirmation mail on 3_Aug_15. This candidate is 750m far from the nominal);Put the C1 SAR sub and approval date as 04 Aug 15 ; 14 July 15 : C1 SAR rejected( RND rejected this candidate because it is 750m far from the nominal outside the search ring. Please find the candidate within the search ring.)</v>
          </cell>
          <cell r="CC432" t="str">
            <v>RESIDENTIAL</v>
          </cell>
          <cell r="CE432">
            <v>0</v>
          </cell>
          <cell r="CF432">
            <v>42182</v>
          </cell>
          <cell r="CG432">
            <v>42220</v>
          </cell>
          <cell r="CH432">
            <v>42184</v>
          </cell>
          <cell r="CJ432">
            <v>42226</v>
          </cell>
          <cell r="CK432" t="str">
            <v>45</v>
          </cell>
          <cell r="CL432" t="str">
            <v>47</v>
          </cell>
          <cell r="CM432" t="str">
            <v>50</v>
          </cell>
          <cell r="CN432">
            <v>8</v>
          </cell>
          <cell r="CO432">
            <v>42187</v>
          </cell>
          <cell r="CP432">
            <v>42228</v>
          </cell>
          <cell r="CQ432" t="str">
            <v>M1: grid power + battery</v>
          </cell>
          <cell r="CR432">
            <v>2</v>
          </cell>
          <cell r="CS432">
            <v>42188</v>
          </cell>
          <cell r="CT432">
            <v>42230</v>
          </cell>
          <cell r="CU432" t="str">
            <v>MO0442</v>
          </cell>
          <cell r="DH432">
            <v>3</v>
          </cell>
          <cell r="DI432">
            <v>42198</v>
          </cell>
          <cell r="DJ432">
            <v>42175</v>
          </cell>
          <cell r="DK432">
            <v>42195</v>
          </cell>
          <cell r="DL432">
            <v>42185</v>
          </cell>
          <cell r="DM432">
            <v>42199</v>
          </cell>
          <cell r="DN432">
            <v>42185</v>
          </cell>
          <cell r="DO432">
            <v>0</v>
          </cell>
          <cell r="DP432">
            <v>42198</v>
          </cell>
          <cell r="DQ432">
            <v>42175</v>
          </cell>
          <cell r="DT432">
            <v>0</v>
          </cell>
          <cell r="DU432">
            <v>42213</v>
          </cell>
          <cell r="DW432">
            <v>0</v>
          </cell>
          <cell r="DY432">
            <v>42199</v>
          </cell>
          <cell r="DZ432">
            <v>42245</v>
          </cell>
          <cell r="EA432" t="str">
            <v>Leadcom</v>
          </cell>
          <cell r="ED432" t="str">
            <v xml:space="preserve">29Jul15 :zinwin.htun: Foundation finish.Backfilling ongoing.Eq; Slab making ongoing.Fencing materials &amp; tower materials arrive to site.Fencing not start yet.Tower erection will start on 30-Jul-2015.
</v>
          </cell>
          <cell r="EE432" t="str">
            <v xml:space="preserve">10 Aug 15:Rain affected_Progress affected; 4-Aug-15: muddy access road -slow progress								</v>
          </cell>
          <cell r="EJ432">
            <v>0</v>
          </cell>
          <cell r="EK432">
            <v>42216</v>
          </cell>
          <cell r="EL432">
            <v>42207</v>
          </cell>
          <cell r="EM432">
            <v>42217</v>
          </cell>
          <cell r="EN432">
            <v>42213</v>
          </cell>
          <cell r="EQ432">
            <v>42226</v>
          </cell>
          <cell r="ER432">
            <v>42217</v>
          </cell>
          <cell r="ES432">
            <v>42221</v>
          </cell>
          <cell r="ET432">
            <v>42227</v>
          </cell>
          <cell r="EU432">
            <v>42227</v>
          </cell>
          <cell r="EW432">
            <v>0</v>
          </cell>
          <cell r="EX432">
            <v>42240</v>
          </cell>
          <cell r="EZ432">
            <v>42236</v>
          </cell>
          <cell r="FA432">
            <v>42226</v>
          </cell>
          <cell r="FB432">
            <v>42238</v>
          </cell>
          <cell r="FC432">
            <v>42234</v>
          </cell>
          <cell r="FU432">
            <v>42240</v>
          </cell>
          <cell r="FW432">
            <v>42240</v>
          </cell>
          <cell r="FX432">
            <v>42234</v>
          </cell>
          <cell r="FY432" t="str">
            <v>TN</v>
          </cell>
          <cell r="FZ432">
            <v>42214</v>
          </cell>
          <cell r="GA432">
            <v>42215</v>
          </cell>
          <cell r="GB432">
            <v>42228</v>
          </cell>
          <cell r="GC432">
            <v>42228</v>
          </cell>
          <cell r="GD432">
            <v>42230</v>
          </cell>
          <cell r="GE432">
            <v>42228</v>
          </cell>
          <cell r="GF432">
            <v>42235</v>
          </cell>
          <cell r="GG432">
            <v>42235</v>
          </cell>
          <cell r="GH432">
            <v>42235</v>
          </cell>
          <cell r="GI432">
            <v>42246</v>
          </cell>
          <cell r="GJ432">
            <v>0</v>
          </cell>
          <cell r="GK432">
            <v>42235</v>
          </cell>
          <cell r="GN432" t="str">
            <v xml:space="preserve">ERICSSON </v>
          </cell>
          <cell r="GP432">
            <v>42201</v>
          </cell>
          <cell r="GS432" t="str">
            <v>4/4/4</v>
          </cell>
          <cell r="GU432" t="str">
            <v xml:space="preserve">		</v>
          </cell>
          <cell r="HD432">
            <v>1</v>
          </cell>
        </row>
        <row r="433">
          <cell r="A433" t="str">
            <v>MO0443</v>
          </cell>
          <cell r="B433" t="str">
            <v>ASMO_0237</v>
          </cell>
          <cell r="C433" t="str">
            <v>Apollo</v>
          </cell>
          <cell r="D433" t="str">
            <v>Robert</v>
          </cell>
          <cell r="F433" t="str">
            <v>Phyo Wai Maung</v>
          </cell>
          <cell r="G433" t="str">
            <v>Thant Zin Oo</v>
          </cell>
          <cell r="H433" t="str">
            <v>RED</v>
          </cell>
          <cell r="I433" t="str">
            <v>South</v>
          </cell>
          <cell r="J433" t="str">
            <v>98.011</v>
          </cell>
          <cell r="K433" t="str">
            <v>16.2035</v>
          </cell>
          <cell r="L433" t="str">
            <v>Rural</v>
          </cell>
          <cell r="M433" t="str">
            <v>Mon</v>
          </cell>
          <cell r="N433" t="str">
            <v>Kyaikmaraw</v>
          </cell>
          <cell r="O433" t="str">
            <v>Kyaikmaraw</v>
          </cell>
          <cell r="P433" t="str">
            <v>Mon</v>
          </cell>
          <cell r="Q433" t="str">
            <v>22</v>
          </cell>
          <cell r="R433" t="str">
            <v>Kyaikmaraw</v>
          </cell>
          <cell r="S433" t="str">
            <v>171</v>
          </cell>
          <cell r="T433" t="str">
            <v>GSM+UMTS</v>
          </cell>
          <cell r="W433" t="str">
            <v>Ph2-Priority</v>
          </cell>
          <cell r="X433" t="str">
            <v>45</v>
          </cell>
          <cell r="Y433" t="str">
            <v>47</v>
          </cell>
          <cell r="Z433" t="str">
            <v>GBT</v>
          </cell>
          <cell r="AA433" t="str">
            <v>500</v>
          </cell>
          <cell r="AB433" t="str">
            <v>Access</v>
          </cell>
          <cell r="AC433" t="str">
            <v>Class C</v>
          </cell>
          <cell r="BE433" t="str">
            <v>Yangon Ring 1</v>
          </cell>
          <cell r="BH433" t="str">
            <v>Leadcom</v>
          </cell>
          <cell r="BJ433">
            <v>42169</v>
          </cell>
          <cell r="BK433">
            <v>42167</v>
          </cell>
          <cell r="BL433">
            <v>42174</v>
          </cell>
          <cell r="BM433">
            <v>42174</v>
          </cell>
          <cell r="BT433">
            <v>56</v>
          </cell>
          <cell r="BU433">
            <v>42181</v>
          </cell>
          <cell r="BV433">
            <v>42223</v>
          </cell>
          <cell r="BW433" t="str">
            <v>98.007734</v>
          </cell>
          <cell r="BX433" t="str">
            <v>16.20547</v>
          </cell>
          <cell r="BY433" t="str">
            <v>C2</v>
          </cell>
          <cell r="CB433" t="str">
            <v>7 Aug 15 : C2 SAR sub</v>
          </cell>
          <cell r="CC433" t="str">
            <v>FREE HOLD</v>
          </cell>
          <cell r="CE433">
            <v>3</v>
          </cell>
          <cell r="CF433">
            <v>42182</v>
          </cell>
          <cell r="CG433">
            <v>42226</v>
          </cell>
          <cell r="CH433">
            <v>42184</v>
          </cell>
          <cell r="CN433">
            <v>7</v>
          </cell>
          <cell r="CO433">
            <v>42187</v>
          </cell>
          <cell r="CQ433" t="str">
            <v>M4: solar + DG + battery</v>
          </cell>
          <cell r="CR433">
            <v>0</v>
          </cell>
          <cell r="CS433">
            <v>42188</v>
          </cell>
          <cell r="CU433" t="str">
            <v>MO0443</v>
          </cell>
          <cell r="DH433">
            <v>0</v>
          </cell>
          <cell r="DI433">
            <v>42198</v>
          </cell>
          <cell r="DK433">
            <v>42195</v>
          </cell>
          <cell r="DM433">
            <v>42199</v>
          </cell>
          <cell r="DO433">
            <v>0</v>
          </cell>
          <cell r="DP433">
            <v>42198</v>
          </cell>
          <cell r="DT433">
            <v>0</v>
          </cell>
          <cell r="DU433">
            <v>42213</v>
          </cell>
          <cell r="DW433">
            <v>0</v>
          </cell>
          <cell r="DY433">
            <v>42199</v>
          </cell>
          <cell r="EA433" t="str">
            <v>Leadcom</v>
          </cell>
          <cell r="EJ433">
            <v>0</v>
          </cell>
          <cell r="EK433">
            <v>42216</v>
          </cell>
          <cell r="EM433">
            <v>42217</v>
          </cell>
          <cell r="EQ433">
            <v>42226</v>
          </cell>
          <cell r="EW433">
            <v>0</v>
          </cell>
          <cell r="EX433">
            <v>42240</v>
          </cell>
          <cell r="EZ433">
            <v>42236</v>
          </cell>
          <cell r="FB433">
            <v>42238</v>
          </cell>
          <cell r="FU433">
            <v>42240</v>
          </cell>
          <cell r="FW433">
            <v>42240</v>
          </cell>
          <cell r="GJ433">
            <v>0</v>
          </cell>
          <cell r="GN433" t="str">
            <v>ERICSSON</v>
          </cell>
          <cell r="GU433" t="str">
            <v xml:space="preserve">		</v>
          </cell>
          <cell r="HD433">
            <v>1</v>
          </cell>
        </row>
        <row r="434">
          <cell r="A434" t="str">
            <v>MO0445</v>
          </cell>
          <cell r="B434" t="str">
            <v>ASMO_0238</v>
          </cell>
          <cell r="C434" t="str">
            <v>Apollo</v>
          </cell>
          <cell r="D434" t="str">
            <v>Robert</v>
          </cell>
          <cell r="F434" t="str">
            <v>Phyo Wai Maung</v>
          </cell>
          <cell r="G434" t="str">
            <v>Thant Zin Oo</v>
          </cell>
          <cell r="H434" t="str">
            <v>RED</v>
          </cell>
          <cell r="I434" t="str">
            <v>South</v>
          </cell>
          <cell r="J434" t="str">
            <v>97.410163</v>
          </cell>
          <cell r="K434" t="str">
            <v>16.739895</v>
          </cell>
          <cell r="L434" t="str">
            <v>Rural</v>
          </cell>
          <cell r="M434" t="str">
            <v>Mon</v>
          </cell>
          <cell r="N434" t="str">
            <v>Paung</v>
          </cell>
          <cell r="O434" t="str">
            <v>Paung</v>
          </cell>
          <cell r="P434" t="str">
            <v>Mon</v>
          </cell>
          <cell r="Q434" t="str">
            <v>22</v>
          </cell>
          <cell r="R434" t="str">
            <v>Paung</v>
          </cell>
          <cell r="S434" t="str">
            <v>177</v>
          </cell>
          <cell r="T434" t="str">
            <v>GSM+UMTS</v>
          </cell>
          <cell r="W434" t="str">
            <v>Ph2-Priority</v>
          </cell>
          <cell r="X434" t="str">
            <v>53</v>
          </cell>
          <cell r="Y434" t="str">
            <v>55</v>
          </cell>
          <cell r="Z434" t="str">
            <v>GBT</v>
          </cell>
          <cell r="AA434" t="str">
            <v>500</v>
          </cell>
          <cell r="AB434" t="str">
            <v>Access</v>
          </cell>
          <cell r="AC434" t="str">
            <v>Class C</v>
          </cell>
          <cell r="BE434" t="str">
            <v>Route 14 Dawei - Myeik</v>
          </cell>
          <cell r="BH434" t="str">
            <v>Camusat</v>
          </cell>
          <cell r="BJ434">
            <v>42164</v>
          </cell>
          <cell r="BK434">
            <v>42166</v>
          </cell>
          <cell r="BL434">
            <v>42169</v>
          </cell>
          <cell r="BM434">
            <v>42173</v>
          </cell>
          <cell r="BT434">
            <v>67</v>
          </cell>
          <cell r="BU434">
            <v>42241</v>
          </cell>
          <cell r="BV434">
            <v>42185</v>
          </cell>
          <cell r="BW434" t="str">
            <v>98.69271</v>
          </cell>
          <cell r="BX434" t="str">
            <v>12.48091</v>
          </cell>
          <cell r="BY434" t="str">
            <v>C2</v>
          </cell>
          <cell r="CC434" t="str">
            <v>GARDEN LAND</v>
          </cell>
          <cell r="CE434">
            <v>0</v>
          </cell>
          <cell r="CF434">
            <v>42242</v>
          </cell>
          <cell r="CG434">
            <v>42186</v>
          </cell>
          <cell r="CH434">
            <v>42244</v>
          </cell>
          <cell r="CN434">
            <v>0</v>
          </cell>
          <cell r="CO434">
            <v>42247</v>
          </cell>
          <cell r="CQ434" t="str">
            <v>M1: grid power + battery</v>
          </cell>
          <cell r="CR434">
            <v>0</v>
          </cell>
          <cell r="CS434">
            <v>42248</v>
          </cell>
          <cell r="CU434" t="str">
            <v>MO0445</v>
          </cell>
          <cell r="DH434">
            <v>0</v>
          </cell>
          <cell r="DI434">
            <v>42258</v>
          </cell>
          <cell r="DK434">
            <v>42255</v>
          </cell>
          <cell r="DM434">
            <v>42259</v>
          </cell>
          <cell r="DO434">
            <v>0</v>
          </cell>
          <cell r="DP434">
            <v>42258</v>
          </cell>
          <cell r="DT434">
            <v>0</v>
          </cell>
          <cell r="DU434">
            <v>42273</v>
          </cell>
          <cell r="DW434">
            <v>0</v>
          </cell>
          <cell r="DY434">
            <v>42259</v>
          </cell>
          <cell r="EA434" t="str">
            <v>Leadcom</v>
          </cell>
          <cell r="EJ434">
            <v>0</v>
          </cell>
          <cell r="EK434">
            <v>42281</v>
          </cell>
          <cell r="EM434">
            <v>42282</v>
          </cell>
          <cell r="EQ434">
            <v>42294</v>
          </cell>
          <cell r="EW434">
            <v>0</v>
          </cell>
          <cell r="EX434">
            <v>42308</v>
          </cell>
          <cell r="EZ434">
            <v>42304</v>
          </cell>
          <cell r="FB434">
            <v>42306</v>
          </cell>
          <cell r="FU434">
            <v>42308</v>
          </cell>
          <cell r="FW434">
            <v>42308</v>
          </cell>
          <cell r="GJ434">
            <v>0</v>
          </cell>
          <cell r="GN434" t="str">
            <v>ERICSSON</v>
          </cell>
          <cell r="GS434" t="str">
            <v>4/4/4</v>
          </cell>
          <cell r="GU434" t="str">
            <v xml:space="preserve">		</v>
          </cell>
          <cell r="HD434">
            <v>1</v>
          </cell>
        </row>
        <row r="435">
          <cell r="A435" t="str">
            <v>MO0449</v>
          </cell>
          <cell r="B435" t="str">
            <v>ASMO_0239</v>
          </cell>
          <cell r="C435" t="str">
            <v>Apollo</v>
          </cell>
          <cell r="D435" t="str">
            <v>Robert</v>
          </cell>
          <cell r="F435" t="str">
            <v>Phyo Wai Maung</v>
          </cell>
          <cell r="G435" t="str">
            <v>Thant Zin Oo</v>
          </cell>
          <cell r="H435" t="str">
            <v>YELLOW</v>
          </cell>
          <cell r="I435" t="str">
            <v>South</v>
          </cell>
          <cell r="J435" t="str">
            <v>97.4394</v>
          </cell>
          <cell r="K435" t="str">
            <v>16.6626</v>
          </cell>
          <cell r="L435" t="str">
            <v>Rural</v>
          </cell>
          <cell r="M435" t="str">
            <v>Mon</v>
          </cell>
          <cell r="N435" t="str">
            <v>Paung</v>
          </cell>
          <cell r="O435" t="str">
            <v>Paung</v>
          </cell>
          <cell r="P435" t="str">
            <v>Mon</v>
          </cell>
          <cell r="Q435" t="str">
            <v>22</v>
          </cell>
          <cell r="R435" t="str">
            <v>Paung</v>
          </cell>
          <cell r="S435" t="str">
            <v>177</v>
          </cell>
          <cell r="T435" t="str">
            <v>GSM+UMTS</v>
          </cell>
          <cell r="U435" t="str">
            <v>YAN-N035</v>
          </cell>
          <cell r="V435" t="str">
            <v>1</v>
          </cell>
          <cell r="W435" t="str">
            <v>Ph2-Priority</v>
          </cell>
          <cell r="X435" t="str">
            <v>45</v>
          </cell>
          <cell r="Y435" t="str">
            <v>47</v>
          </cell>
          <cell r="Z435" t="str">
            <v>GBT</v>
          </cell>
          <cell r="AA435" t="str">
            <v>500</v>
          </cell>
          <cell r="AB435" t="str">
            <v>Access</v>
          </cell>
          <cell r="AC435" t="str">
            <v>Class C</v>
          </cell>
          <cell r="AD435" t="str">
            <v>1210.77</v>
          </cell>
          <cell r="AE435" t="str">
            <v>1836.84</v>
          </cell>
          <cell r="AF435" t="str">
            <v>1</v>
          </cell>
          <cell r="AG435" t="str">
            <v>YN0964</v>
          </cell>
          <cell r="AH435" t="str">
            <v>YN0981</v>
          </cell>
          <cell r="AI435" t="str">
            <v>YN1036</v>
          </cell>
          <cell r="BC435" t="str">
            <v>YN1036</v>
          </cell>
          <cell r="BE435" t="str">
            <v>Yangon Ring 4</v>
          </cell>
          <cell r="BF435">
            <v>42124</v>
          </cell>
          <cell r="BG435">
            <v>41942</v>
          </cell>
          <cell r="BH435" t="str">
            <v>Leadcom</v>
          </cell>
          <cell r="BJ435">
            <v>42165</v>
          </cell>
          <cell r="BK435">
            <v>42165</v>
          </cell>
          <cell r="BL435">
            <v>42170</v>
          </cell>
          <cell r="BM435">
            <v>42162</v>
          </cell>
          <cell r="BT435">
            <v>7</v>
          </cell>
          <cell r="BU435">
            <v>42210</v>
          </cell>
          <cell r="BV435">
            <v>42172</v>
          </cell>
          <cell r="BW435" t="str">
            <v>97.43919</v>
          </cell>
          <cell r="BX435" t="str">
            <v>16.65977</v>
          </cell>
          <cell r="BY435" t="str">
            <v>C1</v>
          </cell>
          <cell r="BZ435" t="str">
            <v>U Paing No.(98),Field No. 801E/Oak Tar Tar Village,Paung Township,Mon State.</v>
          </cell>
          <cell r="CA435" t="str">
            <v>U HAN NYEIN;09-30740082</v>
          </cell>
          <cell r="CB435" t="str">
            <v>17Jun15: C1 SAR Sub</v>
          </cell>
          <cell r="CE435">
            <v>1</v>
          </cell>
          <cell r="CF435">
            <v>42211</v>
          </cell>
          <cell r="CG435">
            <v>42173</v>
          </cell>
          <cell r="CH435">
            <v>42213</v>
          </cell>
          <cell r="CJ435">
            <v>42178</v>
          </cell>
          <cell r="CK435" t="str">
            <v>45</v>
          </cell>
          <cell r="CL435" t="str">
            <v>47</v>
          </cell>
          <cell r="CM435" t="str">
            <v>50</v>
          </cell>
          <cell r="CN435">
            <v>7</v>
          </cell>
          <cell r="CO435">
            <v>42216</v>
          </cell>
          <cell r="CP435">
            <v>42180</v>
          </cell>
          <cell r="CQ435" t="str">
            <v>M1: grid power + battery</v>
          </cell>
          <cell r="CR435">
            <v>1</v>
          </cell>
          <cell r="CS435">
            <v>42217</v>
          </cell>
          <cell r="CT435">
            <v>42181</v>
          </cell>
          <cell r="CU435" t="str">
            <v>MO0449</v>
          </cell>
          <cell r="DH435">
            <v>52</v>
          </cell>
          <cell r="DI435">
            <v>42227</v>
          </cell>
          <cell r="DK435">
            <v>42224</v>
          </cell>
          <cell r="DL435">
            <v>42199</v>
          </cell>
          <cell r="DM435">
            <v>42228</v>
          </cell>
          <cell r="DN435">
            <v>42199</v>
          </cell>
          <cell r="DO435">
            <v>0</v>
          </cell>
          <cell r="DP435">
            <v>42227</v>
          </cell>
          <cell r="DR435" t="str">
            <v>Thanlyin CDC</v>
          </cell>
          <cell r="DS435" t="str">
            <v>Daw Tin Moe Shwe (Executive Engineer)
(Contact: 056-21793)
U Sein Win (Assistant Engineer)
(Contact: 09-5405958)
Daw Tin Zar Moe (Junior Clerk)
(Contact: 056-21793)</v>
          </cell>
          <cell r="DT435">
            <v>0</v>
          </cell>
          <cell r="DU435">
            <v>42242</v>
          </cell>
          <cell r="DW435">
            <v>0</v>
          </cell>
          <cell r="DY435">
            <v>42228</v>
          </cell>
          <cell r="DZ435">
            <v>42200</v>
          </cell>
          <cell r="EA435" t="str">
            <v>Leadcom</v>
          </cell>
          <cell r="EB435">
            <v>42218</v>
          </cell>
          <cell r="ED435" t="str">
            <v xml:space="preserve">17Aug15 :ThantZin.Oo: 8/8/15 : Tower erection started. 12/8/15 : Tower erection work in progress . Site is delaying due to LeadCom's payment . Telecom Equipment on site.
</v>
          </cell>
          <cell r="EE435" t="str">
            <v xml:space="preserve">10 Aug 15:Flood affected_Hold-No access; 2-Aug-15: Flooded-dewatering heavy rain								</v>
          </cell>
          <cell r="EJ435">
            <v>16</v>
          </cell>
          <cell r="EK435">
            <v>42245</v>
          </cell>
          <cell r="EL435">
            <v>42216</v>
          </cell>
          <cell r="EM435">
            <v>42246</v>
          </cell>
          <cell r="EN435">
            <v>42220</v>
          </cell>
          <cell r="EQ435">
            <v>42255</v>
          </cell>
          <cell r="ER435">
            <v>42234</v>
          </cell>
          <cell r="ES435">
            <v>42235</v>
          </cell>
          <cell r="ET435">
            <v>42236</v>
          </cell>
          <cell r="EU435">
            <v>42236</v>
          </cell>
          <cell r="EW435">
            <v>33</v>
          </cell>
          <cell r="EX435">
            <v>42285</v>
          </cell>
          <cell r="EZ435">
            <v>42265</v>
          </cell>
          <cell r="FA435">
            <v>42238</v>
          </cell>
          <cell r="FB435">
            <v>42267</v>
          </cell>
          <cell r="FC435">
            <v>42250</v>
          </cell>
          <cell r="FD435">
            <v>41933</v>
          </cell>
          <cell r="FF435">
            <v>41940</v>
          </cell>
          <cell r="FH435">
            <v>41942</v>
          </cell>
          <cell r="FJ435">
            <v>41945</v>
          </cell>
          <cell r="FN435">
            <v>41949</v>
          </cell>
          <cell r="FP435">
            <v>41951</v>
          </cell>
          <cell r="FR435">
            <v>41965</v>
          </cell>
          <cell r="FU435">
            <v>42269</v>
          </cell>
          <cell r="FW435">
            <v>42269</v>
          </cell>
          <cell r="FX435">
            <v>42250</v>
          </cell>
          <cell r="FY435" t="str">
            <v>CFVL</v>
          </cell>
          <cell r="FZ435">
            <v>42221</v>
          </cell>
          <cell r="GA435">
            <v>42224</v>
          </cell>
          <cell r="GB435">
            <v>42236</v>
          </cell>
          <cell r="GC435">
            <v>42240</v>
          </cell>
          <cell r="GD435">
            <v>42240</v>
          </cell>
          <cell r="GE435">
            <v>42236</v>
          </cell>
          <cell r="GI435">
            <v>42246</v>
          </cell>
          <cell r="GJ435" t="str">
            <v>40-2015</v>
          </cell>
          <cell r="GN435" t="str">
            <v xml:space="preserve">ERICSSON </v>
          </cell>
          <cell r="GP435">
            <v>42206</v>
          </cell>
          <cell r="GU435" t="str">
            <v xml:space="preserve">		</v>
          </cell>
          <cell r="HD435">
            <v>1</v>
          </cell>
        </row>
        <row r="436">
          <cell r="A436" t="str">
            <v>MO0451</v>
          </cell>
          <cell r="B436" t="str">
            <v>ASMO_0240</v>
          </cell>
          <cell r="C436" t="str">
            <v>Apollo</v>
          </cell>
          <cell r="D436" t="str">
            <v>Robert</v>
          </cell>
          <cell r="F436" t="str">
            <v>Phyo Wai Maung</v>
          </cell>
          <cell r="G436" t="str">
            <v>Thant Zin Oo</v>
          </cell>
          <cell r="H436" t="str">
            <v>RED</v>
          </cell>
          <cell r="I436" t="str">
            <v>South</v>
          </cell>
          <cell r="J436" t="str">
            <v>97.4599</v>
          </cell>
          <cell r="K436" t="str">
            <v>16.6118</v>
          </cell>
          <cell r="L436" t="str">
            <v>SubUrban</v>
          </cell>
          <cell r="M436" t="str">
            <v>Mon</v>
          </cell>
          <cell r="N436" t="str">
            <v>Paung</v>
          </cell>
          <cell r="O436" t="str">
            <v>Paung</v>
          </cell>
          <cell r="P436" t="str">
            <v>Mon</v>
          </cell>
          <cell r="Q436" t="str">
            <v>22</v>
          </cell>
          <cell r="R436" t="str">
            <v>Paung</v>
          </cell>
          <cell r="S436" t="str">
            <v>177</v>
          </cell>
          <cell r="T436" t="str">
            <v>GSM+UMTS</v>
          </cell>
          <cell r="W436" t="str">
            <v>Ph2-Priority</v>
          </cell>
          <cell r="X436" t="str">
            <v>35</v>
          </cell>
          <cell r="Y436" t="str">
            <v>37</v>
          </cell>
          <cell r="Z436" t="str">
            <v>GBT</v>
          </cell>
          <cell r="AA436" t="str">
            <v>250</v>
          </cell>
          <cell r="AB436" t="str">
            <v>Access</v>
          </cell>
          <cell r="AC436" t="str">
            <v>Class B</v>
          </cell>
          <cell r="BH436" t="str">
            <v>Camusat</v>
          </cell>
          <cell r="BJ436">
            <v>42165</v>
          </cell>
          <cell r="BK436">
            <v>42166</v>
          </cell>
          <cell r="BL436">
            <v>42170</v>
          </cell>
          <cell r="BM436">
            <v>42173</v>
          </cell>
          <cell r="BT436">
            <v>67</v>
          </cell>
          <cell r="BU436">
            <v>42178</v>
          </cell>
          <cell r="BV436">
            <v>42170</v>
          </cell>
          <cell r="BW436" t="str">
            <v>94.77597</v>
          </cell>
          <cell r="BX436" t="str">
            <v>21.38555</v>
          </cell>
          <cell r="BY436" t="str">
            <v>C1</v>
          </cell>
          <cell r="BZ436" t="str">
            <v>GYO PYAN VILLAGE,KAM MA GROUP,PAKKOKU TOWNSHIP,MAGWAY DIVISION.</v>
          </cell>
          <cell r="CA436" t="str">
            <v>U Hla Win Maung;09-259140895</v>
          </cell>
          <cell r="CB436" t="str">
            <v>15Jun15: C1 SAR Sub</v>
          </cell>
          <cell r="CE436">
            <v>0</v>
          </cell>
          <cell r="CF436">
            <v>42179</v>
          </cell>
          <cell r="CG436">
            <v>42171</v>
          </cell>
          <cell r="CH436">
            <v>42181</v>
          </cell>
          <cell r="CJ436">
            <v>42179</v>
          </cell>
          <cell r="CK436" t="str">
            <v>45</v>
          </cell>
          <cell r="CL436" t="str">
            <v>47</v>
          </cell>
          <cell r="CM436" t="str">
            <v>50</v>
          </cell>
          <cell r="CN436">
            <v>0</v>
          </cell>
          <cell r="CO436">
            <v>42184</v>
          </cell>
          <cell r="CP436">
            <v>42181</v>
          </cell>
          <cell r="CQ436" t="str">
            <v>M1: grid power + battery</v>
          </cell>
          <cell r="CR436">
            <v>0</v>
          </cell>
          <cell r="CS436">
            <v>42185</v>
          </cell>
          <cell r="CT436">
            <v>42184</v>
          </cell>
          <cell r="CU436" t="str">
            <v>MO0451</v>
          </cell>
          <cell r="DH436">
            <v>0</v>
          </cell>
          <cell r="DI436">
            <v>42195</v>
          </cell>
          <cell r="DJ436">
            <v>42188</v>
          </cell>
          <cell r="DK436">
            <v>42192</v>
          </cell>
          <cell r="DL436">
            <v>42186</v>
          </cell>
          <cell r="DM436">
            <v>42196</v>
          </cell>
          <cell r="DN436">
            <v>42192</v>
          </cell>
          <cell r="DO436">
            <v>0</v>
          </cell>
          <cell r="DP436">
            <v>42195</v>
          </cell>
          <cell r="DQ436">
            <v>42188</v>
          </cell>
          <cell r="DT436">
            <v>0</v>
          </cell>
          <cell r="DU436">
            <v>42210</v>
          </cell>
          <cell r="DW436">
            <v>0</v>
          </cell>
          <cell r="DY436">
            <v>42196</v>
          </cell>
          <cell r="DZ436">
            <v>42193</v>
          </cell>
          <cell r="EA436" t="str">
            <v>Leadcom</v>
          </cell>
          <cell r="ED436" t="str">
            <v xml:space="preserve">17Aug15 :SiThu.Moe: 11/8/15:Tower foundation is done.Tower materials are not at site.Backfilling is ongoing.
</v>
          </cell>
          <cell r="EE436" t="str">
            <v xml:space="preserve">10 Aug 15:Rain affected_Progress affected; 3-Aug-15: Rain affected_ Site is progressing but rain is affecting the work every day.  Tower base casted and Pedestal IP								</v>
          </cell>
          <cell r="EJ436">
            <v>0</v>
          </cell>
          <cell r="EK436">
            <v>42211</v>
          </cell>
          <cell r="EL436">
            <v>42227</v>
          </cell>
          <cell r="EM436">
            <v>42212</v>
          </cell>
          <cell r="EQ436">
            <v>42219</v>
          </cell>
          <cell r="EW436">
            <v>0</v>
          </cell>
          <cell r="EX436">
            <v>42234</v>
          </cell>
          <cell r="EZ436">
            <v>42229</v>
          </cell>
          <cell r="FB436">
            <v>42231</v>
          </cell>
          <cell r="FU436">
            <v>42233</v>
          </cell>
          <cell r="FW436">
            <v>42233</v>
          </cell>
          <cell r="GJ436">
            <v>0</v>
          </cell>
          <cell r="GN436" t="str">
            <v>ERICSSON</v>
          </cell>
          <cell r="GO436">
            <v>42201</v>
          </cell>
          <cell r="GU436" t="str">
            <v xml:space="preserve">		</v>
          </cell>
          <cell r="HD436">
            <v>1</v>
          </cell>
        </row>
        <row r="437">
          <cell r="A437" t="str">
            <v>MO0454</v>
          </cell>
          <cell r="B437" t="str">
            <v>ASMO_0241</v>
          </cell>
          <cell r="C437" t="str">
            <v>Apollo</v>
          </cell>
          <cell r="D437" t="str">
            <v>Robert</v>
          </cell>
          <cell r="F437" t="str">
            <v>Phyo Wai Maung</v>
          </cell>
          <cell r="G437" t="str">
            <v>Thant Zin Oo</v>
          </cell>
          <cell r="H437" t="str">
            <v>RED</v>
          </cell>
          <cell r="I437" t="str">
            <v>South</v>
          </cell>
          <cell r="J437" t="str">
            <v>97.4244</v>
          </cell>
          <cell r="K437" t="str">
            <v>16.6974</v>
          </cell>
          <cell r="L437" t="str">
            <v>Rural</v>
          </cell>
          <cell r="M437" t="str">
            <v>Mon</v>
          </cell>
          <cell r="N437" t="str">
            <v>Paung</v>
          </cell>
          <cell r="O437" t="str">
            <v>Paung</v>
          </cell>
          <cell r="P437" t="str">
            <v>Mon</v>
          </cell>
          <cell r="Q437" t="str">
            <v>22</v>
          </cell>
          <cell r="R437" t="str">
            <v>Paung</v>
          </cell>
          <cell r="S437" t="str">
            <v>177</v>
          </cell>
          <cell r="T437" t="str">
            <v>GSM+UMTS</v>
          </cell>
          <cell r="W437" t="str">
            <v>Ph2-Priority</v>
          </cell>
          <cell r="X437" t="str">
            <v>45</v>
          </cell>
          <cell r="Y437" t="str">
            <v>47</v>
          </cell>
          <cell r="Z437" t="str">
            <v>GBT</v>
          </cell>
          <cell r="AA437" t="str">
            <v>500</v>
          </cell>
          <cell r="AB437" t="str">
            <v>Access</v>
          </cell>
          <cell r="AC437" t="str">
            <v>Class C</v>
          </cell>
          <cell r="BE437" t="str">
            <v>Route 2 Yangon -Mawlamyine</v>
          </cell>
          <cell r="BH437" t="str">
            <v>Leadcom</v>
          </cell>
          <cell r="BJ437">
            <v>42165</v>
          </cell>
          <cell r="BK437">
            <v>42156</v>
          </cell>
          <cell r="BL437">
            <v>42170</v>
          </cell>
          <cell r="BM437">
            <v>42163</v>
          </cell>
          <cell r="BT437">
            <v>77</v>
          </cell>
          <cell r="BU437">
            <v>42209</v>
          </cell>
          <cell r="BV437">
            <v>42227</v>
          </cell>
          <cell r="BW437" t="str">
            <v>97.03111</v>
          </cell>
          <cell r="BX437" t="str">
            <v>17.29153</v>
          </cell>
          <cell r="BY437" t="str">
            <v>Reject</v>
          </cell>
          <cell r="CB437" t="str">
            <v>13 Aug 15: C1 deactivate because of C1 Garden Land candidate rejceted in TSS due to swampy area;19 Jun 15 :C1 SAR app;18Jun15: C1 SAR Sub</v>
          </cell>
          <cell r="CC437" t="str">
            <v>GARDEN LAND</v>
          </cell>
          <cell r="CE437">
            <v>0</v>
          </cell>
          <cell r="CF437">
            <v>42210</v>
          </cell>
          <cell r="CG437">
            <v>42228</v>
          </cell>
          <cell r="CH437">
            <v>42212</v>
          </cell>
          <cell r="CN437">
            <v>0</v>
          </cell>
          <cell r="CO437">
            <v>42215</v>
          </cell>
          <cell r="CQ437" t="str">
            <v>M1: grid power + battery</v>
          </cell>
          <cell r="CR437">
            <v>0</v>
          </cell>
          <cell r="CS437">
            <v>42216</v>
          </cell>
          <cell r="CU437" t="str">
            <v>MO0454</v>
          </cell>
          <cell r="DH437">
            <v>0</v>
          </cell>
          <cell r="DI437">
            <v>42226</v>
          </cell>
          <cell r="DK437">
            <v>42223</v>
          </cell>
          <cell r="DM437">
            <v>42227</v>
          </cell>
          <cell r="DO437">
            <v>0</v>
          </cell>
          <cell r="DP437">
            <v>42226</v>
          </cell>
          <cell r="DT437">
            <v>0</v>
          </cell>
          <cell r="DU437">
            <v>42241</v>
          </cell>
          <cell r="DW437">
            <v>0</v>
          </cell>
          <cell r="DY437">
            <v>42227</v>
          </cell>
          <cell r="EA437" t="str">
            <v>Leadcom</v>
          </cell>
          <cell r="EJ437">
            <v>0</v>
          </cell>
          <cell r="EK437">
            <v>42244</v>
          </cell>
          <cell r="EM437">
            <v>42245</v>
          </cell>
          <cell r="EQ437">
            <v>42254</v>
          </cell>
          <cell r="EW437">
            <v>0</v>
          </cell>
          <cell r="EX437">
            <v>42285</v>
          </cell>
          <cell r="EZ437">
            <v>42264</v>
          </cell>
          <cell r="FB437">
            <v>42266</v>
          </cell>
          <cell r="FU437">
            <v>42268</v>
          </cell>
          <cell r="FW437">
            <v>42268</v>
          </cell>
          <cell r="GJ437">
            <v>0</v>
          </cell>
          <cell r="GN437" t="str">
            <v>ERICSSON</v>
          </cell>
          <cell r="GS437" t="str">
            <v>4/4/4</v>
          </cell>
          <cell r="GU437" t="str">
            <v xml:space="preserve">		</v>
          </cell>
          <cell r="HD437">
            <v>1</v>
          </cell>
        </row>
        <row r="438">
          <cell r="A438" t="str">
            <v>MO0458</v>
          </cell>
          <cell r="B438" t="str">
            <v>ASMO_0242</v>
          </cell>
          <cell r="C438" t="str">
            <v>Apollo</v>
          </cell>
          <cell r="D438" t="str">
            <v>Robert</v>
          </cell>
          <cell r="F438" t="str">
            <v>Phyo Wai Maung</v>
          </cell>
          <cell r="G438" t="str">
            <v>Thant Zin Oo</v>
          </cell>
          <cell r="H438" t="str">
            <v>RED</v>
          </cell>
          <cell r="I438" t="str">
            <v>South</v>
          </cell>
          <cell r="J438" t="str">
            <v>97.3641</v>
          </cell>
          <cell r="K438" t="str">
            <v>16.5107</v>
          </cell>
          <cell r="L438" t="str">
            <v>SubUrban</v>
          </cell>
          <cell r="M438" t="str">
            <v>Mon</v>
          </cell>
          <cell r="N438" t="str">
            <v>Paung</v>
          </cell>
          <cell r="O438" t="str">
            <v>Paung</v>
          </cell>
          <cell r="P438" t="str">
            <v>Mon</v>
          </cell>
          <cell r="Q438" t="str">
            <v>22</v>
          </cell>
          <cell r="R438" t="str">
            <v>Paung</v>
          </cell>
          <cell r="S438" t="str">
            <v>177</v>
          </cell>
          <cell r="T438" t="str">
            <v>GSM+UMTS</v>
          </cell>
          <cell r="W438" t="str">
            <v>Ph2-Priority</v>
          </cell>
          <cell r="X438" t="str">
            <v>35</v>
          </cell>
          <cell r="Y438" t="str">
            <v>37</v>
          </cell>
          <cell r="AA438" t="str">
            <v>250</v>
          </cell>
          <cell r="AB438" t="str">
            <v>Access</v>
          </cell>
          <cell r="AC438" t="str">
            <v>Class B</v>
          </cell>
          <cell r="BE438" t="str">
            <v>Route 2 Yangon -Mawlamyine</v>
          </cell>
          <cell r="BH438" t="str">
            <v>Camusat</v>
          </cell>
          <cell r="BJ438">
            <v>42165</v>
          </cell>
          <cell r="BK438">
            <v>42166</v>
          </cell>
          <cell r="BL438">
            <v>42170</v>
          </cell>
          <cell r="BM438">
            <v>42173</v>
          </cell>
          <cell r="BT438">
            <v>67</v>
          </cell>
          <cell r="BU438">
            <v>42178</v>
          </cell>
          <cell r="BY438" t="str">
            <v>Reject</v>
          </cell>
          <cell r="CB438" t="str">
            <v>24 June 15 : C3 SAR rejected(RND rejected this candidate because it is 770m far from the nominal outside the search ring and it is far from population area. Please find the candidate within the search ring.);20Jun15: C3 SAR Sub. C1 to C2 Rejected by AT</v>
          </cell>
          <cell r="CE438">
            <v>0</v>
          </cell>
          <cell r="CF438">
            <v>42179</v>
          </cell>
          <cell r="CH438">
            <v>42181</v>
          </cell>
          <cell r="CN438">
            <v>0</v>
          </cell>
          <cell r="CO438">
            <v>42184</v>
          </cell>
          <cell r="CR438">
            <v>0</v>
          </cell>
          <cell r="CS438">
            <v>42185</v>
          </cell>
          <cell r="CU438" t="str">
            <v>MO0458</v>
          </cell>
          <cell r="DH438">
            <v>0</v>
          </cell>
          <cell r="DI438">
            <v>42195</v>
          </cell>
          <cell r="DK438">
            <v>42192</v>
          </cell>
          <cell r="DM438">
            <v>42196</v>
          </cell>
          <cell r="DO438">
            <v>0</v>
          </cell>
          <cell r="DP438">
            <v>42195</v>
          </cell>
          <cell r="DT438">
            <v>0</v>
          </cell>
          <cell r="DU438">
            <v>42210</v>
          </cell>
          <cell r="DW438">
            <v>0</v>
          </cell>
          <cell r="DY438">
            <v>42196</v>
          </cell>
          <cell r="EA438" t="str">
            <v>Leadcom</v>
          </cell>
          <cell r="EJ438">
            <v>0</v>
          </cell>
          <cell r="EK438">
            <v>42211</v>
          </cell>
          <cell r="EM438">
            <v>42212</v>
          </cell>
          <cell r="EQ438">
            <v>42219</v>
          </cell>
          <cell r="EW438">
            <v>0</v>
          </cell>
          <cell r="EX438">
            <v>42234</v>
          </cell>
          <cell r="EZ438">
            <v>42229</v>
          </cell>
          <cell r="FB438">
            <v>42231</v>
          </cell>
          <cell r="FU438">
            <v>42233</v>
          </cell>
          <cell r="FW438">
            <v>42233</v>
          </cell>
          <cell r="GJ438">
            <v>0</v>
          </cell>
          <cell r="GN438" t="str">
            <v>ERICSSON</v>
          </cell>
          <cell r="GS438" t="str">
            <v>4/4/4</v>
          </cell>
          <cell r="GU438" t="str">
            <v xml:space="preserve">		</v>
          </cell>
          <cell r="HD438">
            <v>1</v>
          </cell>
        </row>
        <row r="439">
          <cell r="A439" t="str">
            <v>MO0463</v>
          </cell>
          <cell r="B439" t="str">
            <v>ASMO_0243</v>
          </cell>
          <cell r="C439" t="str">
            <v>Apollo</v>
          </cell>
          <cell r="D439" t="str">
            <v>Robert</v>
          </cell>
          <cell r="F439" t="str">
            <v>Phyo Wai Maung</v>
          </cell>
          <cell r="G439" t="str">
            <v>Thant Zin Oo</v>
          </cell>
          <cell r="H439" t="str">
            <v>RED</v>
          </cell>
          <cell r="I439" t="str">
            <v>South</v>
          </cell>
          <cell r="J439" t="str">
            <v>97.8128</v>
          </cell>
          <cell r="K439" t="str">
            <v>16.5109</v>
          </cell>
          <cell r="L439" t="str">
            <v>Rural</v>
          </cell>
          <cell r="M439" t="str">
            <v>Mon</v>
          </cell>
          <cell r="N439" t="str">
            <v>Kyaikmaraw</v>
          </cell>
          <cell r="O439" t="str">
            <v>Kyaikmaraw</v>
          </cell>
          <cell r="P439" t="str">
            <v>Mon</v>
          </cell>
          <cell r="Q439" t="str">
            <v>22</v>
          </cell>
          <cell r="R439" t="str">
            <v>Kyaikmaraw</v>
          </cell>
          <cell r="S439" t="str">
            <v>171</v>
          </cell>
          <cell r="T439" t="str">
            <v>GSM+UMTS</v>
          </cell>
          <cell r="W439" t="str">
            <v>Ph2-Priority</v>
          </cell>
          <cell r="X439" t="str">
            <v>45</v>
          </cell>
          <cell r="Y439" t="str">
            <v>47</v>
          </cell>
          <cell r="AA439" t="str">
            <v>500</v>
          </cell>
          <cell r="AB439" t="str">
            <v>Access</v>
          </cell>
          <cell r="AC439" t="str">
            <v>Class C</v>
          </cell>
          <cell r="BE439" t="str">
            <v>Route 13 Mawlamyine-Dawei</v>
          </cell>
          <cell r="BH439" t="str">
            <v>Camusat</v>
          </cell>
          <cell r="BJ439">
            <v>42165</v>
          </cell>
          <cell r="BK439">
            <v>42165</v>
          </cell>
          <cell r="BL439">
            <v>42170</v>
          </cell>
          <cell r="BM439">
            <v>42165</v>
          </cell>
          <cell r="BT439">
            <v>68</v>
          </cell>
          <cell r="BU439">
            <v>42209</v>
          </cell>
          <cell r="BY439" t="str">
            <v>Reject</v>
          </cell>
          <cell r="CB439" t="str">
            <v>23 June 15 : C3 SAR rejected(RND rejected this candidate because it is 2.25km far from the nominal. Please find the candidate within the search ring.);20Jun15: C3 SAR Sub. C1 to C2 Rejected by AT</v>
          </cell>
          <cell r="CE439">
            <v>0</v>
          </cell>
          <cell r="CF439">
            <v>42210</v>
          </cell>
          <cell r="CH439">
            <v>42212</v>
          </cell>
          <cell r="CN439">
            <v>0</v>
          </cell>
          <cell r="CO439">
            <v>42215</v>
          </cell>
          <cell r="CR439">
            <v>0</v>
          </cell>
          <cell r="CS439">
            <v>42216</v>
          </cell>
          <cell r="CU439" t="str">
            <v>MO0463</v>
          </cell>
          <cell r="DH439">
            <v>0</v>
          </cell>
          <cell r="DI439">
            <v>42226</v>
          </cell>
          <cell r="DK439">
            <v>42223</v>
          </cell>
          <cell r="DM439">
            <v>42227</v>
          </cell>
          <cell r="DO439">
            <v>0</v>
          </cell>
          <cell r="DP439">
            <v>42226</v>
          </cell>
          <cell r="DT439">
            <v>0</v>
          </cell>
          <cell r="DU439">
            <v>42241</v>
          </cell>
          <cell r="DW439">
            <v>0</v>
          </cell>
          <cell r="DY439">
            <v>42227</v>
          </cell>
          <cell r="EA439" t="str">
            <v>Leadcom</v>
          </cell>
          <cell r="EJ439">
            <v>0</v>
          </cell>
          <cell r="EK439">
            <v>42244</v>
          </cell>
          <cell r="EM439">
            <v>42245</v>
          </cell>
          <cell r="EQ439">
            <v>42254</v>
          </cell>
          <cell r="EW439">
            <v>0</v>
          </cell>
          <cell r="EX439">
            <v>42285</v>
          </cell>
          <cell r="EZ439">
            <v>42264</v>
          </cell>
          <cell r="FB439">
            <v>42266</v>
          </cell>
          <cell r="FU439">
            <v>42268</v>
          </cell>
          <cell r="FW439">
            <v>42268</v>
          </cell>
          <cell r="GJ439">
            <v>0</v>
          </cell>
          <cell r="GN439" t="str">
            <v>ERICSSON</v>
          </cell>
          <cell r="GS439" t="str">
            <v>4/4/4</v>
          </cell>
          <cell r="GU439" t="str">
            <v xml:space="preserve">		</v>
          </cell>
          <cell r="HD439">
            <v>1</v>
          </cell>
        </row>
        <row r="440">
          <cell r="A440" t="str">
            <v>MO0464</v>
          </cell>
          <cell r="B440" t="str">
            <v>ASMO_0244</v>
          </cell>
          <cell r="C440" t="str">
            <v>Apollo</v>
          </cell>
          <cell r="D440" t="str">
            <v>Robert</v>
          </cell>
          <cell r="F440" t="str">
            <v>Phyo Wai Maung</v>
          </cell>
          <cell r="G440" t="str">
            <v>Thant Zin Oo</v>
          </cell>
          <cell r="H440" t="str">
            <v>RED</v>
          </cell>
          <cell r="I440" t="str">
            <v>South</v>
          </cell>
          <cell r="J440" t="str">
            <v>97.7539</v>
          </cell>
          <cell r="K440" t="str">
            <v>16.5172</v>
          </cell>
          <cell r="L440" t="str">
            <v>Rural</v>
          </cell>
          <cell r="M440" t="str">
            <v>Mon</v>
          </cell>
          <cell r="N440" t="str">
            <v>Kyaikmaraw</v>
          </cell>
          <cell r="O440" t="str">
            <v>Kyaikmaraw</v>
          </cell>
          <cell r="P440" t="str">
            <v>Mon</v>
          </cell>
          <cell r="Q440" t="str">
            <v>22</v>
          </cell>
          <cell r="R440" t="str">
            <v>Kyaikmaraw</v>
          </cell>
          <cell r="S440" t="str">
            <v>171</v>
          </cell>
          <cell r="T440" t="str">
            <v>GSM+UMTS</v>
          </cell>
          <cell r="U440" t="str">
            <v>NAY_N002</v>
          </cell>
          <cell r="V440">
            <v>3</v>
          </cell>
          <cell r="W440" t="str">
            <v>Ph2-Priority</v>
          </cell>
          <cell r="X440" t="str">
            <v>45</v>
          </cell>
          <cell r="Y440" t="str">
            <v>47</v>
          </cell>
          <cell r="Z440" t="str">
            <v>GBT</v>
          </cell>
          <cell r="AA440" t="str">
            <v>500</v>
          </cell>
          <cell r="AB440" t="str">
            <v>Access</v>
          </cell>
          <cell r="AC440" t="str">
            <v>Class C</v>
          </cell>
          <cell r="AD440">
            <v>1323</v>
          </cell>
          <cell r="AE440">
            <v>1588</v>
          </cell>
          <cell r="AF440">
            <v>1</v>
          </cell>
          <cell r="AG440" t="str">
            <v>NP0006</v>
          </cell>
          <cell r="AH440" t="str">
            <v>NP0008</v>
          </cell>
          <cell r="BC440" t="str">
            <v>NP0008</v>
          </cell>
          <cell r="BD440">
            <v>7</v>
          </cell>
          <cell r="BE440" t="str">
            <v>Route 7 Bago - Pyawbwe</v>
          </cell>
          <cell r="BF440">
            <v>41760</v>
          </cell>
          <cell r="BG440">
            <v>42025</v>
          </cell>
          <cell r="BH440" t="str">
            <v>Leadcom</v>
          </cell>
          <cell r="BJ440">
            <v>42165</v>
          </cell>
          <cell r="BK440">
            <v>42166</v>
          </cell>
          <cell r="BL440">
            <v>42170</v>
          </cell>
          <cell r="BM440">
            <v>42164</v>
          </cell>
          <cell r="BO440">
            <v>41718</v>
          </cell>
          <cell r="BR440" t="str">
            <v>The oasis hotel</v>
          </cell>
          <cell r="BT440">
            <v>64</v>
          </cell>
          <cell r="BU440">
            <v>42235</v>
          </cell>
          <cell r="BV440">
            <v>42230</v>
          </cell>
          <cell r="BW440" t="str">
            <v>97.75423</v>
          </cell>
          <cell r="BX440" t="str">
            <v>16.51523</v>
          </cell>
          <cell r="BY440" t="str">
            <v>C4 Rev</v>
          </cell>
          <cell r="BZ440" t="str">
            <v>Kyeikmayaw Tsp, Kawt Swal Village, Mon State.</v>
          </cell>
          <cell r="CA440" t="str">
            <v>U Yote,9262014742</v>
          </cell>
          <cell r="CB440" t="str">
            <v>14 Aug 15 :C4 SAR rev sub because of changing coordinate;10 Aug 15 : C4 SAR app;7 Aug 15 : C4 SAR sub</v>
          </cell>
          <cell r="CC440" t="str">
            <v>GARDEN LAND</v>
          </cell>
          <cell r="CE440">
            <v>3</v>
          </cell>
          <cell r="CF440">
            <v>42236</v>
          </cell>
          <cell r="CG440">
            <v>42234</v>
          </cell>
          <cell r="CH440">
            <v>42238</v>
          </cell>
          <cell r="CJ440">
            <v>42242</v>
          </cell>
          <cell r="CK440" t="str">
            <v>45</v>
          </cell>
          <cell r="CL440" t="str">
            <v>47</v>
          </cell>
          <cell r="CM440" t="str">
            <v>50</v>
          </cell>
          <cell r="CN440">
            <v>0</v>
          </cell>
          <cell r="CO440">
            <v>42241</v>
          </cell>
          <cell r="CP440">
            <v>42244</v>
          </cell>
          <cell r="CQ440" t="str">
            <v>M4: solar + DG + battery</v>
          </cell>
          <cell r="CR440">
            <v>0</v>
          </cell>
          <cell r="CS440">
            <v>42242</v>
          </cell>
          <cell r="CT440">
            <v>42250</v>
          </cell>
          <cell r="CU440" t="str">
            <v>MO0464</v>
          </cell>
          <cell r="DH440">
            <v>0</v>
          </cell>
          <cell r="DI440">
            <v>42252</v>
          </cell>
          <cell r="DK440">
            <v>42249</v>
          </cell>
          <cell r="DM440">
            <v>42253</v>
          </cell>
          <cell r="DO440">
            <v>0</v>
          </cell>
          <cell r="DP440">
            <v>42252</v>
          </cell>
          <cell r="DR440" t="str">
            <v>NCDC</v>
          </cell>
          <cell r="DT440">
            <v>0</v>
          </cell>
          <cell r="DU440">
            <v>42267</v>
          </cell>
          <cell r="DW440">
            <v>0</v>
          </cell>
          <cell r="DY440">
            <v>42253</v>
          </cell>
          <cell r="DZ440">
            <v>42132</v>
          </cell>
          <cell r="EA440" t="str">
            <v>Leadcom</v>
          </cell>
          <cell r="EJ440">
            <v>0</v>
          </cell>
          <cell r="EK440">
            <v>42270</v>
          </cell>
          <cell r="EL440">
            <v>42147</v>
          </cell>
          <cell r="EM440">
            <v>42271</v>
          </cell>
          <cell r="EN440">
            <v>42150</v>
          </cell>
          <cell r="EQ440">
            <v>42280</v>
          </cell>
          <cell r="EW440">
            <v>0</v>
          </cell>
          <cell r="EX440">
            <v>42294</v>
          </cell>
          <cell r="EZ440">
            <v>42290</v>
          </cell>
          <cell r="FB440">
            <v>42292</v>
          </cell>
          <cell r="FD440">
            <v>41931</v>
          </cell>
          <cell r="FF440">
            <v>41938</v>
          </cell>
          <cell r="FH440">
            <v>41940</v>
          </cell>
          <cell r="FJ440">
            <v>41943</v>
          </cell>
          <cell r="FN440">
            <v>41947</v>
          </cell>
          <cell r="FP440">
            <v>41949</v>
          </cell>
          <cell r="FR440">
            <v>41963</v>
          </cell>
          <cell r="FU440">
            <v>42294</v>
          </cell>
          <cell r="FW440">
            <v>42294</v>
          </cell>
          <cell r="GI440">
            <v>42185</v>
          </cell>
          <cell r="GJ440">
            <v>0</v>
          </cell>
          <cell r="GN440" t="str">
            <v>ERICSSON</v>
          </cell>
          <cell r="GS440" t="str">
            <v>4/4/4</v>
          </cell>
          <cell r="GU440" t="str">
            <v xml:space="preserve">		</v>
          </cell>
          <cell r="HD440">
            <v>1</v>
          </cell>
        </row>
        <row r="441">
          <cell r="A441" t="str">
            <v>MO0465</v>
          </cell>
          <cell r="B441" t="str">
            <v>ASMO_0245</v>
          </cell>
          <cell r="C441" t="str">
            <v>Apollo</v>
          </cell>
          <cell r="D441" t="str">
            <v>Robert</v>
          </cell>
          <cell r="F441" t="str">
            <v>Phyo Wai Maung</v>
          </cell>
          <cell r="G441" t="str">
            <v>Thant Zin Oo</v>
          </cell>
          <cell r="H441" t="str">
            <v>YELLOW</v>
          </cell>
          <cell r="I441" t="str">
            <v>South</v>
          </cell>
          <cell r="J441" t="str">
            <v>97.697</v>
          </cell>
          <cell r="K441" t="str">
            <v>16.4797</v>
          </cell>
          <cell r="L441" t="str">
            <v>Rural</v>
          </cell>
          <cell r="M441" t="str">
            <v>Mon</v>
          </cell>
          <cell r="N441" t="str">
            <v>Kyaikmaraw</v>
          </cell>
          <cell r="O441" t="str">
            <v>Kyaikmaraw</v>
          </cell>
          <cell r="P441" t="str">
            <v>Mon</v>
          </cell>
          <cell r="Q441" t="str">
            <v>22</v>
          </cell>
          <cell r="R441" t="str">
            <v>Kyaikmaraw</v>
          </cell>
          <cell r="S441" t="str">
            <v>171</v>
          </cell>
          <cell r="T441" t="str">
            <v>GSM+UMTS</v>
          </cell>
          <cell r="U441" t="str">
            <v>NAY_N002</v>
          </cell>
          <cell r="V441">
            <v>3</v>
          </cell>
          <cell r="W441" t="str">
            <v>Ph2-Priority</v>
          </cell>
          <cell r="X441" t="str">
            <v>45</v>
          </cell>
          <cell r="Y441" t="str">
            <v>47</v>
          </cell>
          <cell r="Z441" t="str">
            <v>GBT</v>
          </cell>
          <cell r="AA441" t="str">
            <v>500</v>
          </cell>
          <cell r="AB441" t="str">
            <v>Access</v>
          </cell>
          <cell r="AC441" t="str">
            <v>Class C</v>
          </cell>
          <cell r="AD441">
            <v>1323</v>
          </cell>
          <cell r="AE441">
            <v>1588</v>
          </cell>
          <cell r="AF441">
            <v>1</v>
          </cell>
          <cell r="AG441" t="str">
            <v>NP0072</v>
          </cell>
          <cell r="AH441" t="str">
            <v>NP0071</v>
          </cell>
          <cell r="BC441" t="str">
            <v>NP0071</v>
          </cell>
          <cell r="BD441">
            <v>7</v>
          </cell>
          <cell r="BE441" t="str">
            <v>Indaw - Bhamo</v>
          </cell>
          <cell r="BF441">
            <v>41760</v>
          </cell>
          <cell r="BG441">
            <v>41898</v>
          </cell>
          <cell r="BH441" t="str">
            <v>Leadcom</v>
          </cell>
          <cell r="BJ441">
            <v>42165</v>
          </cell>
          <cell r="BK441">
            <v>42170</v>
          </cell>
          <cell r="BL441">
            <v>42170</v>
          </cell>
          <cell r="BM441">
            <v>42177</v>
          </cell>
          <cell r="BO441">
            <v>41718</v>
          </cell>
          <cell r="BR441" t="str">
            <v>The search ring is inside Yadanar Theingha Hotel &amp; Golden Myanmar Hotel compounds.</v>
          </cell>
          <cell r="BT441">
            <v>7</v>
          </cell>
          <cell r="BU441">
            <v>42235</v>
          </cell>
          <cell r="BV441">
            <v>42177</v>
          </cell>
          <cell r="BW441" t="str">
            <v>97.69863</v>
          </cell>
          <cell r="BX441" t="str">
            <v>16.4774</v>
          </cell>
          <cell r="BY441" t="str">
            <v>C1</v>
          </cell>
          <cell r="BZ441" t="str">
            <v>No.(2/94), Kyone One Village,Kyaik Ma Yaw Tsp, Mon State.</v>
          </cell>
          <cell r="CA441" t="str">
            <v>U SEIN KHWAT;09 425 281 534</v>
          </cell>
          <cell r="CB441" t="str">
            <v>22 Jun 15 :(C1_SAR_REV2 submission);11Jun15: C1 SAR sub date cleared. 27May15: C1 SAR Sub</v>
          </cell>
          <cell r="CC441" t="str">
            <v>Village</v>
          </cell>
          <cell r="CD441" t="str">
            <v>16.3</v>
          </cell>
          <cell r="CE441">
            <v>1</v>
          </cell>
          <cell r="CF441">
            <v>42236</v>
          </cell>
          <cell r="CG441">
            <v>42178</v>
          </cell>
          <cell r="CH441">
            <v>42238</v>
          </cell>
          <cell r="CJ441">
            <v>42184</v>
          </cell>
          <cell r="CK441" t="str">
            <v>45</v>
          </cell>
          <cell r="CL441" t="str">
            <v>47</v>
          </cell>
          <cell r="CM441" t="str">
            <v>50</v>
          </cell>
          <cell r="CN441">
            <v>8</v>
          </cell>
          <cell r="CO441">
            <v>42241</v>
          </cell>
          <cell r="CP441">
            <v>42186</v>
          </cell>
          <cell r="CQ441" t="str">
            <v>M1: grid power + battery</v>
          </cell>
          <cell r="CR441">
            <v>2</v>
          </cell>
          <cell r="CS441">
            <v>42242</v>
          </cell>
          <cell r="CT441">
            <v>42188</v>
          </cell>
          <cell r="CU441" t="str">
            <v>MO0465</v>
          </cell>
          <cell r="DH441">
            <v>0</v>
          </cell>
          <cell r="DI441">
            <v>42252</v>
          </cell>
          <cell r="DJ441">
            <v>42188</v>
          </cell>
          <cell r="DK441">
            <v>42249</v>
          </cell>
          <cell r="DL441">
            <v>42206</v>
          </cell>
          <cell r="DM441">
            <v>42253</v>
          </cell>
          <cell r="DN441">
            <v>42206</v>
          </cell>
          <cell r="DO441">
            <v>0</v>
          </cell>
          <cell r="DP441">
            <v>42252</v>
          </cell>
          <cell r="DQ441">
            <v>42188</v>
          </cell>
          <cell r="DR441" t="str">
            <v>NCDC</v>
          </cell>
          <cell r="DT441">
            <v>45</v>
          </cell>
          <cell r="DU441">
            <v>42267</v>
          </cell>
          <cell r="DW441">
            <v>0</v>
          </cell>
          <cell r="DY441">
            <v>42253</v>
          </cell>
          <cell r="DZ441">
            <v>42200</v>
          </cell>
          <cell r="EA441" t="str">
            <v>Leadcom</v>
          </cell>
          <cell r="ED441" t="str">
            <v xml:space="preserve">17Aug15 :ThantZin.Oo: 13/8/15 : Footing and Pedestal rebar-work in progress .
</v>
          </cell>
          <cell r="EE441" t="str">
            <v xml:space="preserve">10 Aug 15:Rain affected_Progress affected; 3-Aug-15: Flooded-dewatering heavy rain								</v>
          </cell>
          <cell r="EJ441">
            <v>29</v>
          </cell>
          <cell r="EK441">
            <v>42270</v>
          </cell>
          <cell r="EL441">
            <v>42229</v>
          </cell>
          <cell r="EM441">
            <v>42271</v>
          </cell>
          <cell r="EN441">
            <v>42231</v>
          </cell>
          <cell r="EQ441">
            <v>42280</v>
          </cell>
          <cell r="ER441">
            <v>42235</v>
          </cell>
          <cell r="ES441">
            <v>42231</v>
          </cell>
          <cell r="ET441">
            <v>42236</v>
          </cell>
          <cell r="EU441">
            <v>42236</v>
          </cell>
          <cell r="EW441">
            <v>33</v>
          </cell>
          <cell r="EX441">
            <v>42294</v>
          </cell>
          <cell r="EZ441">
            <v>42290</v>
          </cell>
          <cell r="FA441">
            <v>42238</v>
          </cell>
          <cell r="FB441">
            <v>42292</v>
          </cell>
          <cell r="FC441">
            <v>42241</v>
          </cell>
          <cell r="FD441">
            <v>41931</v>
          </cell>
          <cell r="FF441">
            <v>41938</v>
          </cell>
          <cell r="FH441">
            <v>41940</v>
          </cell>
          <cell r="FJ441">
            <v>41943</v>
          </cell>
          <cell r="FN441">
            <v>41947</v>
          </cell>
          <cell r="FP441">
            <v>41949</v>
          </cell>
          <cell r="FR441">
            <v>41963</v>
          </cell>
          <cell r="FU441">
            <v>42294</v>
          </cell>
          <cell r="FW441">
            <v>42294</v>
          </cell>
          <cell r="FX441">
            <v>42241</v>
          </cell>
          <cell r="FY441" t="str">
            <v>CFVL</v>
          </cell>
          <cell r="FZ441">
            <v>42233</v>
          </cell>
          <cell r="GA441">
            <v>42237</v>
          </cell>
          <cell r="GB441">
            <v>42239</v>
          </cell>
          <cell r="GC441">
            <v>42239</v>
          </cell>
          <cell r="GD441">
            <v>42240</v>
          </cell>
          <cell r="GE441">
            <v>42239</v>
          </cell>
          <cell r="GF441">
            <v>42240</v>
          </cell>
          <cell r="GG441">
            <v>42241</v>
          </cell>
          <cell r="GH441">
            <v>42241</v>
          </cell>
          <cell r="GI441">
            <v>42246</v>
          </cell>
          <cell r="GJ441" t="str">
            <v>44-2015</v>
          </cell>
          <cell r="GK441">
            <v>42241</v>
          </cell>
          <cell r="GL441" t="str">
            <v>Equipment Required :: Dispatch 20th Aug</v>
          </cell>
          <cell r="GN441" t="str">
            <v xml:space="preserve">ERICSSON </v>
          </cell>
          <cell r="GP441">
            <v>42206</v>
          </cell>
          <cell r="GQ441" t="str">
            <v xml:space="preserve">Equipment Not Delivered; </v>
          </cell>
          <cell r="GS441" t="str">
            <v>4/4/4</v>
          </cell>
          <cell r="GU441" t="str">
            <v xml:space="preserve">		</v>
          </cell>
          <cell r="HD441">
            <v>1</v>
          </cell>
        </row>
        <row r="442">
          <cell r="A442" t="str">
            <v>NP0007</v>
          </cell>
          <cell r="B442" t="str">
            <v>ANNP_0213</v>
          </cell>
          <cell r="C442" t="str">
            <v>Apollo</v>
          </cell>
          <cell r="D442" t="str">
            <v>Chris Thomson</v>
          </cell>
          <cell r="F442" t="str">
            <v>Mya Kyauk</v>
          </cell>
          <cell r="G442" t="str">
            <v>Thandar Htoo</v>
          </cell>
          <cell r="H442" t="str">
            <v>WHITE</v>
          </cell>
          <cell r="I442" t="str">
            <v>North</v>
          </cell>
          <cell r="J442" t="str">
            <v>96.12963639</v>
          </cell>
          <cell r="K442" t="str">
            <v>19.6940184</v>
          </cell>
          <cell r="L442" t="str">
            <v>Urban</v>
          </cell>
          <cell r="M442" t="str">
            <v>Naypyitaw</v>
          </cell>
          <cell r="N442" t="str">
            <v>Det Khi Na Thi Ri</v>
          </cell>
          <cell r="O442" t="str">
            <v>Det Khi Na Thi Ri</v>
          </cell>
          <cell r="P442" t="str">
            <v>Naypyitaw</v>
          </cell>
          <cell r="Q442" t="str">
            <v>10</v>
          </cell>
          <cell r="R442" t="str">
            <v>Det Khi Na Thi Ri</v>
          </cell>
          <cell r="S442" t="str">
            <v>329</v>
          </cell>
          <cell r="T442" t="str">
            <v>GSM+UMTS</v>
          </cell>
          <cell r="U442" t="str">
            <v>NAY_N002</v>
          </cell>
          <cell r="V442" t="str">
            <v>3</v>
          </cell>
          <cell r="W442" t="str">
            <v>Ph2-Priority</v>
          </cell>
          <cell r="X442" t="str">
            <v>30</v>
          </cell>
          <cell r="Y442" t="str">
            <v>32</v>
          </cell>
          <cell r="Z442" t="str">
            <v>GBT</v>
          </cell>
          <cell r="AA442" t="str">
            <v>250</v>
          </cell>
          <cell r="AB442" t="str">
            <v>Access</v>
          </cell>
          <cell r="AC442" t="str">
            <v>Class B</v>
          </cell>
          <cell r="AD442" t="str">
            <v>1323</v>
          </cell>
          <cell r="AE442" t="str">
            <v>1588</v>
          </cell>
          <cell r="AF442" t="str">
            <v>1</v>
          </cell>
          <cell r="AG442" t="str">
            <v>NP0006</v>
          </cell>
          <cell r="AH442" t="str">
            <v>NP0008</v>
          </cell>
          <cell r="BC442" t="str">
            <v>NP0008</v>
          </cell>
          <cell r="BD442" t="str">
            <v>7</v>
          </cell>
          <cell r="BE442" t="str">
            <v>Route 7 Bago - Pyawbwe</v>
          </cell>
          <cell r="BF442">
            <v>41760</v>
          </cell>
          <cell r="BG442">
            <v>42025</v>
          </cell>
          <cell r="BH442" t="str">
            <v>Camusat NPT</v>
          </cell>
          <cell r="BJ442">
            <v>42128</v>
          </cell>
          <cell r="BK442">
            <v>41628</v>
          </cell>
          <cell r="BL442">
            <v>42133</v>
          </cell>
          <cell r="BM442">
            <v>42044</v>
          </cell>
          <cell r="BN442" t="str">
            <v>Govt. Land</v>
          </cell>
          <cell r="BO442">
            <v>41718</v>
          </cell>
          <cell r="BP442" t="str">
            <v>Submit to MCIT</v>
          </cell>
          <cell r="BQ442" t="str">
            <v>Ministry of forestry</v>
          </cell>
          <cell r="BR442" t="str">
            <v>The oasis hotel</v>
          </cell>
          <cell r="BT442">
            <v>426</v>
          </cell>
          <cell r="BU442">
            <v>42138</v>
          </cell>
          <cell r="BV442">
            <v>42054</v>
          </cell>
          <cell r="BW442" t="str">
            <v>96.121666</v>
          </cell>
          <cell r="BX442" t="str">
            <v>19.69636</v>
          </cell>
          <cell r="BY442" t="str">
            <v>C3</v>
          </cell>
          <cell r="BZ442" t="str">
            <v>NCDC approved site without SAR pdf.</v>
          </cell>
          <cell r="CA442" t="str">
            <v>Owner name and Phone number : None (NCDC approved site without SAR pdf.)</v>
          </cell>
          <cell r="CB442" t="str">
            <v>19 Feb 15 : C3 location approved as am option1 ( RND approved with 30m RND height without SAR PDF. Government Land.);18 Feb 15 : C3 Coordinate sent by mailing  from Apollo since this site is NCDC approved location without SAR pdf;(C1 &amp; C2 were both farmland)</v>
          </cell>
          <cell r="CC442" t="str">
            <v>Farmland</v>
          </cell>
          <cell r="CE442">
            <v>0</v>
          </cell>
          <cell r="CF442">
            <v>42139</v>
          </cell>
          <cell r="CG442">
            <v>42054</v>
          </cell>
          <cell r="CH442">
            <v>42141</v>
          </cell>
          <cell r="CJ442">
            <v>42066</v>
          </cell>
          <cell r="CK442" t="str">
            <v>45</v>
          </cell>
          <cell r="CL442" t="str">
            <v>47</v>
          </cell>
          <cell r="CM442" t="str">
            <v>50</v>
          </cell>
          <cell r="CN442">
            <v>14</v>
          </cell>
          <cell r="CO442">
            <v>42144</v>
          </cell>
          <cell r="CP442">
            <v>42068</v>
          </cell>
          <cell r="CQ442" t="str">
            <v>M1: grid power + battery</v>
          </cell>
          <cell r="CR442">
            <v>0</v>
          </cell>
          <cell r="CS442">
            <v>42145</v>
          </cell>
          <cell r="CT442">
            <v>42068</v>
          </cell>
          <cell r="CU442" t="str">
            <v>NP0007</v>
          </cell>
          <cell r="DH442">
            <v>101</v>
          </cell>
          <cell r="DI442">
            <v>42155</v>
          </cell>
          <cell r="DJ442">
            <v>42169</v>
          </cell>
          <cell r="DK442">
            <v>42152</v>
          </cell>
          <cell r="DL442">
            <v>42213</v>
          </cell>
          <cell r="DM442">
            <v>42156</v>
          </cell>
          <cell r="DO442">
            <v>0</v>
          </cell>
          <cell r="DP442">
            <v>42155</v>
          </cell>
          <cell r="DQ442">
            <v>42169</v>
          </cell>
          <cell r="DR442" t="str">
            <v>NCDC</v>
          </cell>
          <cell r="DT442">
            <v>64</v>
          </cell>
          <cell r="DU442">
            <v>42170</v>
          </cell>
          <cell r="DW442">
            <v>0</v>
          </cell>
          <cell r="DY442">
            <v>42132</v>
          </cell>
          <cell r="DZ442">
            <v>42132</v>
          </cell>
          <cell r="EA442" t="str">
            <v>Camusat</v>
          </cell>
          <cell r="EI442" t="str">
            <v>M5: grid power + DG + battery      </v>
          </cell>
          <cell r="EJ442">
            <v>15</v>
          </cell>
          <cell r="EK442">
            <v>42149</v>
          </cell>
          <cell r="EL442">
            <v>42147</v>
          </cell>
          <cell r="EM442">
            <v>42150</v>
          </cell>
          <cell r="EN442">
            <v>42150</v>
          </cell>
          <cell r="EQ442">
            <v>42159</v>
          </cell>
          <cell r="ER442">
            <v>42159</v>
          </cell>
          <cell r="ES442">
            <v>42159</v>
          </cell>
          <cell r="ET442">
            <v>42165</v>
          </cell>
          <cell r="EU442">
            <v>42165</v>
          </cell>
          <cell r="EW442">
            <v>40</v>
          </cell>
          <cell r="EX442">
            <v>42173</v>
          </cell>
          <cell r="EY442">
            <v>42172</v>
          </cell>
          <cell r="EZ442">
            <v>42169</v>
          </cell>
          <cell r="FA442">
            <v>42163</v>
          </cell>
          <cell r="FB442">
            <v>42171</v>
          </cell>
          <cell r="FC442">
            <v>42163</v>
          </cell>
          <cell r="FD442">
            <v>41931</v>
          </cell>
          <cell r="FE442">
            <v>42179</v>
          </cell>
          <cell r="FF442">
            <v>41938</v>
          </cell>
          <cell r="FH442">
            <v>41940</v>
          </cell>
          <cell r="FJ442">
            <v>41943</v>
          </cell>
          <cell r="FN442">
            <v>41947</v>
          </cell>
          <cell r="FP442">
            <v>41949</v>
          </cell>
          <cell r="FR442">
            <v>41963</v>
          </cell>
          <cell r="FU442">
            <v>42173</v>
          </cell>
          <cell r="FV442">
            <v>42172</v>
          </cell>
          <cell r="FW442">
            <v>42173</v>
          </cell>
          <cell r="FX442">
            <v>42165</v>
          </cell>
          <cell r="FY442" t="str">
            <v>CFVL</v>
          </cell>
          <cell r="FZ442">
            <v>42164</v>
          </cell>
          <cell r="GA442">
            <v>42166</v>
          </cell>
          <cell r="GB442">
            <v>42166</v>
          </cell>
          <cell r="GC442">
            <v>42166</v>
          </cell>
          <cell r="GD442">
            <v>42167</v>
          </cell>
          <cell r="GE442">
            <v>42167</v>
          </cell>
          <cell r="GF442">
            <v>42169</v>
          </cell>
          <cell r="GG442">
            <v>42168</v>
          </cell>
          <cell r="GH442">
            <v>42168</v>
          </cell>
          <cell r="GI442">
            <v>42246</v>
          </cell>
          <cell r="GJ442" t="str">
            <v>24-2015</v>
          </cell>
          <cell r="GK442">
            <v>42168</v>
          </cell>
          <cell r="GN442" t="str">
            <v>ERICSSON</v>
          </cell>
          <cell r="GP442">
            <v>42201</v>
          </cell>
          <cell r="HD442">
            <v>1</v>
          </cell>
        </row>
        <row r="443">
          <cell r="A443" t="str">
            <v>NP0009</v>
          </cell>
          <cell r="B443" t="str">
            <v>ANNP_0215</v>
          </cell>
          <cell r="C443" t="str">
            <v>Apollo</v>
          </cell>
          <cell r="D443" t="str">
            <v>Chris Thomson</v>
          </cell>
          <cell r="F443" t="str">
            <v>Mya Kyauk</v>
          </cell>
          <cell r="G443" t="str">
            <v>Thandar Htoo</v>
          </cell>
          <cell r="H443" t="str">
            <v>WHITE</v>
          </cell>
          <cell r="I443" t="str">
            <v>North</v>
          </cell>
          <cell r="J443" t="str">
            <v>96.118991</v>
          </cell>
          <cell r="K443" t="str">
            <v>19.706539</v>
          </cell>
          <cell r="L443" t="str">
            <v>Urban</v>
          </cell>
          <cell r="M443" t="str">
            <v>Naypyitaw</v>
          </cell>
          <cell r="N443" t="str">
            <v>Det Khi Na Thi Ri</v>
          </cell>
          <cell r="O443" t="str">
            <v>Det Khi Na Thi Ri</v>
          </cell>
          <cell r="P443" t="str">
            <v>Naypyitaw</v>
          </cell>
          <cell r="Q443" t="str">
            <v>10</v>
          </cell>
          <cell r="R443" t="str">
            <v>Det Khi Na Thi Ri</v>
          </cell>
          <cell r="S443" t="str">
            <v>329</v>
          </cell>
          <cell r="T443" t="str">
            <v>GSM+UMTS</v>
          </cell>
          <cell r="U443" t="str">
            <v>NAY_N002</v>
          </cell>
          <cell r="V443" t="str">
            <v>3</v>
          </cell>
          <cell r="W443" t="str">
            <v>Ph2-Priority</v>
          </cell>
          <cell r="X443" t="str">
            <v>30</v>
          </cell>
          <cell r="Y443" t="str">
            <v>32</v>
          </cell>
          <cell r="Z443" t="str">
            <v>GBT</v>
          </cell>
          <cell r="AA443" t="str">
            <v>250</v>
          </cell>
          <cell r="AB443" t="str">
            <v>Access</v>
          </cell>
          <cell r="AC443" t="str">
            <v>Class B</v>
          </cell>
          <cell r="AD443" t="str">
            <v>1323</v>
          </cell>
          <cell r="AE443" t="str">
            <v>1588</v>
          </cell>
          <cell r="AF443" t="str">
            <v>1</v>
          </cell>
          <cell r="AG443" t="str">
            <v>NP0072</v>
          </cell>
          <cell r="AH443" t="str">
            <v>NP0071</v>
          </cell>
          <cell r="AI443" t="str">
            <v>NP0062</v>
          </cell>
          <cell r="BC443" t="str">
            <v>NP0071</v>
          </cell>
          <cell r="BD443" t="str">
            <v>7</v>
          </cell>
          <cell r="BE443" t="str">
            <v>Route 7 Bago - Pyawbwe</v>
          </cell>
          <cell r="BF443">
            <v>41760</v>
          </cell>
          <cell r="BG443">
            <v>41898</v>
          </cell>
          <cell r="BH443" t="str">
            <v>Camusat NPT</v>
          </cell>
          <cell r="BJ443">
            <v>42128</v>
          </cell>
          <cell r="BK443">
            <v>41628</v>
          </cell>
          <cell r="BL443">
            <v>42133</v>
          </cell>
          <cell r="BM443">
            <v>42048</v>
          </cell>
          <cell r="BN443" t="str">
            <v>Govt. Land</v>
          </cell>
          <cell r="BO443">
            <v>41718</v>
          </cell>
          <cell r="BP443" t="str">
            <v>Submit to MCIT</v>
          </cell>
          <cell r="BQ443" t="str">
            <v>NayPyiTaw International Airport</v>
          </cell>
          <cell r="BR443" t="str">
            <v>The search ring is inside Yadanar Theingha Hotel &amp; Golden Myanmar Hotel compounds.</v>
          </cell>
          <cell r="BT443">
            <v>430</v>
          </cell>
          <cell r="BU443">
            <v>42138</v>
          </cell>
          <cell r="BV443">
            <v>42058</v>
          </cell>
          <cell r="BW443" t="str">
            <v>96.110504</v>
          </cell>
          <cell r="BX443" t="str">
            <v>19.707199</v>
          </cell>
          <cell r="BY443" t="str">
            <v>C1</v>
          </cell>
          <cell r="BZ443" t="str">
            <v>At the back of ILBC school, Near Zabu Thiri Hotel,Zabu Thiri Township, Nay Pyi Taw.</v>
          </cell>
          <cell r="CA443" t="str">
            <v>U Aung Win(NCDC Officer);( Owner information and phone number: None );(NCDC approved location without SAR pdf)</v>
          </cell>
          <cell r="CB443" t="str">
            <v>03 Mar 15 : C1 TSSR has been approved(RND approved with 44m / 45m GBT. This site is 24m far from the SAR's Lat Long.);24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 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;18 Feb 15 : C1 location rejected(This candidate is 950m far from the nominal we cannot accept for NP0009.);18 Feb 15 : C1 Coordinate sent by mailing  from Apollo since this site is NCDC approved location without SAR pdf.</v>
          </cell>
          <cell r="CE443">
            <v>1</v>
          </cell>
          <cell r="CF443">
            <v>42139</v>
          </cell>
          <cell r="CG443">
            <v>42059</v>
          </cell>
          <cell r="CH443">
            <v>42141</v>
          </cell>
          <cell r="CJ443">
            <v>42060</v>
          </cell>
          <cell r="CK443" t="str">
            <v>44</v>
          </cell>
          <cell r="CL443" t="str">
            <v>47</v>
          </cell>
          <cell r="CM443" t="str">
            <v>45</v>
          </cell>
          <cell r="CN443">
            <v>3</v>
          </cell>
          <cell r="CO443">
            <v>42144</v>
          </cell>
          <cell r="CP443">
            <v>42062</v>
          </cell>
          <cell r="CQ443" t="str">
            <v>M1: grid power + battery</v>
          </cell>
          <cell r="CR443">
            <v>4</v>
          </cell>
          <cell r="CS443">
            <v>42145</v>
          </cell>
          <cell r="CT443">
            <v>42066</v>
          </cell>
          <cell r="CU443" t="str">
            <v>NP0009</v>
          </cell>
          <cell r="DH443">
            <v>87</v>
          </cell>
          <cell r="DI443">
            <v>42155</v>
          </cell>
          <cell r="DJ443">
            <v>42153</v>
          </cell>
          <cell r="DK443">
            <v>42152</v>
          </cell>
          <cell r="DM443">
            <v>42156</v>
          </cell>
          <cell r="DO443">
            <v>0</v>
          </cell>
          <cell r="DP443">
            <v>42155</v>
          </cell>
          <cell r="DQ443">
            <v>42153</v>
          </cell>
          <cell r="DR443" t="str">
            <v>NCDC</v>
          </cell>
          <cell r="DT443">
            <v>80</v>
          </cell>
          <cell r="DU443">
            <v>42170</v>
          </cell>
          <cell r="DW443">
            <v>0</v>
          </cell>
          <cell r="DY443">
            <v>42132</v>
          </cell>
          <cell r="DZ443">
            <v>42132</v>
          </cell>
          <cell r="EA443" t="str">
            <v>Camusat</v>
          </cell>
          <cell r="EI443" t="str">
            <v>M5: grid power + DG + battery      </v>
          </cell>
          <cell r="EJ443">
            <v>15</v>
          </cell>
          <cell r="EK443">
            <v>42147</v>
          </cell>
          <cell r="EL443">
            <v>42147</v>
          </cell>
          <cell r="EM443">
            <v>42148</v>
          </cell>
          <cell r="EN443">
            <v>42150</v>
          </cell>
          <cell r="EQ443">
            <v>42155</v>
          </cell>
          <cell r="ER443">
            <v>42155</v>
          </cell>
          <cell r="ES443">
            <v>42159</v>
          </cell>
          <cell r="ET443">
            <v>42159</v>
          </cell>
          <cell r="EU443">
            <v>42159</v>
          </cell>
          <cell r="EW443">
            <v>40</v>
          </cell>
          <cell r="EX443">
            <v>42169</v>
          </cell>
          <cell r="EY443">
            <v>42172</v>
          </cell>
          <cell r="EZ443">
            <v>42165</v>
          </cell>
          <cell r="FA443">
            <v>42163</v>
          </cell>
          <cell r="FB443">
            <v>42167</v>
          </cell>
          <cell r="FC443">
            <v>42163</v>
          </cell>
          <cell r="FD443">
            <v>41931</v>
          </cell>
          <cell r="FE443">
            <v>42179</v>
          </cell>
          <cell r="FF443">
            <v>41938</v>
          </cell>
          <cell r="FH443">
            <v>41940</v>
          </cell>
          <cell r="FJ443">
            <v>41943</v>
          </cell>
          <cell r="FN443">
            <v>41947</v>
          </cell>
          <cell r="FP443">
            <v>41949</v>
          </cell>
          <cell r="FR443">
            <v>41963</v>
          </cell>
          <cell r="FU443">
            <v>42169</v>
          </cell>
          <cell r="FV443">
            <v>42172</v>
          </cell>
          <cell r="FW443">
            <v>42169</v>
          </cell>
          <cell r="FX443">
            <v>42165</v>
          </cell>
          <cell r="FY443" t="str">
            <v>CFVL</v>
          </cell>
          <cell r="FZ443">
            <v>42164</v>
          </cell>
          <cell r="GA443">
            <v>42166</v>
          </cell>
          <cell r="GB443">
            <v>42166</v>
          </cell>
          <cell r="GC443">
            <v>42166</v>
          </cell>
          <cell r="GD443">
            <v>42167</v>
          </cell>
          <cell r="GE443">
            <v>42167</v>
          </cell>
          <cell r="GF443">
            <v>42143</v>
          </cell>
          <cell r="GG443">
            <v>42169</v>
          </cell>
          <cell r="GH443">
            <v>42169</v>
          </cell>
          <cell r="GI443">
            <v>42033</v>
          </cell>
          <cell r="GJ443" t="str">
            <v>25-2015</v>
          </cell>
          <cell r="GK443">
            <v>42169</v>
          </cell>
          <cell r="GN443" t="str">
            <v>ERICSSON</v>
          </cell>
          <cell r="GU443" t="str">
            <v xml:space="preserve">		</v>
          </cell>
          <cell r="HD443">
            <v>1</v>
          </cell>
        </row>
        <row r="444">
          <cell r="A444" t="str">
            <v>NP0030</v>
          </cell>
          <cell r="B444" t="str">
            <v>ANNP_0264</v>
          </cell>
          <cell r="C444" t="str">
            <v>Apollo</v>
          </cell>
          <cell r="D444" t="str">
            <v>Chris Thomson</v>
          </cell>
          <cell r="F444" t="str">
            <v>Mya Kyauk</v>
          </cell>
          <cell r="G444" t="str">
            <v>Kaung Htet</v>
          </cell>
          <cell r="H444" t="str">
            <v>WHITE</v>
          </cell>
          <cell r="I444" t="str">
            <v>North</v>
          </cell>
          <cell r="J444" t="str">
            <v>96.139773</v>
          </cell>
          <cell r="K444" t="str">
            <v>19.762066</v>
          </cell>
          <cell r="L444" t="str">
            <v>Urban</v>
          </cell>
          <cell r="M444" t="str">
            <v>Naypyitaw</v>
          </cell>
          <cell r="N444" t="str">
            <v>Za Bu Thi Ri</v>
          </cell>
          <cell r="O444" t="str">
            <v>Za Bu Thi Ri</v>
          </cell>
          <cell r="P444" t="str">
            <v>Naypyitaw</v>
          </cell>
          <cell r="Q444" t="str">
            <v>10</v>
          </cell>
          <cell r="R444" t="str">
            <v>Za Bu Thi Ri</v>
          </cell>
          <cell r="S444" t="str">
            <v>328</v>
          </cell>
          <cell r="T444" t="str">
            <v>GSM+UMTS</v>
          </cell>
          <cell r="U444" t="str">
            <v>NAY_N002</v>
          </cell>
          <cell r="V444" t="str">
            <v>3</v>
          </cell>
          <cell r="W444" t="str">
            <v>Ph2-Priority</v>
          </cell>
          <cell r="X444" t="str">
            <v>30</v>
          </cell>
          <cell r="Y444" t="str">
            <v>32</v>
          </cell>
          <cell r="Z444" t="str">
            <v>GBT</v>
          </cell>
          <cell r="AA444" t="str">
            <v>250</v>
          </cell>
          <cell r="AB444" t="str">
            <v>Access</v>
          </cell>
          <cell r="AC444" t="str">
            <v>Class B</v>
          </cell>
          <cell r="AD444" t="str">
            <v>1323</v>
          </cell>
          <cell r="AE444" t="str">
            <v>1588</v>
          </cell>
          <cell r="AF444" t="str">
            <v>1</v>
          </cell>
          <cell r="AG444" t="str">
            <v>NP0034</v>
          </cell>
          <cell r="AH444" t="str">
            <v>NP0071</v>
          </cell>
          <cell r="AI444" t="str">
            <v>NP0117</v>
          </cell>
          <cell r="AJ444" t="str">
            <v>NP0119</v>
          </cell>
          <cell r="AK444" t="str">
            <v>NP0020</v>
          </cell>
          <cell r="BC444" t="str">
            <v>NP0071</v>
          </cell>
          <cell r="BD444" t="str">
            <v>7</v>
          </cell>
          <cell r="BE444" t="str">
            <v>Route 7 Bago - Pyawbwe</v>
          </cell>
          <cell r="BF444">
            <v>41760</v>
          </cell>
          <cell r="BG444">
            <v>42008</v>
          </cell>
          <cell r="BH444" t="str">
            <v>Camusat NPT</v>
          </cell>
          <cell r="BJ444">
            <v>42154</v>
          </cell>
          <cell r="BK444">
            <v>41628</v>
          </cell>
          <cell r="BL444">
            <v>42159</v>
          </cell>
          <cell r="BM444">
            <v>42044</v>
          </cell>
          <cell r="BN444" t="str">
            <v>Govt. Land</v>
          </cell>
          <cell r="BO444">
            <v>41650</v>
          </cell>
          <cell r="BP444" t="str">
            <v>Submit to MCIT</v>
          </cell>
          <cell r="BQ444" t="str">
            <v>Ministry of forestry</v>
          </cell>
          <cell r="BT444">
            <v>426</v>
          </cell>
          <cell r="BU444">
            <v>42212</v>
          </cell>
          <cell r="BV444">
            <v>42054</v>
          </cell>
          <cell r="BW444" t="str">
            <v>96.14077</v>
          </cell>
          <cell r="BX444" t="str">
            <v>19.77041</v>
          </cell>
          <cell r="BY444" t="str">
            <v>C1</v>
          </cell>
          <cell r="BZ444" t="str">
            <v>NCDC approved site without SAR pdf.</v>
          </cell>
          <cell r="CA444" t="str">
            <v>Owner name and Phone number : None (NCDC approved site without SAR pdf.)</v>
          </cell>
          <cell r="CB444" t="str">
            <v>19 Feb 15 : C1 coordinate has been sent by mail from Apollo since that location is the NCDC approved witheout SAR pdf; 19 Feb 15 : C1  location approved as an option 1(As nominal falls in government housing and cannot get the candidates as prohibited by NCDC, NP0030_C01 approved according to justification from Telenor Radio and Tower Co.)</v>
          </cell>
          <cell r="CC444" t="str">
            <v>Government</v>
          </cell>
          <cell r="CE444">
            <v>0</v>
          </cell>
          <cell r="CF444">
            <v>42213</v>
          </cell>
          <cell r="CG444">
            <v>42054</v>
          </cell>
          <cell r="CH444">
            <v>42215</v>
          </cell>
          <cell r="CJ444">
            <v>42179</v>
          </cell>
          <cell r="CK444" t="str">
            <v>34.5</v>
          </cell>
          <cell r="CL444" t="str">
            <v>37</v>
          </cell>
          <cell r="CM444" t="str">
            <v>35</v>
          </cell>
          <cell r="CN444">
            <v>127</v>
          </cell>
          <cell r="CO444">
            <v>42218</v>
          </cell>
          <cell r="CP444">
            <v>42181</v>
          </cell>
          <cell r="CQ444" t="str">
            <v>M1: grid power + battery</v>
          </cell>
          <cell r="CR444">
            <v>1</v>
          </cell>
          <cell r="CS444">
            <v>42219</v>
          </cell>
          <cell r="CT444">
            <v>42182</v>
          </cell>
          <cell r="CU444" t="str">
            <v>NP0030</v>
          </cell>
          <cell r="DH444">
            <v>51</v>
          </cell>
          <cell r="DI444">
            <v>42229</v>
          </cell>
          <cell r="DK444">
            <v>42226</v>
          </cell>
          <cell r="DM444">
            <v>42230</v>
          </cell>
          <cell r="DO444">
            <v>0</v>
          </cell>
          <cell r="DP444">
            <v>42229</v>
          </cell>
          <cell r="DR444" t="str">
            <v>NCDC</v>
          </cell>
          <cell r="DT444">
            <v>0</v>
          </cell>
          <cell r="DU444">
            <v>42244</v>
          </cell>
          <cell r="DW444">
            <v>0</v>
          </cell>
          <cell r="DY444">
            <v>42230</v>
          </cell>
          <cell r="DZ444">
            <v>42184</v>
          </cell>
          <cell r="EA444" t="str">
            <v>Camusat</v>
          </cell>
          <cell r="ED444" t="str">
            <v>20Jul15 :KaungHtet: 17-Jul-2015: Pedestal casting is done and backfilling work is ongoing. Tower materials are at site.
06Jul15 :KaungHtet: Rebar work preparation for foundation slab is ongoing.</v>
          </cell>
          <cell r="EI444" t="str">
            <v>M5: grid power + DG + battery      </v>
          </cell>
          <cell r="EJ444">
            <v>15</v>
          </cell>
          <cell r="EK444">
            <v>42245</v>
          </cell>
          <cell r="EL444">
            <v>42199</v>
          </cell>
          <cell r="EM444">
            <v>42246</v>
          </cell>
          <cell r="EN444">
            <v>42200</v>
          </cell>
          <cell r="EQ444">
            <v>42253</v>
          </cell>
          <cell r="ER444">
            <v>42206</v>
          </cell>
          <cell r="ES444">
            <v>42209</v>
          </cell>
          <cell r="ET444">
            <v>42213</v>
          </cell>
          <cell r="EU444">
            <v>42213</v>
          </cell>
          <cell r="EW444">
            <v>49</v>
          </cell>
          <cell r="EX444">
            <v>42210</v>
          </cell>
          <cell r="EZ444">
            <v>42263</v>
          </cell>
          <cell r="FA444">
            <v>42212</v>
          </cell>
          <cell r="FB444">
            <v>42265</v>
          </cell>
          <cell r="FC444">
            <v>42213</v>
          </cell>
          <cell r="FD444">
            <v>41932</v>
          </cell>
          <cell r="FE444">
            <v>42193</v>
          </cell>
          <cell r="FF444">
            <v>41939</v>
          </cell>
          <cell r="FH444">
            <v>41941</v>
          </cell>
          <cell r="FJ444">
            <v>41944</v>
          </cell>
          <cell r="FN444">
            <v>41948</v>
          </cell>
          <cell r="FP444">
            <v>41950</v>
          </cell>
          <cell r="FR444">
            <v>41964</v>
          </cell>
          <cell r="FU444">
            <v>42267</v>
          </cell>
          <cell r="FV444">
            <v>42215</v>
          </cell>
          <cell r="FW444">
            <v>42267</v>
          </cell>
          <cell r="FX444">
            <v>42213</v>
          </cell>
          <cell r="FY444" t="str">
            <v>CFVL</v>
          </cell>
          <cell r="FZ444">
            <v>42213</v>
          </cell>
          <cell r="GA444">
            <v>42216</v>
          </cell>
          <cell r="GB444">
            <v>42218</v>
          </cell>
          <cell r="GC444">
            <v>42219</v>
          </cell>
          <cell r="GD444">
            <v>42219</v>
          </cell>
          <cell r="GE444">
            <v>42219</v>
          </cell>
          <cell r="GF444">
            <v>42102</v>
          </cell>
          <cell r="GG444">
            <v>42219</v>
          </cell>
          <cell r="GH444">
            <v>42219</v>
          </cell>
          <cell r="GI444">
            <v>41900</v>
          </cell>
          <cell r="GJ444" t="str">
            <v>36-2015</v>
          </cell>
          <cell r="GK444">
            <v>42219</v>
          </cell>
          <cell r="GN444" t="str">
            <v>ERICSSON</v>
          </cell>
          <cell r="GU444" t="str">
            <v xml:space="preserve">		</v>
          </cell>
          <cell r="HD444">
            <v>1</v>
          </cell>
        </row>
        <row r="445">
          <cell r="A445" t="str">
            <v>NP0051</v>
          </cell>
          <cell r="B445" t="str">
            <v>ANNP_0234</v>
          </cell>
          <cell r="C445" t="str">
            <v>Apollo</v>
          </cell>
          <cell r="D445" t="str">
            <v>Chris Thomson</v>
          </cell>
          <cell r="F445" t="str">
            <v>Mya Kyauk</v>
          </cell>
          <cell r="G445" t="str">
            <v>Thandar Htoo</v>
          </cell>
          <cell r="H445" t="str">
            <v>RED</v>
          </cell>
          <cell r="I445" t="str">
            <v>North</v>
          </cell>
          <cell r="J445" t="str">
            <v>96.214294</v>
          </cell>
          <cell r="K445" t="str">
            <v>19.603829</v>
          </cell>
          <cell r="L445" t="str">
            <v>Suburban</v>
          </cell>
          <cell r="M445" t="str">
            <v>Naypyitaw</v>
          </cell>
          <cell r="N445" t="str">
            <v>Lewe Township</v>
          </cell>
          <cell r="O445" t="str">
            <v>Lewe</v>
          </cell>
          <cell r="P445" t="str">
            <v>Naypyitaw</v>
          </cell>
          <cell r="Q445" t="str">
            <v>10</v>
          </cell>
          <cell r="R445" t="str">
            <v>Lewe</v>
          </cell>
          <cell r="S445" t="str">
            <v>324</v>
          </cell>
          <cell r="T445" t="str">
            <v>GSM+UMTS</v>
          </cell>
          <cell r="U445" t="str">
            <v>NAY_N001</v>
          </cell>
          <cell r="V445" t="str">
            <v>3</v>
          </cell>
          <cell r="W445" t="str">
            <v>Ph2-Priority</v>
          </cell>
          <cell r="X445" t="str">
            <v>40</v>
          </cell>
          <cell r="Y445" t="str">
            <v>42</v>
          </cell>
          <cell r="Z445" t="str">
            <v>GBT</v>
          </cell>
          <cell r="AA445" t="str">
            <v>250</v>
          </cell>
          <cell r="AB445" t="str">
            <v>Access</v>
          </cell>
          <cell r="AC445" t="str">
            <v>Class B</v>
          </cell>
          <cell r="AD445" t="str">
            <v>1590</v>
          </cell>
          <cell r="AE445" t="str">
            <v>1955</v>
          </cell>
          <cell r="AF445" t="str">
            <v>2</v>
          </cell>
          <cell r="AG445" t="str">
            <v>NP0046</v>
          </cell>
          <cell r="AH445" t="str">
            <v>NP0070</v>
          </cell>
          <cell r="AI445" t="str">
            <v>NP0062</v>
          </cell>
          <cell r="BC445" t="str">
            <v>NP0062</v>
          </cell>
          <cell r="BD445" t="str">
            <v>7</v>
          </cell>
          <cell r="BE445" t="str">
            <v>Route 7 Bago - Pyawbwe</v>
          </cell>
          <cell r="BF445">
            <v>41760</v>
          </cell>
          <cell r="BG445">
            <v>41895</v>
          </cell>
          <cell r="BH445" t="str">
            <v>KTT</v>
          </cell>
          <cell r="BJ445">
            <v>42152</v>
          </cell>
          <cell r="BK445">
            <v>41649</v>
          </cell>
          <cell r="BL445">
            <v>42157</v>
          </cell>
          <cell r="BM445">
            <v>42177</v>
          </cell>
          <cell r="BN445" t="str">
            <v>Govt. Land</v>
          </cell>
          <cell r="BO445">
            <v>41720</v>
          </cell>
          <cell r="BP445" t="str">
            <v>Submit to MCIT</v>
          </cell>
          <cell r="BQ445" t="str">
            <v>NayPyiTaw International Airport</v>
          </cell>
          <cell r="BT445">
            <v>584</v>
          </cell>
          <cell r="BU445">
            <v>42191</v>
          </cell>
          <cell r="BV445">
            <v>42182</v>
          </cell>
          <cell r="BW445" t="str">
            <v>97.18518</v>
          </cell>
          <cell r="BX445" t="str">
            <v>19.69292</v>
          </cell>
          <cell r="BY445" t="str">
            <v>Reject</v>
          </cell>
          <cell r="BZ445" t="str">
            <v>Htal khalar village group, laikaw town ship</v>
          </cell>
          <cell r="CA445" t="str">
            <v>U ku Reh 09428006685</v>
          </cell>
          <cell r="CB445" t="str">
            <v>1 July 15 : C2 SAR rejected(RND rejected because this site is 29.64km far from the nominal point. Please find the new candidate near the nominal point within the search ring.);30 June 15 : C2 SAR sub;16Dec14: Mya kyauk: Department of Civil Aviation cannot allow to build due to Physical Obstruction to respective Airport.</v>
          </cell>
          <cell r="CC445" t="str">
            <v>Residential</v>
          </cell>
          <cell r="CE445">
            <v>0</v>
          </cell>
          <cell r="CF445">
            <v>42192</v>
          </cell>
          <cell r="CG445">
            <v>42184</v>
          </cell>
          <cell r="CH445">
            <v>42194</v>
          </cell>
          <cell r="CJ445">
            <v>42192</v>
          </cell>
          <cell r="CK445" t="str">
            <v>35</v>
          </cell>
          <cell r="CL445" t="str">
            <v>37</v>
          </cell>
          <cell r="CM445" t="str">
            <v>35</v>
          </cell>
          <cell r="CN445">
            <v>0</v>
          </cell>
          <cell r="CO445">
            <v>42197</v>
          </cell>
          <cell r="CP445">
            <v>42194</v>
          </cell>
          <cell r="CQ445" t="str">
            <v>M1: grid power + battery</v>
          </cell>
          <cell r="CR445">
            <v>0</v>
          </cell>
          <cell r="CS445">
            <v>42198</v>
          </cell>
          <cell r="CT445">
            <v>42195</v>
          </cell>
          <cell r="CU445" t="str">
            <v>NP0051</v>
          </cell>
          <cell r="DH445">
            <v>0</v>
          </cell>
          <cell r="DI445">
            <v>42208</v>
          </cell>
          <cell r="DK445">
            <v>42205</v>
          </cell>
          <cell r="DM445">
            <v>42209</v>
          </cell>
          <cell r="DO445">
            <v>0</v>
          </cell>
          <cell r="DP445">
            <v>42208</v>
          </cell>
          <cell r="DR445" t="str">
            <v>NCDC</v>
          </cell>
          <cell r="DT445">
            <v>0</v>
          </cell>
          <cell r="DU445">
            <v>42223</v>
          </cell>
          <cell r="DW445">
            <v>0</v>
          </cell>
          <cell r="DY445">
            <v>42209</v>
          </cell>
          <cell r="DZ445">
            <v>42201</v>
          </cell>
          <cell r="EA445" t="str">
            <v>Leadcom</v>
          </cell>
          <cell r="ED445" t="str">
            <v>10Aug15 :PaingThu.Soe: 7-8-15 Column done.Tower on site.Backfilling on going.
03Aug15 :PaingThu.Soe: 29-7-15 Footing casting on going.</v>
          </cell>
          <cell r="EE445" t="str">
            <v xml:space="preserve">10 Aug 15:Rain affected_Progress affected; 3-Aug-15: On going slow progress								</v>
          </cell>
          <cell r="EJ445">
            <v>0</v>
          </cell>
          <cell r="EK445">
            <v>42226</v>
          </cell>
          <cell r="EL445">
            <v>42217</v>
          </cell>
          <cell r="EM445">
            <v>42227</v>
          </cell>
          <cell r="EN445">
            <v>42219</v>
          </cell>
          <cell r="EQ445">
            <v>42236</v>
          </cell>
          <cell r="ER445">
            <v>42230</v>
          </cell>
          <cell r="EW445">
            <v>0</v>
          </cell>
          <cell r="EX445">
            <v>42216</v>
          </cell>
          <cell r="EZ445">
            <v>42246</v>
          </cell>
          <cell r="FB445">
            <v>42248</v>
          </cell>
          <cell r="FD445">
            <v>41934</v>
          </cell>
          <cell r="FF445">
            <v>41941</v>
          </cell>
          <cell r="FH445">
            <v>41943</v>
          </cell>
          <cell r="FJ445">
            <v>41946</v>
          </cell>
          <cell r="FN445">
            <v>41950</v>
          </cell>
          <cell r="FP445">
            <v>41952</v>
          </cell>
          <cell r="FR445">
            <v>41966</v>
          </cell>
          <cell r="FU445">
            <v>42250</v>
          </cell>
          <cell r="FW445">
            <v>42250</v>
          </cell>
          <cell r="FY445" t="str">
            <v>UT</v>
          </cell>
          <cell r="FZ445">
            <v>42234</v>
          </cell>
          <cell r="GF445">
            <v>41899</v>
          </cell>
          <cell r="GI445">
            <v>41895</v>
          </cell>
          <cell r="GJ445">
            <v>0</v>
          </cell>
          <cell r="GL445" t="str">
            <v>Equipment Required ::</v>
          </cell>
          <cell r="GN445" t="str">
            <v xml:space="preserve">ERICSSON </v>
          </cell>
          <cell r="GU445" t="str">
            <v xml:space="preserve">		</v>
          </cell>
          <cell r="HD445">
            <v>1</v>
          </cell>
        </row>
        <row r="446">
          <cell r="A446" t="str">
            <v>NP0130</v>
          </cell>
          <cell r="B446" t="str">
            <v>ANNP_0337</v>
          </cell>
          <cell r="C446" t="str">
            <v>Apollo</v>
          </cell>
          <cell r="D446" t="str">
            <v>Chris Thomson</v>
          </cell>
          <cell r="F446" t="str">
            <v>Mya Kyauk</v>
          </cell>
          <cell r="G446" t="str">
            <v>Thandar Htoo</v>
          </cell>
          <cell r="H446" t="str">
            <v>AMBER</v>
          </cell>
          <cell r="I446" t="str">
            <v>North</v>
          </cell>
          <cell r="J446" t="str">
            <v>95.889475</v>
          </cell>
          <cell r="K446" t="str">
            <v>19.948035</v>
          </cell>
          <cell r="L446" t="str">
            <v>Highway</v>
          </cell>
          <cell r="M446" t="str">
            <v>Naypyitaw</v>
          </cell>
          <cell r="N446" t="str">
            <v>Oke Ta Ra Thi Ri</v>
          </cell>
          <cell r="O446" t="str">
            <v>Oke Ta Ra Thi Ri</v>
          </cell>
          <cell r="P446" t="str">
            <v>Naypyitaw</v>
          </cell>
          <cell r="Q446" t="str">
            <v>10</v>
          </cell>
          <cell r="R446" t="str">
            <v>Oke Ta Ra Thi Ri</v>
          </cell>
          <cell r="S446" t="str">
            <v>330</v>
          </cell>
          <cell r="T446" t="str">
            <v>GSM+UMTS</v>
          </cell>
          <cell r="U446" t="str">
            <v>NAY_N006</v>
          </cell>
          <cell r="V446" t="str">
            <v>3</v>
          </cell>
          <cell r="W446" t="str">
            <v>Ph2-Priority</v>
          </cell>
          <cell r="X446" t="str">
            <v>55</v>
          </cell>
          <cell r="Y446" t="str">
            <v>57</v>
          </cell>
          <cell r="Z446" t="str">
            <v>GBT</v>
          </cell>
          <cell r="AA446" t="str">
            <v>500</v>
          </cell>
          <cell r="AB446" t="str">
            <v>Access</v>
          </cell>
          <cell r="AC446" t="str">
            <v>Class C</v>
          </cell>
          <cell r="AD446" t="str">
            <v>1146</v>
          </cell>
          <cell r="AE446" t="str">
            <v>1146</v>
          </cell>
          <cell r="AF446" t="str">
            <v>2</v>
          </cell>
          <cell r="AG446" t="str">
            <v>NP0113</v>
          </cell>
          <cell r="AH446" t="str">
            <v>NP0114</v>
          </cell>
          <cell r="AI446" t="str">
            <v>NP0117</v>
          </cell>
          <cell r="AJ446" t="str">
            <v>NP0119</v>
          </cell>
          <cell r="AK446" t="str">
            <v>NP0020</v>
          </cell>
          <cell r="BC446" t="str">
            <v>NP0020</v>
          </cell>
          <cell r="BE446" t="str">
            <v>NPT Metro</v>
          </cell>
          <cell r="BG446">
            <v>42025</v>
          </cell>
          <cell r="BH446" t="str">
            <v>Camusat</v>
          </cell>
          <cell r="BJ446">
            <v>42158</v>
          </cell>
          <cell r="BK446">
            <v>41661</v>
          </cell>
          <cell r="BL446">
            <v>42163</v>
          </cell>
          <cell r="BM446">
            <v>42178</v>
          </cell>
          <cell r="BN446" t="str">
            <v>Govt. Land</v>
          </cell>
          <cell r="BO446">
            <v>41718</v>
          </cell>
          <cell r="BP446" t="str">
            <v>Submit to MCIT</v>
          </cell>
          <cell r="BQ446" t="str">
            <v>Ministry of Forestry</v>
          </cell>
          <cell r="BT446">
            <v>529</v>
          </cell>
          <cell r="BU446">
            <v>42213</v>
          </cell>
          <cell r="BV446">
            <v>42190</v>
          </cell>
          <cell r="BW446" t="str">
            <v>95.88625</v>
          </cell>
          <cell r="BX446" t="str">
            <v>19.94601</v>
          </cell>
          <cell r="BY446" t="str">
            <v>C1</v>
          </cell>
          <cell r="BZ446" t="str">
            <v>Ministry of Forrestry</v>
          </cell>
          <cell r="CA446" t="str">
            <v>Foresrtry</v>
          </cell>
          <cell r="CB446" t="str">
            <v>12 Aug 15 : C1 TSSR sub(Gov't Site, Location was Moved 18 M from SAR); 7 July 15 : C1 SAR app;5 July 15 : C1 SAR sub:Candidate Nominated by Ministry of Forestry</v>
          </cell>
          <cell r="CC446" t="str">
            <v>Forestry</v>
          </cell>
          <cell r="CE446">
            <v>2</v>
          </cell>
          <cell r="CF446">
            <v>42214</v>
          </cell>
          <cell r="CG446">
            <v>42192</v>
          </cell>
          <cell r="CH446">
            <v>42216</v>
          </cell>
          <cell r="CJ446">
            <v>42226</v>
          </cell>
          <cell r="CK446" t="str">
            <v>55</v>
          </cell>
          <cell r="CL446" t="str">
            <v>57</v>
          </cell>
          <cell r="CM446" t="str">
            <v>60</v>
          </cell>
          <cell r="CN446">
            <v>36</v>
          </cell>
          <cell r="CO446">
            <v>42219</v>
          </cell>
          <cell r="CP446">
            <v>42228</v>
          </cell>
          <cell r="CQ446" t="str">
            <v>M4: solar + DG + battery</v>
          </cell>
          <cell r="CR446">
            <v>5</v>
          </cell>
          <cell r="CS446">
            <v>42220</v>
          </cell>
          <cell r="CT446">
            <v>42234</v>
          </cell>
          <cell r="CU446" t="str">
            <v>NP0130</v>
          </cell>
          <cell r="DH446">
            <v>0</v>
          </cell>
          <cell r="DI446">
            <v>42230</v>
          </cell>
          <cell r="DJ446">
            <v>42192</v>
          </cell>
          <cell r="DK446">
            <v>42227</v>
          </cell>
          <cell r="DL446">
            <v>42173</v>
          </cell>
          <cell r="DM446">
            <v>42231</v>
          </cell>
          <cell r="DN446">
            <v>42194</v>
          </cell>
          <cell r="DO446">
            <v>0</v>
          </cell>
          <cell r="DP446">
            <v>42230</v>
          </cell>
          <cell r="DQ446">
            <v>42192</v>
          </cell>
          <cell r="DR446" t="str">
            <v>NCDC</v>
          </cell>
          <cell r="DT446">
            <v>0</v>
          </cell>
          <cell r="DU446">
            <v>42245</v>
          </cell>
          <cell r="DW446">
            <v>0</v>
          </cell>
          <cell r="DY446">
            <v>42231</v>
          </cell>
          <cell r="DZ446">
            <v>42230</v>
          </cell>
          <cell r="EA446" t="str">
            <v>Camusat</v>
          </cell>
          <cell r="EB446">
            <v>42206</v>
          </cell>
          <cell r="ED446" t="str">
            <v xml:space="preserve">13Aug15 :KyawZay.Yar: Excavation done.Pouring lean concrete done.Pumping the water out due to rain.
</v>
          </cell>
          <cell r="EE446" t="str">
            <v xml:space="preserve">10 Aug 15:Flood affected_Hold-No access; 21-Jul-15:Flooded access or site is flooded_ we canÆt proceed to this site								</v>
          </cell>
          <cell r="EJ446">
            <v>3</v>
          </cell>
          <cell r="EK446">
            <v>42253</v>
          </cell>
          <cell r="EM446">
            <v>42254</v>
          </cell>
          <cell r="EQ446">
            <v>42266</v>
          </cell>
          <cell r="EW446">
            <v>3</v>
          </cell>
          <cell r="EX446">
            <v>42280</v>
          </cell>
          <cell r="EZ446">
            <v>42276</v>
          </cell>
          <cell r="FB446">
            <v>42278</v>
          </cell>
          <cell r="FD446">
            <v>41933</v>
          </cell>
          <cell r="FF446">
            <v>41940</v>
          </cell>
          <cell r="FH446">
            <v>41942</v>
          </cell>
          <cell r="FJ446">
            <v>41945</v>
          </cell>
          <cell r="FN446">
            <v>41949</v>
          </cell>
          <cell r="FP446">
            <v>41951</v>
          </cell>
          <cell r="FR446">
            <v>41965</v>
          </cell>
          <cell r="FU446">
            <v>42280</v>
          </cell>
          <cell r="FW446">
            <v>42280</v>
          </cell>
          <cell r="FY446" t="str">
            <v>ITC</v>
          </cell>
          <cell r="GF446">
            <v>42193</v>
          </cell>
          <cell r="GI446">
            <v>42166</v>
          </cell>
          <cell r="GJ446">
            <v>0</v>
          </cell>
          <cell r="GN446" t="str">
            <v>ERICSSON</v>
          </cell>
          <cell r="HD446">
            <v>1</v>
          </cell>
        </row>
        <row r="447">
          <cell r="A447" t="str">
            <v>NP0148</v>
          </cell>
          <cell r="B447" t="str">
            <v>ANNP_0367</v>
          </cell>
          <cell r="C447" t="str">
            <v>Apollo</v>
          </cell>
          <cell r="D447" t="str">
            <v>Chris Thomson</v>
          </cell>
          <cell r="F447" t="str">
            <v>Mya Kyauk</v>
          </cell>
          <cell r="G447" t="str">
            <v>Kaung Htet</v>
          </cell>
          <cell r="H447" t="str">
            <v>RED</v>
          </cell>
          <cell r="I447" t="str">
            <v>North</v>
          </cell>
          <cell r="J447" t="str">
            <v>96.157532</v>
          </cell>
          <cell r="K447" t="str">
            <v>19.533008</v>
          </cell>
          <cell r="L447" t="str">
            <v>Rural</v>
          </cell>
          <cell r="M447" t="str">
            <v>Naypyitaw</v>
          </cell>
          <cell r="N447" t="str">
            <v>Lewe</v>
          </cell>
          <cell r="O447" t="str">
            <v>Lewe</v>
          </cell>
          <cell r="P447" t="str">
            <v>Naypyitaw</v>
          </cell>
          <cell r="Q447" t="str">
            <v>10</v>
          </cell>
          <cell r="R447" t="str">
            <v>Lewe</v>
          </cell>
          <cell r="S447" t="str">
            <v>324</v>
          </cell>
          <cell r="T447" t="str">
            <v>GSM+UMTS</v>
          </cell>
          <cell r="W447" t="str">
            <v>Ph2-Priority</v>
          </cell>
          <cell r="X447" t="str">
            <v>55</v>
          </cell>
          <cell r="Y447" t="str">
            <v>57</v>
          </cell>
          <cell r="Z447" t="str">
            <v>GBT</v>
          </cell>
          <cell r="AA447" t="str">
            <v>500</v>
          </cell>
          <cell r="AB447" t="str">
            <v>Access</v>
          </cell>
          <cell r="AC447" t="str">
            <v>Class C</v>
          </cell>
          <cell r="BE447" t="str">
            <v>Route 7 Bago - Pyawbwe</v>
          </cell>
          <cell r="BH447" t="str">
            <v>Leadcom</v>
          </cell>
          <cell r="BJ447">
            <v>42162</v>
          </cell>
          <cell r="BK447">
            <v>42166</v>
          </cell>
          <cell r="BL447">
            <v>42167</v>
          </cell>
          <cell r="BM447">
            <v>42155</v>
          </cell>
          <cell r="BT447">
            <v>67</v>
          </cell>
          <cell r="BU447">
            <v>42209</v>
          </cell>
          <cell r="BV447">
            <v>42165</v>
          </cell>
          <cell r="BW447" t="str">
            <v>95.22418</v>
          </cell>
          <cell r="BX447" t="str">
            <v>22.71815</v>
          </cell>
          <cell r="BY447" t="str">
            <v>Reject</v>
          </cell>
          <cell r="BZ447" t="str">
            <v>Mya Kan Thar Village, Depaeyin Township, Sagaing Division</v>
          </cell>
          <cell r="CA447" t="str">
            <v>Daw Mar Shwe</v>
          </cell>
          <cell r="CB447" t="str">
            <v>23 July 15 : C2 SAR reject ( According to TM radio suggestion, RND rejected because this site is 2.4 km far from nominal point and just 2 km far from on-air site NP0120. Please find the new candidate at 1.3km far form the nominal within 290 and 310 degree.)21 July 15:C2 SAR sub with justification;C1 was rejected due to distance from NP but NP is inside Military Land impossible to get approval. We are submitting C2 with the same distance of 2.5KM from Nominal.</v>
          </cell>
          <cell r="CC447" t="str">
            <v>Village</v>
          </cell>
          <cell r="CE447">
            <v>0</v>
          </cell>
          <cell r="CF447">
            <v>42210</v>
          </cell>
          <cell r="CG447">
            <v>42165</v>
          </cell>
          <cell r="CH447">
            <v>42212</v>
          </cell>
          <cell r="CJ447">
            <v>42193</v>
          </cell>
          <cell r="CK447" t="str">
            <v>55</v>
          </cell>
          <cell r="CL447" t="str">
            <v>57</v>
          </cell>
          <cell r="CM447" t="str">
            <v>60</v>
          </cell>
          <cell r="CN447">
            <v>0</v>
          </cell>
          <cell r="CO447">
            <v>42215</v>
          </cell>
          <cell r="CP447">
            <v>42195</v>
          </cell>
          <cell r="CQ447" t="str">
            <v>M4: solar + DG + battery</v>
          </cell>
          <cell r="CR447">
            <v>0</v>
          </cell>
          <cell r="CS447">
            <v>42216</v>
          </cell>
          <cell r="CT447">
            <v>42199</v>
          </cell>
          <cell r="CU447" t="str">
            <v>NP0148</v>
          </cell>
          <cell r="DH447">
            <v>0</v>
          </cell>
          <cell r="DI447">
            <v>42226</v>
          </cell>
          <cell r="DJ447">
            <v>42217</v>
          </cell>
          <cell r="DK447">
            <v>42223</v>
          </cell>
          <cell r="DL447">
            <v>42198</v>
          </cell>
          <cell r="DM447">
            <v>42227</v>
          </cell>
          <cell r="DN447">
            <v>42198</v>
          </cell>
          <cell r="DO447">
            <v>0</v>
          </cell>
          <cell r="DP447">
            <v>42226</v>
          </cell>
          <cell r="DQ447">
            <v>42217</v>
          </cell>
          <cell r="DT447">
            <v>0</v>
          </cell>
          <cell r="DU447">
            <v>42241</v>
          </cell>
          <cell r="DW447">
            <v>0</v>
          </cell>
          <cell r="DY447">
            <v>42227</v>
          </cell>
          <cell r="DZ447">
            <v>42209</v>
          </cell>
          <cell r="EA447" t="str">
            <v>Leadcom</v>
          </cell>
          <cell r="EB447">
            <v>42214</v>
          </cell>
          <cell r="EE447" t="str">
            <v xml:space="preserve">10 Aug 15:Flood affected_Hold-No access; 29-Jul-15:  Flooded access or site is flooded_ we canÆt proceed to this site for now								</v>
          </cell>
          <cell r="EJ447">
            <v>0</v>
          </cell>
          <cell r="EK447">
            <v>42249</v>
          </cell>
          <cell r="EM447">
            <v>42250</v>
          </cell>
          <cell r="EQ447">
            <v>42262</v>
          </cell>
          <cell r="EW447">
            <v>0</v>
          </cell>
          <cell r="EX447">
            <v>42294</v>
          </cell>
          <cell r="EZ447">
            <v>42272</v>
          </cell>
          <cell r="FB447">
            <v>42274</v>
          </cell>
          <cell r="FU447">
            <v>42276</v>
          </cell>
          <cell r="FW447">
            <v>42276</v>
          </cell>
          <cell r="FY447" t="str">
            <v>ABC</v>
          </cell>
          <cell r="GF447">
            <v>41932</v>
          </cell>
          <cell r="GI447">
            <v>42163</v>
          </cell>
          <cell r="GJ447">
            <v>0</v>
          </cell>
          <cell r="GN447" t="str">
            <v>ERICSSON</v>
          </cell>
          <cell r="HD447">
            <v>1</v>
          </cell>
        </row>
        <row r="448">
          <cell r="A448" t="str">
            <v>NP0254</v>
          </cell>
          <cell r="B448" t="str">
            <v>ANNP_0362</v>
          </cell>
          <cell r="C448" t="str">
            <v>Apollo</v>
          </cell>
          <cell r="D448" t="str">
            <v>Chris Thomson</v>
          </cell>
          <cell r="F448" t="str">
            <v>Mya Kyauk</v>
          </cell>
          <cell r="G448" t="str">
            <v>Kaung Htet</v>
          </cell>
          <cell r="H448" t="str">
            <v>AMBER</v>
          </cell>
          <cell r="I448" t="str">
            <v>North</v>
          </cell>
          <cell r="J448" t="str">
            <v>96.0589</v>
          </cell>
          <cell r="K448" t="str">
            <v>19.8168</v>
          </cell>
          <cell r="L448" t="str">
            <v>Rural</v>
          </cell>
          <cell r="M448" t="str">
            <v>Naypyitaw</v>
          </cell>
          <cell r="N448" t="str">
            <v>Oke Ta Ra Thi Ri</v>
          </cell>
          <cell r="O448" t="str">
            <v>Oke Ta Ra Thi Ri</v>
          </cell>
          <cell r="P448" t="str">
            <v>Naypyitaw</v>
          </cell>
          <cell r="Q448" t="str">
            <v>10</v>
          </cell>
          <cell r="R448" t="str">
            <v>Oke Ta Ra Thi Ri</v>
          </cell>
          <cell r="S448" t="str">
            <v>330</v>
          </cell>
          <cell r="T448" t="str">
            <v>GSM+UMTS</v>
          </cell>
          <cell r="W448" t="str">
            <v>Ph2-Priority</v>
          </cell>
          <cell r="X448" t="str">
            <v>45</v>
          </cell>
          <cell r="Y448" t="str">
            <v>47</v>
          </cell>
          <cell r="Z448" t="str">
            <v>GBT</v>
          </cell>
          <cell r="AA448" t="str">
            <v>250</v>
          </cell>
          <cell r="AB448" t="str">
            <v>Access</v>
          </cell>
          <cell r="AC448" t="str">
            <v>Class C</v>
          </cell>
          <cell r="BE448" t="str">
            <v>NPT Metro</v>
          </cell>
          <cell r="BH448" t="str">
            <v>Leadcom</v>
          </cell>
          <cell r="BJ448">
            <v>42162</v>
          </cell>
          <cell r="BK448">
            <v>42166</v>
          </cell>
          <cell r="BL448">
            <v>42167</v>
          </cell>
          <cell r="BM448">
            <v>42173</v>
          </cell>
          <cell r="BT448">
            <v>14</v>
          </cell>
          <cell r="BU448">
            <v>42177</v>
          </cell>
          <cell r="BV448">
            <v>42180</v>
          </cell>
          <cell r="BW448" t="str">
            <v>96.05773</v>
          </cell>
          <cell r="BX448" t="str">
            <v>19.81826</v>
          </cell>
          <cell r="BY448" t="str">
            <v>C1</v>
          </cell>
          <cell r="BZ448" t="str">
            <v>NO.4/41 KUNCHANSU VILLAGE, OAKTARATHIRI TSP, NAY PYI TAW</v>
          </cell>
          <cell r="CA448" t="str">
            <v>AY YAR MYO MYINT / 09-5103693/ 09-799187137</v>
          </cell>
          <cell r="CB448" t="str">
            <v>6 July 15 : C1 SAR approved as an option 1( RND approved with 45m / 47m GBT as priority 1. This site is 202m far from the nominal point.),(TND approved with 57M tower for NP0139(Young Tower)</v>
          </cell>
          <cell r="CC448" t="str">
            <v>Residential</v>
          </cell>
          <cell r="CE448">
            <v>11</v>
          </cell>
          <cell r="CF448">
            <v>42178</v>
          </cell>
          <cell r="CG448">
            <v>42191</v>
          </cell>
          <cell r="CH448">
            <v>42180</v>
          </cell>
          <cell r="CJ448">
            <v>42211</v>
          </cell>
          <cell r="CK448" t="str">
            <v>45</v>
          </cell>
          <cell r="CL448" t="str">
            <v>47</v>
          </cell>
          <cell r="CM448" t="str">
            <v>50</v>
          </cell>
          <cell r="CN448">
            <v>22</v>
          </cell>
          <cell r="CO448">
            <v>42183</v>
          </cell>
          <cell r="CP448">
            <v>42213</v>
          </cell>
          <cell r="CQ448" t="str">
            <v>M1: grid power + battery</v>
          </cell>
          <cell r="CR448">
            <v>1</v>
          </cell>
          <cell r="CS448">
            <v>42184</v>
          </cell>
          <cell r="CT448">
            <v>42214</v>
          </cell>
          <cell r="CU448" t="str">
            <v>NP0254</v>
          </cell>
          <cell r="DH448">
            <v>19</v>
          </cell>
          <cell r="DI448">
            <v>42194</v>
          </cell>
          <cell r="DK448">
            <v>42191</v>
          </cell>
          <cell r="DL448">
            <v>42242</v>
          </cell>
          <cell r="DM448">
            <v>42195</v>
          </cell>
          <cell r="DO448">
            <v>0</v>
          </cell>
          <cell r="DP448">
            <v>42194</v>
          </cell>
          <cell r="DT448">
            <v>0</v>
          </cell>
          <cell r="DU448">
            <v>42209</v>
          </cell>
          <cell r="DW448">
            <v>0</v>
          </cell>
          <cell r="DY448">
            <v>42195</v>
          </cell>
          <cell r="DZ448">
            <v>42223</v>
          </cell>
          <cell r="EA448" t="str">
            <v>Leadcom</v>
          </cell>
          <cell r="EJ448">
            <v>10</v>
          </cell>
          <cell r="EK448">
            <v>42212</v>
          </cell>
          <cell r="EL448">
            <v>42244</v>
          </cell>
          <cell r="EM448">
            <v>42213</v>
          </cell>
          <cell r="EQ448">
            <v>42222</v>
          </cell>
          <cell r="EW448">
            <v>10</v>
          </cell>
          <cell r="EX448">
            <v>42263</v>
          </cell>
          <cell r="EZ448">
            <v>42232</v>
          </cell>
          <cell r="FB448">
            <v>42234</v>
          </cell>
          <cell r="FU448">
            <v>42236</v>
          </cell>
          <cell r="FW448">
            <v>42236</v>
          </cell>
          <cell r="FY448" t="str">
            <v>CFVL</v>
          </cell>
          <cell r="GI448">
            <v>42277</v>
          </cell>
          <cell r="GJ448">
            <v>0</v>
          </cell>
          <cell r="GN448" t="str">
            <v>ERICSSON</v>
          </cell>
          <cell r="GO448">
            <v>42200</v>
          </cell>
          <cell r="GU448" t="str">
            <v xml:space="preserve">		</v>
          </cell>
          <cell r="HD448">
            <v>1</v>
          </cell>
        </row>
        <row r="449">
          <cell r="A449" t="str">
            <v>NP0255</v>
          </cell>
          <cell r="B449" t="str">
            <v>ANNP_0363</v>
          </cell>
          <cell r="C449" t="str">
            <v>Apollo</v>
          </cell>
          <cell r="D449" t="str">
            <v>Chris Thomson</v>
          </cell>
          <cell r="F449" t="str">
            <v>Mya Kyauk</v>
          </cell>
          <cell r="G449" t="str">
            <v>Kaung Htet</v>
          </cell>
          <cell r="H449" t="str">
            <v>RED</v>
          </cell>
          <cell r="I449" t="str">
            <v>North</v>
          </cell>
          <cell r="J449" t="str">
            <v>96.0458</v>
          </cell>
          <cell r="K449" t="str">
            <v>19.8379</v>
          </cell>
          <cell r="L449" t="str">
            <v>Rural</v>
          </cell>
          <cell r="M449" t="str">
            <v>Naypyitaw</v>
          </cell>
          <cell r="N449" t="str">
            <v>Oke Ta Ra Thi Ri</v>
          </cell>
          <cell r="O449" t="str">
            <v>Oke Ta Ra Thi Ri</v>
          </cell>
          <cell r="P449" t="str">
            <v>Naypyitaw</v>
          </cell>
          <cell r="Q449" t="str">
            <v>10</v>
          </cell>
          <cell r="R449" t="str">
            <v>Oke Ta Ra Thi Ri</v>
          </cell>
          <cell r="S449" t="str">
            <v>330</v>
          </cell>
          <cell r="T449" t="str">
            <v>GSM+UMTS</v>
          </cell>
          <cell r="W449" t="str">
            <v>Ph2-Priority</v>
          </cell>
          <cell r="X449" t="str">
            <v>45</v>
          </cell>
          <cell r="Y449" t="str">
            <v>47</v>
          </cell>
          <cell r="Z449" t="str">
            <v>GBT</v>
          </cell>
          <cell r="AA449" t="str">
            <v>250</v>
          </cell>
          <cell r="AB449" t="str">
            <v>Access</v>
          </cell>
          <cell r="AC449" t="str">
            <v>Class C</v>
          </cell>
          <cell r="BE449" t="str">
            <v>NPT Metro</v>
          </cell>
          <cell r="BH449" t="str">
            <v>Leadcom</v>
          </cell>
          <cell r="BJ449">
            <v>42162</v>
          </cell>
          <cell r="BK449">
            <v>42166</v>
          </cell>
          <cell r="BL449">
            <v>42167</v>
          </cell>
          <cell r="BM449">
            <v>42161</v>
          </cell>
          <cell r="BT449">
            <v>56</v>
          </cell>
          <cell r="BU449">
            <v>42177</v>
          </cell>
          <cell r="BV449">
            <v>42222</v>
          </cell>
          <cell r="BW449" t="str">
            <v>96.04597</v>
          </cell>
          <cell r="BX449" t="str">
            <v>19.8393</v>
          </cell>
          <cell r="BY449" t="str">
            <v>C2</v>
          </cell>
          <cell r="BZ449" t="str">
            <v>AYE MON VILLAGE,OAI CHIT KONE GROUP,TAT TOWNSHIP,NAYPYITAW.</v>
          </cell>
          <cell r="CA449" t="str">
            <v>U THAW ZIN;09-428118059</v>
          </cell>
          <cell r="CB449" t="str">
            <v>6 Aug 15 : C2 SAR sub(C1 was Approved but Owner refused to sign final lease contract);4 Aug 15 : C1 TSSR revision app; 30 Jul 15 : C1 TSSR  revision sub with 35 M Tower ;29 July 15: C1 SAR updated technical info released because  Tower height reduce to 35 M as per Apollo request;9 Jul 15 : C1 TSSR app;8 Jul 15 : C1 TSSR sub;26 Jun 15 : C1 SAR app;25 Jun 15 : C1 SAR sub</v>
          </cell>
          <cell r="CC449" t="str">
            <v>Residential</v>
          </cell>
          <cell r="CE449">
            <v>1</v>
          </cell>
          <cell r="CF449">
            <v>42178</v>
          </cell>
          <cell r="CG449">
            <v>42223</v>
          </cell>
          <cell r="CH449">
            <v>42180</v>
          </cell>
          <cell r="CJ449">
            <v>42184</v>
          </cell>
          <cell r="CK449" t="str">
            <v>45</v>
          </cell>
          <cell r="CL449" t="str">
            <v>47</v>
          </cell>
          <cell r="CM449" t="str">
            <v>50</v>
          </cell>
          <cell r="CN449">
            <v>10</v>
          </cell>
          <cell r="CO449">
            <v>42183</v>
          </cell>
          <cell r="CP449">
            <v>42186</v>
          </cell>
          <cell r="CQ449" t="str">
            <v>M1: grid power + battery</v>
          </cell>
          <cell r="CR449">
            <v>0</v>
          </cell>
          <cell r="CS449">
            <v>42184</v>
          </cell>
          <cell r="CT449">
            <v>42187</v>
          </cell>
          <cell r="CU449" t="str">
            <v>NP0255</v>
          </cell>
          <cell r="DH449">
            <v>0</v>
          </cell>
          <cell r="DI449">
            <v>42194</v>
          </cell>
          <cell r="DK449">
            <v>42191</v>
          </cell>
          <cell r="DL449">
            <v>42199</v>
          </cell>
          <cell r="DM449">
            <v>42195</v>
          </cell>
          <cell r="DN449">
            <v>42199</v>
          </cell>
          <cell r="DO449">
            <v>0</v>
          </cell>
          <cell r="DP449">
            <v>42194</v>
          </cell>
          <cell r="DT449">
            <v>0</v>
          </cell>
          <cell r="DU449">
            <v>42209</v>
          </cell>
          <cell r="DW449">
            <v>0</v>
          </cell>
          <cell r="DY449">
            <v>42195</v>
          </cell>
          <cell r="DZ449">
            <v>42206</v>
          </cell>
          <cell r="EA449" t="str">
            <v>Leadcom</v>
          </cell>
          <cell r="ED449" t="str">
            <v xml:space="preserve">12Aug15 :KaungHtet: Excavation stage. Three out of four trenches have been excavated and shored because of landslide. The rest one is under excavation.
</v>
          </cell>
          <cell r="EJ449">
            <v>0</v>
          </cell>
          <cell r="EK449">
            <v>42212</v>
          </cell>
          <cell r="EM449">
            <v>42213</v>
          </cell>
          <cell r="EQ449">
            <v>42222</v>
          </cell>
          <cell r="EW449">
            <v>0</v>
          </cell>
          <cell r="EX449">
            <v>42263</v>
          </cell>
          <cell r="EZ449">
            <v>42232</v>
          </cell>
          <cell r="FB449">
            <v>42234</v>
          </cell>
          <cell r="FU449">
            <v>42236</v>
          </cell>
          <cell r="FW449">
            <v>42236</v>
          </cell>
          <cell r="GI449">
            <v>42246</v>
          </cell>
          <cell r="GJ449">
            <v>0</v>
          </cell>
          <cell r="GN449" t="str">
            <v>ERICSSON</v>
          </cell>
          <cell r="HD449">
            <v>1</v>
          </cell>
        </row>
        <row r="450">
          <cell r="A450" t="str">
            <v>NP0257</v>
          </cell>
          <cell r="B450" t="str">
            <v>ANNP_0364</v>
          </cell>
          <cell r="C450" t="str">
            <v>Apollo</v>
          </cell>
          <cell r="D450" t="str">
            <v>Chris Thomson</v>
          </cell>
          <cell r="F450" t="str">
            <v>Mya Kyauk</v>
          </cell>
          <cell r="G450" t="str">
            <v>Kaung Htet</v>
          </cell>
          <cell r="H450" t="str">
            <v>RED</v>
          </cell>
          <cell r="I450" t="str">
            <v>North</v>
          </cell>
          <cell r="J450" t="str">
            <v>96.0274</v>
          </cell>
          <cell r="K450" t="str">
            <v>19.8502</v>
          </cell>
          <cell r="L450" t="str">
            <v>Rural</v>
          </cell>
          <cell r="M450" t="str">
            <v>Naypyitaw</v>
          </cell>
          <cell r="N450" t="str">
            <v>Oke Ta Ra Thi Ri</v>
          </cell>
          <cell r="O450" t="str">
            <v>Oke Ta Ra Thi Ri</v>
          </cell>
          <cell r="P450" t="str">
            <v>Naypyitaw</v>
          </cell>
          <cell r="Q450" t="str">
            <v>10</v>
          </cell>
          <cell r="R450" t="str">
            <v>Oke Ta Ra Thi Ri</v>
          </cell>
          <cell r="S450" t="str">
            <v>330</v>
          </cell>
          <cell r="T450" t="str">
            <v>GSM+UMTS</v>
          </cell>
          <cell r="W450" t="str">
            <v>Ph2-Priority</v>
          </cell>
          <cell r="X450" t="str">
            <v>45</v>
          </cell>
          <cell r="Y450" t="str">
            <v>47</v>
          </cell>
          <cell r="Z450" t="str">
            <v>GBT</v>
          </cell>
          <cell r="AA450" t="str">
            <v>500</v>
          </cell>
          <cell r="AB450" t="str">
            <v>Access</v>
          </cell>
          <cell r="AC450" t="str">
            <v>Class C</v>
          </cell>
          <cell r="BE450" t="str">
            <v>NPT Metro</v>
          </cell>
          <cell r="BH450" t="str">
            <v>Leadcom</v>
          </cell>
          <cell r="BJ450">
            <v>42162</v>
          </cell>
          <cell r="BK450">
            <v>42166</v>
          </cell>
          <cell r="BL450">
            <v>42167</v>
          </cell>
          <cell r="BM450">
            <v>42173</v>
          </cell>
          <cell r="BT450">
            <v>14</v>
          </cell>
          <cell r="BU450">
            <v>42177</v>
          </cell>
          <cell r="BV450">
            <v>42180</v>
          </cell>
          <cell r="BW450" t="str">
            <v>96.02708</v>
          </cell>
          <cell r="BX450" t="str">
            <v>19.84897</v>
          </cell>
          <cell r="BY450" t="str">
            <v>C1</v>
          </cell>
          <cell r="BZ450" t="str">
            <v>No(98),Kawe Shin Village,Min Kone Village Group,OakTaYaThiri Tsp,Nay Pyi Taw Divison.</v>
          </cell>
          <cell r="CA450" t="str">
            <v>Daw Aye Myaing , 09-261593640</v>
          </cell>
          <cell r="CB450" t="str">
            <v>02 Aug 15 : C1 TSSR revision sub with 35 M Tower;29 July 15: C1 SAR updated technical info released because  Tower height reduce to 35 M as per Apollo request;10 July 15 : C1 TSSR app;9 July 15 : C1 TSSR sub;26 Jun 15 : C1 SAR app;25 Jun 15: C1 SAR sub</v>
          </cell>
          <cell r="CC450" t="str">
            <v>Residential</v>
          </cell>
          <cell r="CE450">
            <v>1</v>
          </cell>
          <cell r="CF450">
            <v>42178</v>
          </cell>
          <cell r="CG450">
            <v>42181</v>
          </cell>
          <cell r="CH450">
            <v>42180</v>
          </cell>
          <cell r="CJ450">
            <v>42216</v>
          </cell>
          <cell r="CK450" t="str">
            <v>33</v>
          </cell>
          <cell r="CL450" t="str">
            <v>35</v>
          </cell>
          <cell r="CM450" t="str">
            <v>35</v>
          </cell>
          <cell r="CN450">
            <v>37</v>
          </cell>
          <cell r="CO450">
            <v>42183</v>
          </cell>
          <cell r="CP450">
            <v>42218</v>
          </cell>
          <cell r="CQ450" t="str">
            <v>M1: grid power + battery</v>
          </cell>
          <cell r="CR450">
            <v>2</v>
          </cell>
          <cell r="CS450">
            <v>42184</v>
          </cell>
          <cell r="CT450">
            <v>42220</v>
          </cell>
          <cell r="CU450" t="str">
            <v>NP0257</v>
          </cell>
          <cell r="DH450">
            <v>13</v>
          </cell>
          <cell r="DI450">
            <v>42194</v>
          </cell>
          <cell r="DK450">
            <v>42191</v>
          </cell>
          <cell r="DL450">
            <v>42220</v>
          </cell>
          <cell r="DM450">
            <v>42195</v>
          </cell>
          <cell r="DO450">
            <v>0</v>
          </cell>
          <cell r="DP450">
            <v>42194</v>
          </cell>
          <cell r="DT450">
            <v>0</v>
          </cell>
          <cell r="DU450">
            <v>42209</v>
          </cell>
          <cell r="DW450">
            <v>0</v>
          </cell>
          <cell r="DY450">
            <v>42195</v>
          </cell>
          <cell r="DZ450">
            <v>42235</v>
          </cell>
          <cell r="EA450" t="str">
            <v>Leadcom</v>
          </cell>
          <cell r="EJ450">
            <v>0</v>
          </cell>
          <cell r="EK450">
            <v>42212</v>
          </cell>
          <cell r="EL450">
            <v>42247</v>
          </cell>
          <cell r="EM450">
            <v>42213</v>
          </cell>
          <cell r="EN450">
            <v>42250</v>
          </cell>
          <cell r="EQ450">
            <v>42222</v>
          </cell>
          <cell r="ES450">
            <v>42250</v>
          </cell>
          <cell r="EW450">
            <v>0</v>
          </cell>
          <cell r="EX450">
            <v>42263</v>
          </cell>
          <cell r="EZ450">
            <v>42232</v>
          </cell>
          <cell r="FB450">
            <v>42234</v>
          </cell>
          <cell r="FU450">
            <v>42236</v>
          </cell>
          <cell r="FW450">
            <v>42236</v>
          </cell>
          <cell r="GF450">
            <v>42196</v>
          </cell>
          <cell r="GJ450">
            <v>0</v>
          </cell>
          <cell r="GN450" t="str">
            <v>ERICSSON</v>
          </cell>
          <cell r="HD450">
            <v>1</v>
          </cell>
        </row>
        <row r="451">
          <cell r="A451" t="str">
            <v>NP0258</v>
          </cell>
          <cell r="B451" t="str">
            <v>ANNP_0368</v>
          </cell>
          <cell r="C451" t="str">
            <v>Apollo</v>
          </cell>
          <cell r="D451" t="str">
            <v>Chris Thomson</v>
          </cell>
          <cell r="F451" t="str">
            <v>Mya Kyauk</v>
          </cell>
          <cell r="G451" t="str">
            <v>Kaung Htet</v>
          </cell>
          <cell r="H451" t="str">
            <v>AMBER</v>
          </cell>
          <cell r="I451" t="str">
            <v>North</v>
          </cell>
          <cell r="J451" t="str">
            <v>96.1292</v>
          </cell>
          <cell r="K451" t="str">
            <v>19.6101</v>
          </cell>
          <cell r="L451" t="str">
            <v>Rural</v>
          </cell>
          <cell r="M451" t="str">
            <v>Naypyitaw</v>
          </cell>
          <cell r="N451" t="str">
            <v>Lewe</v>
          </cell>
          <cell r="O451" t="str">
            <v>Lewe</v>
          </cell>
          <cell r="P451" t="str">
            <v>Naypyitaw</v>
          </cell>
          <cell r="Q451" t="str">
            <v>10</v>
          </cell>
          <cell r="R451" t="str">
            <v>Lewe</v>
          </cell>
          <cell r="S451" t="str">
            <v>324</v>
          </cell>
          <cell r="T451" t="str">
            <v>GSM+UMTS</v>
          </cell>
          <cell r="W451" t="str">
            <v>Ph2-Priority</v>
          </cell>
          <cell r="X451" t="str">
            <v>45</v>
          </cell>
          <cell r="Y451" t="str">
            <v>47</v>
          </cell>
          <cell r="Z451" t="str">
            <v>GBT</v>
          </cell>
          <cell r="AA451" t="str">
            <v>250</v>
          </cell>
          <cell r="AB451" t="str">
            <v>Access</v>
          </cell>
          <cell r="AC451" t="str">
            <v>Class C</v>
          </cell>
          <cell r="BE451" t="str">
            <v>Route 7 Bago - Pyawbwe</v>
          </cell>
          <cell r="BH451" t="str">
            <v>Leadcom</v>
          </cell>
          <cell r="BJ451">
            <v>42162</v>
          </cell>
          <cell r="BK451">
            <v>42166</v>
          </cell>
          <cell r="BL451">
            <v>42167</v>
          </cell>
          <cell r="BM451">
            <v>42173</v>
          </cell>
          <cell r="BT451">
            <v>14</v>
          </cell>
          <cell r="BU451">
            <v>42177</v>
          </cell>
          <cell r="BV451">
            <v>42180</v>
          </cell>
          <cell r="BW451" t="str">
            <v>96.13058</v>
          </cell>
          <cell r="BX451" t="str">
            <v>19.60973</v>
          </cell>
          <cell r="BY451" t="str">
            <v>C2</v>
          </cell>
          <cell r="BZ451" t="str">
            <v>Shar Chaung Block,Pattar village,Lalway tsp,Nay Pyi Taw Division.</v>
          </cell>
          <cell r="CA451" t="str">
            <v>U Win Maung;09-254 286 361</v>
          </cell>
          <cell r="CB451" t="str">
            <v>02 Aug 15 : C2 TSSR revision sub with 35 M Tower;29 July 15: C2 SAR updated technical info released because  Tower height reduce to 35 M as per Apollo request;10 July 15 : C2 TSSR app;9 July 15 : C2 TSSR sub;26 Jun 15 : C2 SAR app;25 Jun 15: C2 SAR sub</v>
          </cell>
          <cell r="CC451" t="str">
            <v>Residential</v>
          </cell>
          <cell r="CE451">
            <v>1</v>
          </cell>
          <cell r="CF451">
            <v>42178</v>
          </cell>
          <cell r="CG451">
            <v>42181</v>
          </cell>
          <cell r="CH451">
            <v>42180</v>
          </cell>
          <cell r="CJ451">
            <v>42216</v>
          </cell>
          <cell r="CK451" t="str">
            <v>33</v>
          </cell>
          <cell r="CL451" t="str">
            <v>35</v>
          </cell>
          <cell r="CM451" t="str">
            <v>35</v>
          </cell>
          <cell r="CN451">
            <v>37</v>
          </cell>
          <cell r="CO451">
            <v>42183</v>
          </cell>
          <cell r="CP451">
            <v>42218</v>
          </cell>
          <cell r="CQ451" t="str">
            <v>M1: grid power + battery</v>
          </cell>
          <cell r="CR451">
            <v>2</v>
          </cell>
          <cell r="CS451">
            <v>42184</v>
          </cell>
          <cell r="CT451">
            <v>42220</v>
          </cell>
          <cell r="CU451" t="str">
            <v>NP0258</v>
          </cell>
          <cell r="DH451">
            <v>13</v>
          </cell>
          <cell r="DI451">
            <v>42194</v>
          </cell>
          <cell r="DK451">
            <v>42191</v>
          </cell>
          <cell r="DL451">
            <v>42242</v>
          </cell>
          <cell r="DM451">
            <v>42195</v>
          </cell>
          <cell r="DO451">
            <v>0</v>
          </cell>
          <cell r="DP451">
            <v>42194</v>
          </cell>
          <cell r="DT451">
            <v>0</v>
          </cell>
          <cell r="DU451">
            <v>42209</v>
          </cell>
          <cell r="DW451">
            <v>0</v>
          </cell>
          <cell r="DY451">
            <v>42195</v>
          </cell>
          <cell r="DZ451">
            <v>42215</v>
          </cell>
          <cell r="EA451" t="str">
            <v>Leadcom</v>
          </cell>
          <cell r="ED451" t="str">
            <v xml:space="preserve">14Aug15 :KaungHtet: Columns casting will be done by today evening.
</v>
          </cell>
          <cell r="EJ451">
            <v>18</v>
          </cell>
          <cell r="EK451">
            <v>42212</v>
          </cell>
          <cell r="EL451">
            <v>42242</v>
          </cell>
          <cell r="EM451">
            <v>42213</v>
          </cell>
          <cell r="EN451">
            <v>42236</v>
          </cell>
          <cell r="EQ451">
            <v>42222</v>
          </cell>
          <cell r="ER451">
            <v>42242</v>
          </cell>
          <cell r="EW451">
            <v>18</v>
          </cell>
          <cell r="EX451">
            <v>42236</v>
          </cell>
          <cell r="EZ451">
            <v>42232</v>
          </cell>
          <cell r="FB451">
            <v>42234</v>
          </cell>
          <cell r="FU451">
            <v>42236</v>
          </cell>
          <cell r="FW451">
            <v>42236</v>
          </cell>
          <cell r="FY451" t="str">
            <v>CFVL</v>
          </cell>
          <cell r="GI451">
            <v>42246</v>
          </cell>
          <cell r="GJ451" t="str">
            <v>44-2015</v>
          </cell>
          <cell r="GN451" t="str">
            <v>ERICSSON</v>
          </cell>
          <cell r="HD451">
            <v>1</v>
          </cell>
        </row>
        <row r="452">
          <cell r="A452" t="str">
            <v>NP0263</v>
          </cell>
          <cell r="B452" t="str">
            <v>ANNP_0369</v>
          </cell>
          <cell r="C452" t="str">
            <v>Apollo</v>
          </cell>
          <cell r="D452" t="str">
            <v>Chris Thomson</v>
          </cell>
          <cell r="F452" t="str">
            <v>Mya Kyauk</v>
          </cell>
          <cell r="G452" t="str">
            <v>Kaung Htet</v>
          </cell>
          <cell r="H452" t="str">
            <v>RED</v>
          </cell>
          <cell r="I452" t="str">
            <v>North</v>
          </cell>
          <cell r="J452" t="str">
            <v>96.21814</v>
          </cell>
          <cell r="K452" t="str">
            <v>19.70679</v>
          </cell>
          <cell r="L452" t="str">
            <v>Rural</v>
          </cell>
          <cell r="M452" t="str">
            <v>Naypyitaw</v>
          </cell>
          <cell r="N452" t="str">
            <v>Pyinmana</v>
          </cell>
          <cell r="O452" t="str">
            <v>Pyinmana</v>
          </cell>
          <cell r="P452" t="str">
            <v>Naypyitaw</v>
          </cell>
          <cell r="Q452" t="str">
            <v>10</v>
          </cell>
          <cell r="R452" t="str">
            <v>Pyinmana</v>
          </cell>
          <cell r="S452" t="str">
            <v>323</v>
          </cell>
          <cell r="T452" t="str">
            <v>GSM+UMTS</v>
          </cell>
          <cell r="W452" t="str">
            <v>Ph2-Priority</v>
          </cell>
          <cell r="X452" t="str">
            <v>45</v>
          </cell>
          <cell r="Y452" t="str">
            <v>47</v>
          </cell>
          <cell r="Z452" t="str">
            <v>GBT</v>
          </cell>
          <cell r="AA452" t="str">
            <v>250</v>
          </cell>
          <cell r="AB452" t="str">
            <v>Access</v>
          </cell>
          <cell r="AC452" t="str">
            <v>Class C</v>
          </cell>
          <cell r="BE452" t="str">
            <v>Route 19 Myitkyina - Bhamo - Muse</v>
          </cell>
          <cell r="BH452" t="str">
            <v>Leadcom</v>
          </cell>
          <cell r="BJ452">
            <v>42158</v>
          </cell>
          <cell r="BK452">
            <v>42167</v>
          </cell>
          <cell r="BL452">
            <v>42163</v>
          </cell>
          <cell r="BM452">
            <v>42174</v>
          </cell>
          <cell r="BT452">
            <v>14</v>
          </cell>
          <cell r="BU452">
            <v>42181</v>
          </cell>
          <cell r="BV452">
            <v>42181</v>
          </cell>
          <cell r="BW452" t="str">
            <v>96.21745</v>
          </cell>
          <cell r="BX452" t="str">
            <v>19.70568</v>
          </cell>
          <cell r="BY452" t="str">
            <v>C1</v>
          </cell>
          <cell r="BZ452" t="str">
            <v>No.2/73,Ywar Thit village group,Kyoon Kone village,Pyi Ma Nar Tsp,Nay Pyi Taw Division</v>
          </cell>
          <cell r="CA452" t="str">
            <v>U Myint Sein;0 9444012467/ 0 943047576</v>
          </cell>
          <cell r="CB452" t="str">
            <v>30 Jul 15 : C1 TSSR  revision sub with 35 M Tower ;29 July 15: C1 SAR updated technical info released because  Tower height reduce to 35 M as per Apollo request;10 Jul 15 : C1 TSSR app;9 Jul 15 : C1 TSSR sub;29 Jun 15 : C1 SAR app;26 Jun 15 : C1 SAR sub</v>
          </cell>
          <cell r="CC452" t="str">
            <v>Cultivated Land</v>
          </cell>
          <cell r="CE452">
            <v>3</v>
          </cell>
          <cell r="CF452">
            <v>42182</v>
          </cell>
          <cell r="CG452">
            <v>42184</v>
          </cell>
          <cell r="CH452">
            <v>42184</v>
          </cell>
          <cell r="CJ452">
            <v>42213</v>
          </cell>
          <cell r="CK452" t="str">
            <v>33</v>
          </cell>
          <cell r="CL452" t="str">
            <v>35</v>
          </cell>
          <cell r="CM452" t="str">
            <v>35</v>
          </cell>
          <cell r="CN452">
            <v>31</v>
          </cell>
          <cell r="CO452">
            <v>42187</v>
          </cell>
          <cell r="CP452">
            <v>42215</v>
          </cell>
          <cell r="CQ452" t="str">
            <v>M1: grid power + battery</v>
          </cell>
          <cell r="CR452">
            <v>5</v>
          </cell>
          <cell r="CS452">
            <v>42188</v>
          </cell>
          <cell r="CT452">
            <v>42220</v>
          </cell>
          <cell r="CU452" t="str">
            <v>NP0263</v>
          </cell>
          <cell r="DH452">
            <v>13</v>
          </cell>
          <cell r="DI452">
            <v>42198</v>
          </cell>
          <cell r="DK452">
            <v>42195</v>
          </cell>
          <cell r="DL452">
            <v>42242</v>
          </cell>
          <cell r="DM452">
            <v>42199</v>
          </cell>
          <cell r="DO452">
            <v>0</v>
          </cell>
          <cell r="DP452">
            <v>42198</v>
          </cell>
          <cell r="DT452">
            <v>0</v>
          </cell>
          <cell r="DU452">
            <v>42213</v>
          </cell>
          <cell r="DW452">
            <v>0</v>
          </cell>
          <cell r="DY452">
            <v>42199</v>
          </cell>
          <cell r="DZ452">
            <v>42233</v>
          </cell>
          <cell r="EA452" t="str">
            <v>Leadcom</v>
          </cell>
          <cell r="EJ452">
            <v>0</v>
          </cell>
          <cell r="EK452">
            <v>42216</v>
          </cell>
          <cell r="EL452">
            <v>42250</v>
          </cell>
          <cell r="EM452">
            <v>42217</v>
          </cell>
          <cell r="EQ452">
            <v>42226</v>
          </cell>
          <cell r="EW452">
            <v>0</v>
          </cell>
          <cell r="EX452">
            <v>42240</v>
          </cell>
          <cell r="EZ452">
            <v>42236</v>
          </cell>
          <cell r="FB452">
            <v>42238</v>
          </cell>
          <cell r="FU452">
            <v>42240</v>
          </cell>
          <cell r="FW452">
            <v>42240</v>
          </cell>
          <cell r="FY452" t="str">
            <v>CFVL</v>
          </cell>
          <cell r="GI452">
            <v>42246</v>
          </cell>
          <cell r="GJ452">
            <v>0</v>
          </cell>
          <cell r="GN452" t="str">
            <v>ERICSSON</v>
          </cell>
          <cell r="HD452">
            <v>1</v>
          </cell>
        </row>
        <row r="453">
          <cell r="A453" t="str">
            <v>NP0264</v>
          </cell>
          <cell r="B453" t="str">
            <v>ANNP_0370</v>
          </cell>
          <cell r="C453" t="str">
            <v>Apollo</v>
          </cell>
          <cell r="D453" t="str">
            <v>Chris Thomson</v>
          </cell>
          <cell r="F453" t="str">
            <v>Mya Kyauk</v>
          </cell>
          <cell r="G453" t="str">
            <v>Kaung Htet</v>
          </cell>
          <cell r="H453" t="str">
            <v>RED</v>
          </cell>
          <cell r="I453" t="str">
            <v>North</v>
          </cell>
          <cell r="J453" t="str">
            <v>96.0362575084603</v>
          </cell>
          <cell r="K453" t="str">
            <v>19.5032743625744</v>
          </cell>
          <cell r="L453" t="str">
            <v>Rural</v>
          </cell>
          <cell r="M453" t="str">
            <v>Naypyitaw</v>
          </cell>
          <cell r="N453" t="str">
            <v>Lewe</v>
          </cell>
          <cell r="O453" t="str">
            <v>Lewe</v>
          </cell>
          <cell r="P453" t="str">
            <v>Naypyitaw</v>
          </cell>
          <cell r="Q453" t="str">
            <v>10</v>
          </cell>
          <cell r="R453" t="str">
            <v>Lewe</v>
          </cell>
          <cell r="S453" t="str">
            <v>324</v>
          </cell>
          <cell r="T453" t="str">
            <v>GSM+UMTS</v>
          </cell>
          <cell r="W453" t="str">
            <v>Ph2-Priority</v>
          </cell>
          <cell r="X453" t="str">
            <v>45</v>
          </cell>
          <cell r="Y453" t="str">
            <v>47</v>
          </cell>
          <cell r="Z453" t="str">
            <v>GBT</v>
          </cell>
          <cell r="AA453" t="str">
            <v>500</v>
          </cell>
          <cell r="AB453" t="str">
            <v>Access</v>
          </cell>
          <cell r="AC453" t="str">
            <v>Class C</v>
          </cell>
          <cell r="BH453" t="str">
            <v>Leadcom</v>
          </cell>
          <cell r="BJ453">
            <v>42158</v>
          </cell>
          <cell r="BK453">
            <v>42167</v>
          </cell>
          <cell r="BL453">
            <v>42163</v>
          </cell>
          <cell r="BM453">
            <v>42174</v>
          </cell>
          <cell r="BT453">
            <v>14</v>
          </cell>
          <cell r="BU453">
            <v>42225</v>
          </cell>
          <cell r="BV453">
            <v>42181</v>
          </cell>
          <cell r="BW453" t="str">
            <v>96.03879</v>
          </cell>
          <cell r="BX453" t="str">
            <v>19.50468</v>
          </cell>
          <cell r="BY453" t="str">
            <v>C1</v>
          </cell>
          <cell r="CB453" t="str">
            <v>2 July 15 : C1 SAR approved as an option 1( RND increased nominal 45m to 48m antenna height as per confirmation mail of mention the tower height is 50m from towerco on 30_Jun. So RND approved with 48m / 50m GBT as priority 1. This site is 305m far from the nominal point.)</v>
          </cell>
          <cell r="CE453">
            <v>6</v>
          </cell>
          <cell r="CF453">
            <v>42226</v>
          </cell>
          <cell r="CG453">
            <v>42187</v>
          </cell>
          <cell r="CH453">
            <v>42228</v>
          </cell>
          <cell r="CN453">
            <v>46</v>
          </cell>
          <cell r="CO453">
            <v>42231</v>
          </cell>
          <cell r="CQ453" t="str">
            <v>M4: solar + DG + battery</v>
          </cell>
          <cell r="CR453">
            <v>0</v>
          </cell>
          <cell r="CS453">
            <v>42232</v>
          </cell>
          <cell r="CU453" t="str">
            <v>NP0264</v>
          </cell>
          <cell r="DH453">
            <v>0</v>
          </cell>
          <cell r="DI453">
            <v>42242</v>
          </cell>
          <cell r="DK453">
            <v>42239</v>
          </cell>
          <cell r="DM453">
            <v>42243</v>
          </cell>
          <cell r="DO453">
            <v>0</v>
          </cell>
          <cell r="DP453">
            <v>42242</v>
          </cell>
          <cell r="DT453">
            <v>0</v>
          </cell>
          <cell r="DU453">
            <v>42257</v>
          </cell>
          <cell r="DW453">
            <v>0</v>
          </cell>
          <cell r="DY453">
            <v>42243</v>
          </cell>
          <cell r="EA453" t="str">
            <v>Leadcom</v>
          </cell>
          <cell r="EJ453">
            <v>0</v>
          </cell>
          <cell r="EK453">
            <v>42260</v>
          </cell>
          <cell r="EM453">
            <v>42261</v>
          </cell>
          <cell r="EQ453">
            <v>42270</v>
          </cell>
          <cell r="EW453">
            <v>0</v>
          </cell>
          <cell r="EX453">
            <v>42230</v>
          </cell>
          <cell r="EZ453">
            <v>42280</v>
          </cell>
          <cell r="FB453">
            <v>42282</v>
          </cell>
          <cell r="FU453">
            <v>42284</v>
          </cell>
          <cell r="FW453">
            <v>42284</v>
          </cell>
          <cell r="GI453">
            <v>42277</v>
          </cell>
          <cell r="GJ453">
            <v>0</v>
          </cell>
          <cell r="GN453" t="str">
            <v>ERICSSON</v>
          </cell>
          <cell r="HD453">
            <v>1</v>
          </cell>
        </row>
        <row r="454">
          <cell r="A454" t="str">
            <v>NP0265</v>
          </cell>
          <cell r="B454" t="str">
            <v>ANNP_0371</v>
          </cell>
          <cell r="C454" t="str">
            <v>Apollo</v>
          </cell>
          <cell r="D454" t="str">
            <v>Chris Thomson</v>
          </cell>
          <cell r="F454" t="str">
            <v>Mya Kyauk</v>
          </cell>
          <cell r="G454" t="str">
            <v>Kaung Htet</v>
          </cell>
          <cell r="H454" t="str">
            <v>RED</v>
          </cell>
          <cell r="I454" t="str">
            <v>North</v>
          </cell>
          <cell r="J454" t="str">
            <v>95.780857</v>
          </cell>
          <cell r="K454" t="str">
            <v>20.269392</v>
          </cell>
          <cell r="L454" t="str">
            <v>Rural</v>
          </cell>
          <cell r="M454" t="str">
            <v>Naypyitaw</v>
          </cell>
          <cell r="N454" t="str">
            <v>Tatkon</v>
          </cell>
          <cell r="O454" t="str">
            <v>Tatkon</v>
          </cell>
          <cell r="P454" t="str">
            <v>Naypyitaw</v>
          </cell>
          <cell r="Q454" t="str">
            <v>10</v>
          </cell>
          <cell r="R454" t="str">
            <v>Tatkon</v>
          </cell>
          <cell r="S454" t="str">
            <v>325</v>
          </cell>
          <cell r="T454" t="str">
            <v>GSM+UMTS</v>
          </cell>
          <cell r="W454" t="str">
            <v>Ph2-Priority</v>
          </cell>
          <cell r="X454" t="str">
            <v>55</v>
          </cell>
          <cell r="Y454" t="str">
            <v>57</v>
          </cell>
          <cell r="Z454" t="str">
            <v>GBT</v>
          </cell>
          <cell r="AA454" t="str">
            <v>500</v>
          </cell>
          <cell r="AB454" t="str">
            <v>Access</v>
          </cell>
          <cell r="AC454" t="str">
            <v>Class C</v>
          </cell>
          <cell r="BE454" t="str">
            <v>Magwe - Sittwe</v>
          </cell>
          <cell r="BH454" t="str">
            <v>Camusat</v>
          </cell>
          <cell r="BJ454">
            <v>42158</v>
          </cell>
          <cell r="BK454">
            <v>42171</v>
          </cell>
          <cell r="BL454">
            <v>42163</v>
          </cell>
          <cell r="BM454">
            <v>42178</v>
          </cell>
          <cell r="BT454">
            <v>28</v>
          </cell>
          <cell r="BU454">
            <v>42227</v>
          </cell>
          <cell r="BV454">
            <v>42199</v>
          </cell>
          <cell r="BW454" t="str">
            <v>95.786033</v>
          </cell>
          <cell r="BX454" t="str">
            <v>20.260835</v>
          </cell>
          <cell r="BY454" t="str">
            <v>C1</v>
          </cell>
          <cell r="BZ454" t="str">
            <v>Amark(96), Mani Pu Ya Street, Ka The' Quarter, Sittwe Township, Rakhine State.</v>
          </cell>
          <cell r="CA454" t="str">
            <v>Daw Han Thein Oo</v>
          </cell>
          <cell r="CB454" t="str">
            <v>14 July 15 : C1 SAR sub(1.10 KM from nominal, Nominal Point falls inside huge agricultural land)</v>
          </cell>
          <cell r="CC454" t="str">
            <v>RESIDENTIAL</v>
          </cell>
          <cell r="CE454">
            <v>1</v>
          </cell>
          <cell r="CF454">
            <v>42228</v>
          </cell>
          <cell r="CG454">
            <v>42200</v>
          </cell>
          <cell r="CH454">
            <v>42230</v>
          </cell>
          <cell r="CJ454">
            <v>42203</v>
          </cell>
          <cell r="CK454" t="str">
            <v>35</v>
          </cell>
          <cell r="CL454" t="str">
            <v>37</v>
          </cell>
          <cell r="CM454" t="str">
            <v>40</v>
          </cell>
          <cell r="CN454">
            <v>33</v>
          </cell>
          <cell r="CO454">
            <v>42233</v>
          </cell>
          <cell r="CP454">
            <v>42205</v>
          </cell>
          <cell r="CQ454" t="str">
            <v>M4: solar + DG + battery</v>
          </cell>
          <cell r="CR454">
            <v>0</v>
          </cell>
          <cell r="CS454">
            <v>42234</v>
          </cell>
          <cell r="CT454">
            <v>42206</v>
          </cell>
          <cell r="CU454" t="str">
            <v>NP0265</v>
          </cell>
          <cell r="DH454">
            <v>0</v>
          </cell>
          <cell r="DI454">
            <v>42244</v>
          </cell>
          <cell r="DK454">
            <v>42241</v>
          </cell>
          <cell r="DM454">
            <v>42245</v>
          </cell>
          <cell r="DO454">
            <v>0</v>
          </cell>
          <cell r="DP454">
            <v>42244</v>
          </cell>
          <cell r="DT454">
            <v>0</v>
          </cell>
          <cell r="DU454">
            <v>42259</v>
          </cell>
          <cell r="DW454">
            <v>0</v>
          </cell>
          <cell r="DY454">
            <v>42245</v>
          </cell>
          <cell r="EA454" t="str">
            <v>Camusat</v>
          </cell>
          <cell r="EJ454">
            <v>0</v>
          </cell>
          <cell r="EK454">
            <v>42267</v>
          </cell>
          <cell r="EM454">
            <v>42268</v>
          </cell>
          <cell r="EQ454">
            <v>42280</v>
          </cell>
          <cell r="EW454">
            <v>0</v>
          </cell>
          <cell r="EX454">
            <v>42294</v>
          </cell>
          <cell r="EZ454">
            <v>42290</v>
          </cell>
          <cell r="FB454">
            <v>42292</v>
          </cell>
          <cell r="FU454">
            <v>42294</v>
          </cell>
          <cell r="FW454">
            <v>42294</v>
          </cell>
          <cell r="GJ454">
            <v>0</v>
          </cell>
          <cell r="GN454" t="str">
            <v>ERICSSON</v>
          </cell>
          <cell r="HD454">
            <v>1</v>
          </cell>
        </row>
        <row r="455">
          <cell r="A455" t="str">
            <v>NP0266</v>
          </cell>
          <cell r="B455" t="str">
            <v>ANNP_0372</v>
          </cell>
          <cell r="C455" t="str">
            <v>Apollo</v>
          </cell>
          <cell r="D455" t="str">
            <v>Chris Thomson</v>
          </cell>
          <cell r="F455" t="str">
            <v>Mya Kyauk</v>
          </cell>
          <cell r="G455" t="str">
            <v>Kaung Htet</v>
          </cell>
          <cell r="H455" t="str">
            <v>RED</v>
          </cell>
          <cell r="I455" t="str">
            <v>North</v>
          </cell>
          <cell r="J455" t="str">
            <v>95.8643954607049</v>
          </cell>
          <cell r="K455" t="str">
            <v>20.0999279435744</v>
          </cell>
          <cell r="L455" t="str">
            <v>Rural</v>
          </cell>
          <cell r="M455" t="str">
            <v>Naypyitaw</v>
          </cell>
          <cell r="N455" t="str">
            <v>Tatkon</v>
          </cell>
          <cell r="O455" t="str">
            <v>Tatkon</v>
          </cell>
          <cell r="P455" t="str">
            <v>Naypyitaw</v>
          </cell>
          <cell r="Q455" t="str">
            <v>10</v>
          </cell>
          <cell r="R455" t="str">
            <v>Tatkon</v>
          </cell>
          <cell r="S455" t="str">
            <v>325</v>
          </cell>
          <cell r="T455" t="str">
            <v>GSM+UMTS</v>
          </cell>
          <cell r="W455" t="str">
            <v>Ph2-Priority</v>
          </cell>
          <cell r="X455" t="str">
            <v>45</v>
          </cell>
          <cell r="Y455" t="str">
            <v>47</v>
          </cell>
          <cell r="Z455" t="str">
            <v>GBT</v>
          </cell>
          <cell r="AA455" t="str">
            <v>500</v>
          </cell>
          <cell r="AB455" t="str">
            <v>Access</v>
          </cell>
          <cell r="AC455" t="str">
            <v>Class C</v>
          </cell>
          <cell r="BH455" t="str">
            <v>Camusat</v>
          </cell>
          <cell r="BJ455">
            <v>42158</v>
          </cell>
          <cell r="BK455">
            <v>42171</v>
          </cell>
          <cell r="BL455">
            <v>42163</v>
          </cell>
          <cell r="BM455">
            <v>42178</v>
          </cell>
          <cell r="BT455">
            <v>62</v>
          </cell>
          <cell r="BU455">
            <v>42191</v>
          </cell>
          <cell r="BV455">
            <v>42207</v>
          </cell>
          <cell r="BW455" t="str">
            <v>92.88258</v>
          </cell>
          <cell r="BX455" t="str">
            <v>20.20963</v>
          </cell>
          <cell r="BY455" t="str">
            <v>C1</v>
          </cell>
          <cell r="CB455" t="str">
            <v>22 July 15: C1-SAR submission</v>
          </cell>
          <cell r="CE455">
            <v>0</v>
          </cell>
          <cell r="CF455">
            <v>42192</v>
          </cell>
          <cell r="CG455">
            <v>42208</v>
          </cell>
          <cell r="CH455">
            <v>42194</v>
          </cell>
          <cell r="CJ455">
            <v>42219</v>
          </cell>
          <cell r="CK455" t="str">
            <v>45</v>
          </cell>
          <cell r="CL455" t="str">
            <v>47</v>
          </cell>
          <cell r="CM455" t="str">
            <v>50</v>
          </cell>
          <cell r="CN455">
            <v>0</v>
          </cell>
          <cell r="CO455">
            <v>42197</v>
          </cell>
          <cell r="CP455">
            <v>42221</v>
          </cell>
          <cell r="CQ455" t="str">
            <v>M4: solar + DG + battery</v>
          </cell>
          <cell r="CR455">
            <v>0</v>
          </cell>
          <cell r="CS455">
            <v>42198</v>
          </cell>
          <cell r="CT455">
            <v>42227</v>
          </cell>
          <cell r="CU455" t="str">
            <v>NP0266</v>
          </cell>
          <cell r="DH455">
            <v>0</v>
          </cell>
          <cell r="DI455">
            <v>42208</v>
          </cell>
          <cell r="DK455">
            <v>42205</v>
          </cell>
          <cell r="DM455">
            <v>42209</v>
          </cell>
          <cell r="DO455">
            <v>0</v>
          </cell>
          <cell r="DP455">
            <v>42208</v>
          </cell>
          <cell r="DT455">
            <v>0</v>
          </cell>
          <cell r="DU455">
            <v>42223</v>
          </cell>
          <cell r="DW455">
            <v>0</v>
          </cell>
          <cell r="DY455">
            <v>42209</v>
          </cell>
          <cell r="EA455" t="str">
            <v>Camusat</v>
          </cell>
          <cell r="EJ455">
            <v>0</v>
          </cell>
          <cell r="EK455">
            <v>42226</v>
          </cell>
          <cell r="EM455">
            <v>42227</v>
          </cell>
          <cell r="EQ455">
            <v>42236</v>
          </cell>
          <cell r="EW455">
            <v>0</v>
          </cell>
          <cell r="EX455">
            <v>42250</v>
          </cell>
          <cell r="EZ455">
            <v>42246</v>
          </cell>
          <cell r="FB455">
            <v>42248</v>
          </cell>
          <cell r="FU455">
            <v>42250</v>
          </cell>
          <cell r="FW455">
            <v>42250</v>
          </cell>
          <cell r="GI455">
            <v>41975</v>
          </cell>
          <cell r="GJ455">
            <v>0</v>
          </cell>
          <cell r="GN455" t="str">
            <v>ERICSSON</v>
          </cell>
          <cell r="GQ455" t="str">
            <v>Fiber Dep.</v>
          </cell>
          <cell r="HD455">
            <v>1</v>
          </cell>
        </row>
        <row r="456">
          <cell r="A456" t="str">
            <v>NP0267</v>
          </cell>
          <cell r="B456" t="str">
            <v>ANNP_0373</v>
          </cell>
          <cell r="C456" t="str">
            <v>Apollo</v>
          </cell>
          <cell r="D456" t="str">
            <v>Chris Thomson</v>
          </cell>
          <cell r="F456" t="str">
            <v>Mya Kyauk</v>
          </cell>
          <cell r="G456" t="str">
            <v>Kaung Htet</v>
          </cell>
          <cell r="H456" t="str">
            <v>AMBER</v>
          </cell>
          <cell r="I456" t="str">
            <v>North</v>
          </cell>
          <cell r="J456" t="str">
            <v>96.1404</v>
          </cell>
          <cell r="K456" t="str">
            <v>20.1992</v>
          </cell>
          <cell r="L456" t="str">
            <v>Rural</v>
          </cell>
          <cell r="M456" t="str">
            <v>Naypyitaw</v>
          </cell>
          <cell r="N456" t="str">
            <v>Tatkon</v>
          </cell>
          <cell r="O456" t="str">
            <v>Tatkon</v>
          </cell>
          <cell r="P456" t="str">
            <v>Naypyitaw</v>
          </cell>
          <cell r="Q456" t="str">
            <v>10</v>
          </cell>
          <cell r="R456" t="str">
            <v>Tatkon</v>
          </cell>
          <cell r="S456" t="str">
            <v>325</v>
          </cell>
          <cell r="T456" t="str">
            <v>GSM+UMTS</v>
          </cell>
          <cell r="W456" t="str">
            <v>Ph2-Priority</v>
          </cell>
          <cell r="X456" t="str">
            <v>45</v>
          </cell>
          <cell r="Y456" t="str">
            <v>47</v>
          </cell>
          <cell r="Z456" t="str">
            <v>GBT</v>
          </cell>
          <cell r="AA456" t="str">
            <v>500</v>
          </cell>
          <cell r="AB456" t="str">
            <v>Access</v>
          </cell>
          <cell r="AC456" t="str">
            <v>Class C</v>
          </cell>
          <cell r="BH456" t="str">
            <v>Camusat</v>
          </cell>
          <cell r="BJ456">
            <v>42159</v>
          </cell>
          <cell r="BK456">
            <v>42144</v>
          </cell>
          <cell r="BL456">
            <v>42164</v>
          </cell>
          <cell r="BM456">
            <v>42151</v>
          </cell>
          <cell r="BT456">
            <v>17</v>
          </cell>
          <cell r="BU456">
            <v>42223</v>
          </cell>
          <cell r="BV456">
            <v>42161</v>
          </cell>
          <cell r="BW456" t="str">
            <v>96.1417</v>
          </cell>
          <cell r="BX456" t="str">
            <v>20.19943</v>
          </cell>
          <cell r="BY456" t="str">
            <v>C1</v>
          </cell>
          <cell r="BZ456" t="str">
            <v>KYAUNG YWAR VILLAGE,KYAE CHAUNG GROUP,TAT KONE TOWNSHIP,NAYPYITAW.</v>
          </cell>
          <cell r="CA456" t="str">
            <v>U Sein Maung;Kyaung Ywar Village, Kyae Chaung Group, Tat Kone Township, Nay Pyi Taw;0996166293, 0936061283</v>
          </cell>
          <cell r="CB456" t="str">
            <v>6Jun15: C1 SAR Sub</v>
          </cell>
          <cell r="CC456" t="str">
            <v>Residential_NP within the Area of Agricultural Land</v>
          </cell>
          <cell r="CE456">
            <v>2</v>
          </cell>
          <cell r="CF456">
            <v>42224</v>
          </cell>
          <cell r="CG456">
            <v>42163</v>
          </cell>
          <cell r="CH456">
            <v>42226</v>
          </cell>
          <cell r="CJ456">
            <v>42168</v>
          </cell>
          <cell r="CK456" t="str">
            <v>45</v>
          </cell>
          <cell r="CL456" t="str">
            <v>47</v>
          </cell>
          <cell r="CM456" t="str">
            <v>50</v>
          </cell>
          <cell r="CN456">
            <v>7</v>
          </cell>
          <cell r="CO456">
            <v>42229</v>
          </cell>
          <cell r="CP456">
            <v>42170</v>
          </cell>
          <cell r="CQ456" t="str">
            <v>M4: solar + DG + battery</v>
          </cell>
          <cell r="CR456">
            <v>1</v>
          </cell>
          <cell r="CS456">
            <v>42230</v>
          </cell>
          <cell r="CT456">
            <v>42171</v>
          </cell>
          <cell r="CU456" t="str">
            <v>NP0267</v>
          </cell>
          <cell r="DH456">
            <v>62</v>
          </cell>
          <cell r="DI456">
            <v>42240</v>
          </cell>
          <cell r="DK456">
            <v>42237</v>
          </cell>
          <cell r="DL456">
            <v>42199</v>
          </cell>
          <cell r="DM456">
            <v>42241</v>
          </cell>
          <cell r="DN456">
            <v>42199</v>
          </cell>
          <cell r="DO456">
            <v>0</v>
          </cell>
          <cell r="DP456">
            <v>42240</v>
          </cell>
          <cell r="DT456">
            <v>0</v>
          </cell>
          <cell r="DU456">
            <v>42255</v>
          </cell>
          <cell r="DW456">
            <v>0</v>
          </cell>
          <cell r="DY456">
            <v>42241</v>
          </cell>
          <cell r="DZ456">
            <v>42205</v>
          </cell>
          <cell r="EA456" t="str">
            <v>Camusat</v>
          </cell>
          <cell r="EB456">
            <v>42217</v>
          </cell>
          <cell r="ED456" t="str">
            <v xml:space="preserve">13Aug15 :KaungHtet: Lean concrete casting is done. Rebar work preparation for columns and foundation slab is ongoing.
</v>
          </cell>
          <cell r="EE456" t="str">
            <v xml:space="preserve">10 Aug 15:Flood affected_Hold-No access; 1-Aug-15:  ACCESS PROBLEM IF CONTINUOUS RAIN (DIRT ROAD)								</v>
          </cell>
          <cell r="EJ456">
            <v>28</v>
          </cell>
          <cell r="EK456">
            <v>42258</v>
          </cell>
          <cell r="EL456">
            <v>42240</v>
          </cell>
          <cell r="EM456">
            <v>42259</v>
          </cell>
          <cell r="EN456">
            <v>42241</v>
          </cell>
          <cell r="EQ456">
            <v>42268</v>
          </cell>
          <cell r="ER456">
            <v>42248</v>
          </cell>
          <cell r="ES456">
            <v>42250</v>
          </cell>
          <cell r="EW456">
            <v>28</v>
          </cell>
          <cell r="EX456">
            <v>42225</v>
          </cell>
          <cell r="EZ456">
            <v>42278</v>
          </cell>
          <cell r="FA456">
            <v>42246</v>
          </cell>
          <cell r="FB456">
            <v>42280</v>
          </cell>
          <cell r="FU456">
            <v>42282</v>
          </cell>
          <cell r="FW456">
            <v>42282</v>
          </cell>
          <cell r="FY456" t="str">
            <v>CFVL</v>
          </cell>
          <cell r="FZ456">
            <v>42249</v>
          </cell>
          <cell r="GI456">
            <v>42307</v>
          </cell>
          <cell r="GJ456" t="str">
            <v>44-2015</v>
          </cell>
          <cell r="GN456" t="str">
            <v>ERICSSON</v>
          </cell>
          <cell r="HD456">
            <v>1</v>
          </cell>
        </row>
        <row r="457">
          <cell r="A457" t="str">
            <v>NP0268</v>
          </cell>
          <cell r="B457" t="str">
            <v>ANNP_0374</v>
          </cell>
          <cell r="C457" t="str">
            <v>Apollo</v>
          </cell>
          <cell r="D457" t="str">
            <v>Chris Thomson</v>
          </cell>
          <cell r="F457" t="str">
            <v>Mya Kyauk</v>
          </cell>
          <cell r="G457" t="str">
            <v>Kaung Htet</v>
          </cell>
          <cell r="H457" t="str">
            <v>AMBER</v>
          </cell>
          <cell r="I457" t="str">
            <v>North</v>
          </cell>
          <cell r="J457" t="str">
            <v>96.165539067</v>
          </cell>
          <cell r="K457" t="str">
            <v>20.090300125</v>
          </cell>
          <cell r="L457" t="str">
            <v>Rural</v>
          </cell>
          <cell r="M457" t="str">
            <v>Naypyitaw</v>
          </cell>
          <cell r="N457" t="str">
            <v>Tatkon</v>
          </cell>
          <cell r="O457" t="str">
            <v>Tatkon</v>
          </cell>
          <cell r="P457" t="str">
            <v>Naypyitaw</v>
          </cell>
          <cell r="Q457" t="str">
            <v>10</v>
          </cell>
          <cell r="R457" t="str">
            <v>Tatkon</v>
          </cell>
          <cell r="S457" t="str">
            <v>325</v>
          </cell>
          <cell r="T457" t="str">
            <v>GSM+UMTS</v>
          </cell>
          <cell r="W457" t="str">
            <v>Ph2-Priority</v>
          </cell>
          <cell r="X457" t="str">
            <v>45</v>
          </cell>
          <cell r="Y457" t="str">
            <v>47</v>
          </cell>
          <cell r="Z457" t="str">
            <v>GBT</v>
          </cell>
          <cell r="AA457" t="str">
            <v>500</v>
          </cell>
          <cell r="AB457" t="str">
            <v>Access</v>
          </cell>
          <cell r="AC457" t="str">
            <v>Class C</v>
          </cell>
          <cell r="BE457" t="str">
            <v>Ann - Gwa</v>
          </cell>
          <cell r="BH457" t="str">
            <v>Camusat</v>
          </cell>
          <cell r="BJ457">
            <v>42159</v>
          </cell>
          <cell r="BK457">
            <v>42147</v>
          </cell>
          <cell r="BL457">
            <v>42164</v>
          </cell>
          <cell r="BM457">
            <v>42154</v>
          </cell>
          <cell r="BT457">
            <v>52</v>
          </cell>
          <cell r="BU457">
            <v>42191</v>
          </cell>
          <cell r="BV457">
            <v>42199</v>
          </cell>
          <cell r="BW457" t="str">
            <v>96.153964</v>
          </cell>
          <cell r="BX457" t="str">
            <v>20.105226</v>
          </cell>
          <cell r="BY457" t="str">
            <v>C2</v>
          </cell>
          <cell r="BZ457" t="str">
            <v>Ye Aye Village, Ye Aye Group, Tat Kone Township,
Naypyitaw</v>
          </cell>
          <cell r="CA457" t="str">
            <v>U HTUN MYINT</v>
          </cell>
          <cell r="CB457" t="str">
            <v>14 July 15 : C2 SAR sub (C1 – Residents objected to the construction of cell site in their village, according to the township administrator;C02 @ 2Km from Nominal; NP Falls within huge Farmland Area,  OoredoO Tower is @ 364M from this candidate); 10 June 15 : C1 SAR app; 29 June 15 : C1 TSSR approved;9Jun15: C1 SAR Sub</v>
          </cell>
          <cell r="CC457" t="str">
            <v>Residential</v>
          </cell>
          <cell r="CE457">
            <v>1</v>
          </cell>
          <cell r="CF457">
            <v>42192</v>
          </cell>
          <cell r="CG457">
            <v>42200</v>
          </cell>
          <cell r="CH457">
            <v>42194</v>
          </cell>
          <cell r="CJ457">
            <v>42205</v>
          </cell>
          <cell r="CK457" t="str">
            <v>45</v>
          </cell>
          <cell r="CL457" t="str">
            <v>47</v>
          </cell>
          <cell r="CM457" t="str">
            <v>50</v>
          </cell>
          <cell r="CN457">
            <v>7</v>
          </cell>
          <cell r="CO457">
            <v>42197</v>
          </cell>
          <cell r="CP457">
            <v>42207</v>
          </cell>
          <cell r="CQ457" t="str">
            <v>M4: solar + DG + battery</v>
          </cell>
          <cell r="CR457">
            <v>2</v>
          </cell>
          <cell r="CS457">
            <v>42198</v>
          </cell>
          <cell r="CT457">
            <v>42209</v>
          </cell>
          <cell r="CU457" t="str">
            <v>NP0268</v>
          </cell>
          <cell r="DH457">
            <v>24</v>
          </cell>
          <cell r="DI457">
            <v>42208</v>
          </cell>
          <cell r="DK457">
            <v>42205</v>
          </cell>
          <cell r="DL457">
            <v>42215</v>
          </cell>
          <cell r="DM457">
            <v>42209</v>
          </cell>
          <cell r="DO457">
            <v>0</v>
          </cell>
          <cell r="DP457">
            <v>42208</v>
          </cell>
          <cell r="DT457">
            <v>0</v>
          </cell>
          <cell r="DU457">
            <v>42223</v>
          </cell>
          <cell r="DW457">
            <v>0</v>
          </cell>
          <cell r="DY457">
            <v>42209</v>
          </cell>
          <cell r="DZ457">
            <v>42226</v>
          </cell>
          <cell r="EA457" t="str">
            <v>Camusat</v>
          </cell>
          <cell r="EJ457">
            <v>7</v>
          </cell>
          <cell r="EK457">
            <v>42226</v>
          </cell>
          <cell r="EL457">
            <v>42242</v>
          </cell>
          <cell r="EM457">
            <v>42227</v>
          </cell>
          <cell r="EN457">
            <v>42248</v>
          </cell>
          <cell r="EQ457">
            <v>42236</v>
          </cell>
          <cell r="EW457">
            <v>7</v>
          </cell>
          <cell r="EX457">
            <v>42250</v>
          </cell>
          <cell r="EZ457">
            <v>42246</v>
          </cell>
          <cell r="FB457">
            <v>42248</v>
          </cell>
          <cell r="FU457">
            <v>42250</v>
          </cell>
          <cell r="FW457">
            <v>42250</v>
          </cell>
          <cell r="FY457" t="str">
            <v>CFVL</v>
          </cell>
          <cell r="GJ457">
            <v>0</v>
          </cell>
          <cell r="GN457" t="str">
            <v>ERICSSON</v>
          </cell>
          <cell r="GQ457" t="str">
            <v>Fiber Dep.</v>
          </cell>
          <cell r="HD457">
            <v>1</v>
          </cell>
        </row>
        <row r="458">
          <cell r="A458" t="str">
            <v>NP0269</v>
          </cell>
          <cell r="B458" t="str">
            <v>ANNP_0375</v>
          </cell>
          <cell r="C458" t="str">
            <v>Apollo</v>
          </cell>
          <cell r="D458" t="str">
            <v>Chris Thomson</v>
          </cell>
          <cell r="F458" t="str">
            <v>Mya Kyauk</v>
          </cell>
          <cell r="G458" t="str">
            <v>Kaung Htet</v>
          </cell>
          <cell r="H458" t="str">
            <v>AMBER</v>
          </cell>
          <cell r="I458" t="str">
            <v>North</v>
          </cell>
          <cell r="J458" t="str">
            <v>96.180502</v>
          </cell>
          <cell r="K458" t="str">
            <v>20.0418423</v>
          </cell>
          <cell r="L458" t="str">
            <v>Rural</v>
          </cell>
          <cell r="M458" t="str">
            <v>Naypyitaw</v>
          </cell>
          <cell r="N458" t="str">
            <v>Tatkon</v>
          </cell>
          <cell r="O458" t="str">
            <v>Tatkon</v>
          </cell>
          <cell r="P458" t="str">
            <v>Naypyitaw</v>
          </cell>
          <cell r="Q458" t="str">
            <v>10</v>
          </cell>
          <cell r="R458" t="str">
            <v>Tatkon</v>
          </cell>
          <cell r="S458" t="str">
            <v>325</v>
          </cell>
          <cell r="T458" t="str">
            <v>GSM+UMTS</v>
          </cell>
          <cell r="W458" t="str">
            <v>Ph2-Priority</v>
          </cell>
          <cell r="X458" t="str">
            <v>45</v>
          </cell>
          <cell r="Y458" t="str">
            <v>47</v>
          </cell>
          <cell r="Z458" t="str">
            <v>GBT</v>
          </cell>
          <cell r="AA458" t="str">
            <v>500</v>
          </cell>
          <cell r="AB458" t="str">
            <v>Access</v>
          </cell>
          <cell r="AC458" t="str">
            <v>Class C</v>
          </cell>
          <cell r="BE458" t="str">
            <v>Route 13 Mawlamyine-Dawei</v>
          </cell>
          <cell r="BH458" t="str">
            <v>Camusat</v>
          </cell>
          <cell r="BJ458">
            <v>42159</v>
          </cell>
          <cell r="BK458">
            <v>42149</v>
          </cell>
          <cell r="BL458">
            <v>42164</v>
          </cell>
          <cell r="BM458">
            <v>42156</v>
          </cell>
          <cell r="BT458">
            <v>17</v>
          </cell>
          <cell r="BU458">
            <v>42191</v>
          </cell>
          <cell r="BV458">
            <v>42166</v>
          </cell>
          <cell r="BW458" t="str">
            <v>96.17509</v>
          </cell>
          <cell r="BX458" t="str">
            <v>20.04884</v>
          </cell>
          <cell r="BY458" t="str">
            <v>C1</v>
          </cell>
          <cell r="BZ458" t="str">
            <v>Htan Taw Gyi Village, Htan Taw Gyi Group, Tat Kone Township, Nay Pyi Taw.</v>
          </cell>
          <cell r="CA458" t="str">
            <v>U Aung Khin;Htan Taw Gyi Village, Htan Taw Gyi Group, Tat Kone Township, Nay Pyi Taw;09-794884036</v>
          </cell>
          <cell r="CB458" t="str">
            <v>11Jun15: C1 SAR Sub. NP is in farmland</v>
          </cell>
          <cell r="CC458" t="str">
            <v>Residential</v>
          </cell>
          <cell r="CE458">
            <v>1</v>
          </cell>
          <cell r="CF458">
            <v>42192</v>
          </cell>
          <cell r="CG458">
            <v>42167</v>
          </cell>
          <cell r="CH458">
            <v>42194</v>
          </cell>
          <cell r="CJ458">
            <v>42179</v>
          </cell>
          <cell r="CK458" t="str">
            <v>45</v>
          </cell>
          <cell r="CL458" t="str">
            <v>47</v>
          </cell>
          <cell r="CM458" t="str">
            <v>50</v>
          </cell>
          <cell r="CN458">
            <v>14</v>
          </cell>
          <cell r="CO458">
            <v>42197</v>
          </cell>
          <cell r="CP458">
            <v>42181</v>
          </cell>
          <cell r="CQ458" t="str">
            <v>M4: solar + DG + battery</v>
          </cell>
          <cell r="CR458">
            <v>3</v>
          </cell>
          <cell r="CS458">
            <v>42198</v>
          </cell>
          <cell r="CT458">
            <v>42184</v>
          </cell>
          <cell r="CU458" t="str">
            <v>NP0269</v>
          </cell>
          <cell r="DH458">
            <v>49</v>
          </cell>
          <cell r="DI458">
            <v>42208</v>
          </cell>
          <cell r="DK458">
            <v>42205</v>
          </cell>
          <cell r="DL458">
            <v>42199</v>
          </cell>
          <cell r="DM458">
            <v>42209</v>
          </cell>
          <cell r="DN458">
            <v>42199</v>
          </cell>
          <cell r="DO458">
            <v>0</v>
          </cell>
          <cell r="DP458">
            <v>42208</v>
          </cell>
          <cell r="DT458">
            <v>0</v>
          </cell>
          <cell r="DU458">
            <v>42223</v>
          </cell>
          <cell r="DW458">
            <v>0</v>
          </cell>
          <cell r="DY458">
            <v>42209</v>
          </cell>
          <cell r="DZ458">
            <v>42206</v>
          </cell>
          <cell r="EA458" t="str">
            <v>Camusat</v>
          </cell>
          <cell r="EE458" t="str">
            <v xml:space="preserve">10 Aug 15:Rain affected_Progress affected; 4-Aug-15:site is flooded but we are trying to do some work / ACCESS PROBLEM IF CONTINUOUS RAIN (DIRT ROAD)								</v>
          </cell>
          <cell r="EJ458">
            <v>27</v>
          </cell>
          <cell r="EK458">
            <v>42226</v>
          </cell>
          <cell r="EL458">
            <v>42240</v>
          </cell>
          <cell r="EM458">
            <v>42227</v>
          </cell>
          <cell r="EN458">
            <v>42241</v>
          </cell>
          <cell r="EQ458">
            <v>42236</v>
          </cell>
          <cell r="ER458">
            <v>42243</v>
          </cell>
          <cell r="ES458">
            <v>42236</v>
          </cell>
          <cell r="ET458">
            <v>42245</v>
          </cell>
          <cell r="EU458">
            <v>42245</v>
          </cell>
          <cell r="EW458">
            <v>27</v>
          </cell>
          <cell r="EX458">
            <v>42250</v>
          </cell>
          <cell r="EZ458">
            <v>42246</v>
          </cell>
          <cell r="FA458">
            <v>42238</v>
          </cell>
          <cell r="FB458">
            <v>42248</v>
          </cell>
          <cell r="FC458">
            <v>42241</v>
          </cell>
          <cell r="FU458">
            <v>42250</v>
          </cell>
          <cell r="FW458">
            <v>42250</v>
          </cell>
          <cell r="FX458">
            <v>42245</v>
          </cell>
          <cell r="FY458" t="str">
            <v>CFVL</v>
          </cell>
          <cell r="FZ458">
            <v>42245</v>
          </cell>
          <cell r="GI458">
            <v>42307</v>
          </cell>
          <cell r="GJ458" t="str">
            <v>44-2015</v>
          </cell>
          <cell r="GN458" t="str">
            <v>ERICSSON</v>
          </cell>
          <cell r="GS458" t="str">
            <v>4/4/4</v>
          </cell>
          <cell r="GU458" t="str">
            <v xml:space="preserve">		</v>
          </cell>
          <cell r="HD458">
            <v>1</v>
          </cell>
        </row>
        <row r="459">
          <cell r="A459" t="str">
            <v>NP0270</v>
          </cell>
          <cell r="B459" t="str">
            <v>ANNP_0376</v>
          </cell>
          <cell r="C459" t="str">
            <v>Apollo</v>
          </cell>
          <cell r="D459" t="str">
            <v>Chris Thomson</v>
          </cell>
          <cell r="F459" t="str">
            <v>Mya Kyauk</v>
          </cell>
          <cell r="G459" t="str">
            <v>Kaung Htet</v>
          </cell>
          <cell r="H459" t="str">
            <v>AMBER</v>
          </cell>
          <cell r="I459" t="str">
            <v>North</v>
          </cell>
          <cell r="J459" t="str">
            <v>96.187612</v>
          </cell>
          <cell r="K459" t="str">
            <v>20.18927</v>
          </cell>
          <cell r="L459" t="str">
            <v>Rural</v>
          </cell>
          <cell r="M459" t="str">
            <v>Naypyitaw</v>
          </cell>
          <cell r="N459" t="str">
            <v>Tatkon</v>
          </cell>
          <cell r="O459" t="str">
            <v>Tatkon</v>
          </cell>
          <cell r="P459" t="str">
            <v>Naypyitaw</v>
          </cell>
          <cell r="Q459" t="str">
            <v>10</v>
          </cell>
          <cell r="R459" t="str">
            <v>Tatkon</v>
          </cell>
          <cell r="S459" t="str">
            <v>325</v>
          </cell>
          <cell r="T459" t="str">
            <v>GSM+UMTS</v>
          </cell>
          <cell r="W459" t="str">
            <v>Ph2-Priority</v>
          </cell>
          <cell r="X459" t="str">
            <v>45</v>
          </cell>
          <cell r="Y459" t="str">
            <v>47</v>
          </cell>
          <cell r="Z459" t="str">
            <v>GBT</v>
          </cell>
          <cell r="AA459" t="str">
            <v>500</v>
          </cell>
          <cell r="AB459" t="str">
            <v>Access</v>
          </cell>
          <cell r="AC459" t="str">
            <v>Class C</v>
          </cell>
          <cell r="BH459" t="str">
            <v>Camusat</v>
          </cell>
          <cell r="BJ459">
            <v>42159</v>
          </cell>
          <cell r="BK459">
            <v>42130</v>
          </cell>
          <cell r="BL459">
            <v>42164</v>
          </cell>
          <cell r="BM459">
            <v>42161</v>
          </cell>
          <cell r="BT459">
            <v>41</v>
          </cell>
          <cell r="BU459">
            <v>42191</v>
          </cell>
          <cell r="BV459">
            <v>42171</v>
          </cell>
          <cell r="BW459" t="str">
            <v>96.18752</v>
          </cell>
          <cell r="BX459" t="str">
            <v>20.18853</v>
          </cell>
          <cell r="BY459" t="str">
            <v>C1</v>
          </cell>
          <cell r="BZ459" t="str">
            <v>AYE MON VILLAGE,OAI CHIT KONE GROUP,TAT TOWNSHIP,NAYPYITAW.</v>
          </cell>
          <cell r="CA459" t="str">
            <v>U THAW ZIN;09-428118059</v>
          </cell>
          <cell r="CB459" t="str">
            <v>16Jun15: C1 SAR Sub</v>
          </cell>
          <cell r="CE459">
            <v>1</v>
          </cell>
          <cell r="CF459">
            <v>42192</v>
          </cell>
          <cell r="CG459">
            <v>42172</v>
          </cell>
          <cell r="CH459">
            <v>42194</v>
          </cell>
          <cell r="CJ459">
            <v>42184</v>
          </cell>
          <cell r="CK459" t="str">
            <v>45</v>
          </cell>
          <cell r="CL459" t="str">
            <v>47</v>
          </cell>
          <cell r="CM459" t="str">
            <v>50</v>
          </cell>
          <cell r="CN459">
            <v>14</v>
          </cell>
          <cell r="CO459">
            <v>42197</v>
          </cell>
          <cell r="CP459">
            <v>42186</v>
          </cell>
          <cell r="CQ459" t="str">
            <v>M4: solar + DG + battery</v>
          </cell>
          <cell r="CR459">
            <v>1</v>
          </cell>
          <cell r="CS459">
            <v>42198</v>
          </cell>
          <cell r="CT459">
            <v>42187</v>
          </cell>
          <cell r="CU459" t="str">
            <v>NP0270</v>
          </cell>
          <cell r="DH459">
            <v>46</v>
          </cell>
          <cell r="DI459">
            <v>42208</v>
          </cell>
          <cell r="DK459">
            <v>42205</v>
          </cell>
          <cell r="DL459">
            <v>42199</v>
          </cell>
          <cell r="DM459">
            <v>42209</v>
          </cell>
          <cell r="DN459">
            <v>42199</v>
          </cell>
          <cell r="DO459">
            <v>0</v>
          </cell>
          <cell r="DP459">
            <v>42208</v>
          </cell>
          <cell r="DT459">
            <v>0</v>
          </cell>
          <cell r="DU459">
            <v>42223</v>
          </cell>
          <cell r="DW459">
            <v>0</v>
          </cell>
          <cell r="DY459">
            <v>42209</v>
          </cell>
          <cell r="DZ459">
            <v>42206</v>
          </cell>
          <cell r="EA459" t="str">
            <v>Camusat</v>
          </cell>
          <cell r="ED459" t="str">
            <v xml:space="preserve">12Aug15 :KaungHtet: Excavation stage. Three out of four trenches have been excavated and shored because of landslide. The rest one is under excavation.
</v>
          </cell>
          <cell r="EJ459">
            <v>27</v>
          </cell>
          <cell r="EK459">
            <v>42226</v>
          </cell>
          <cell r="EM459">
            <v>42227</v>
          </cell>
          <cell r="EQ459">
            <v>42236</v>
          </cell>
          <cell r="EW459">
            <v>27</v>
          </cell>
          <cell r="EX459">
            <v>42250</v>
          </cell>
          <cell r="EZ459">
            <v>42246</v>
          </cell>
          <cell r="FB459">
            <v>42248</v>
          </cell>
          <cell r="FU459">
            <v>42250</v>
          </cell>
          <cell r="FW459">
            <v>42250</v>
          </cell>
          <cell r="GI459">
            <v>42307</v>
          </cell>
          <cell r="GJ459" t="str">
            <v>44-2015</v>
          </cell>
          <cell r="GN459" t="str">
            <v>ERICSSON</v>
          </cell>
          <cell r="GU459" t="str">
            <v xml:space="preserve">		</v>
          </cell>
          <cell r="HD459">
            <v>1</v>
          </cell>
        </row>
        <row r="460">
          <cell r="A460" t="str">
            <v>NP0271</v>
          </cell>
          <cell r="B460" t="str">
            <v>ANNP_0377</v>
          </cell>
          <cell r="C460" t="str">
            <v>Apollo</v>
          </cell>
          <cell r="D460" t="str">
            <v>Chris Thomson</v>
          </cell>
          <cell r="F460" t="str">
            <v>Mya Kyauk</v>
          </cell>
          <cell r="G460" t="str">
            <v>Kaung Htet</v>
          </cell>
          <cell r="H460" t="str">
            <v>AMBER</v>
          </cell>
          <cell r="I460" t="str">
            <v>North</v>
          </cell>
          <cell r="J460" t="str">
            <v>96.006149</v>
          </cell>
          <cell r="K460" t="str">
            <v>20.100294</v>
          </cell>
          <cell r="L460" t="str">
            <v>Rural</v>
          </cell>
          <cell r="M460" t="str">
            <v>Naypyitaw</v>
          </cell>
          <cell r="N460" t="str">
            <v>Tatkon</v>
          </cell>
          <cell r="O460" t="str">
            <v>Tatkon</v>
          </cell>
          <cell r="P460" t="str">
            <v>Naypyitaw</v>
          </cell>
          <cell r="Q460" t="str">
            <v>10</v>
          </cell>
          <cell r="R460" t="str">
            <v>Tatkon</v>
          </cell>
          <cell r="S460" t="str">
            <v>325</v>
          </cell>
          <cell r="T460" t="str">
            <v>GSM+UMTS</v>
          </cell>
          <cell r="W460" t="str">
            <v>Ph2-Priority</v>
          </cell>
          <cell r="X460" t="str">
            <v>45</v>
          </cell>
          <cell r="Y460" t="str">
            <v>47</v>
          </cell>
          <cell r="Z460" t="str">
            <v>GBT</v>
          </cell>
          <cell r="AA460" t="str">
            <v>500</v>
          </cell>
          <cell r="AB460" t="str">
            <v>Access</v>
          </cell>
          <cell r="AC460" t="str">
            <v>Class C</v>
          </cell>
          <cell r="BH460" t="str">
            <v>Camusat</v>
          </cell>
          <cell r="BJ460">
            <v>42159</v>
          </cell>
          <cell r="BK460">
            <v>42144</v>
          </cell>
          <cell r="BL460">
            <v>42164</v>
          </cell>
          <cell r="BM460">
            <v>42151</v>
          </cell>
          <cell r="BT460">
            <v>17</v>
          </cell>
          <cell r="BU460">
            <v>42223</v>
          </cell>
          <cell r="BV460">
            <v>42161</v>
          </cell>
          <cell r="BW460" t="str">
            <v>96.000325</v>
          </cell>
          <cell r="BX460" t="str">
            <v>20.09831</v>
          </cell>
          <cell r="BY460" t="str">
            <v>C1</v>
          </cell>
          <cell r="BZ460" t="str">
            <v>Twin Ni Village, Myat Ye Group, Tat Kone Township, Nay Pyi Taw.</v>
          </cell>
          <cell r="CA460" t="str">
            <v>U Khin Maung Myint;Twin Ni Village, Myat Ye Group, Tat Kone Township, Nay Pyi Taw;09-252116290</v>
          </cell>
          <cell r="CB460" t="str">
            <v>6Jun15: C1 SAR Sub</v>
          </cell>
          <cell r="CC460" t="str">
            <v>RESIDENTIAL</v>
          </cell>
          <cell r="CE460">
            <v>2</v>
          </cell>
          <cell r="CF460">
            <v>42224</v>
          </cell>
          <cell r="CG460">
            <v>42163</v>
          </cell>
          <cell r="CH460">
            <v>42226</v>
          </cell>
          <cell r="CJ460">
            <v>42165</v>
          </cell>
          <cell r="CK460" t="str">
            <v>45</v>
          </cell>
          <cell r="CL460" t="str">
            <v>47</v>
          </cell>
          <cell r="CM460" t="str">
            <v>50</v>
          </cell>
          <cell r="CN460">
            <v>4</v>
          </cell>
          <cell r="CO460">
            <v>42229</v>
          </cell>
          <cell r="CP460">
            <v>42167</v>
          </cell>
          <cell r="CQ460" t="str">
            <v>M4: solar + DG + battery</v>
          </cell>
          <cell r="CR460">
            <v>3</v>
          </cell>
          <cell r="CS460">
            <v>42230</v>
          </cell>
          <cell r="CT460">
            <v>42170</v>
          </cell>
          <cell r="CU460" t="str">
            <v>NP0271</v>
          </cell>
          <cell r="DH460">
            <v>63</v>
          </cell>
          <cell r="DI460">
            <v>42240</v>
          </cell>
          <cell r="DK460">
            <v>42237</v>
          </cell>
          <cell r="DL460">
            <v>42207</v>
          </cell>
          <cell r="DM460">
            <v>42241</v>
          </cell>
          <cell r="DN460">
            <v>42207</v>
          </cell>
          <cell r="DO460">
            <v>0</v>
          </cell>
          <cell r="DP460">
            <v>42240</v>
          </cell>
          <cell r="DT460">
            <v>0</v>
          </cell>
          <cell r="DU460">
            <v>42255</v>
          </cell>
          <cell r="DW460">
            <v>0</v>
          </cell>
          <cell r="DY460">
            <v>42241</v>
          </cell>
          <cell r="DZ460">
            <v>42208</v>
          </cell>
          <cell r="EA460" t="str">
            <v>Camusat</v>
          </cell>
          <cell r="EB460">
            <v>42217</v>
          </cell>
          <cell r="EE460" t="str">
            <v xml:space="preserve">10 Aug 15:Flood affected_Hold-No access; 1-Aug-15: ACCESS PROBLEM IF CONTINUOUS RAIN (DIRT ROAD)								</v>
          </cell>
          <cell r="EJ460">
            <v>25</v>
          </cell>
          <cell r="EK460">
            <v>42258</v>
          </cell>
          <cell r="EM460">
            <v>42259</v>
          </cell>
          <cell r="EQ460">
            <v>42268</v>
          </cell>
          <cell r="EW460">
            <v>25</v>
          </cell>
          <cell r="EX460">
            <v>42225</v>
          </cell>
          <cell r="EZ460">
            <v>42278</v>
          </cell>
          <cell r="FB460">
            <v>42280</v>
          </cell>
          <cell r="FU460">
            <v>42282</v>
          </cell>
          <cell r="FW460">
            <v>42282</v>
          </cell>
          <cell r="GI460">
            <v>42307</v>
          </cell>
          <cell r="GJ460" t="str">
            <v>44-2015</v>
          </cell>
          <cell r="GN460" t="str">
            <v>ERICSSON</v>
          </cell>
          <cell r="GU460" t="str">
            <v xml:space="preserve">		</v>
          </cell>
          <cell r="HD460">
            <v>1</v>
          </cell>
        </row>
        <row r="461">
          <cell r="A461" t="str">
            <v>NP0273</v>
          </cell>
          <cell r="B461" t="str">
            <v>ANNP_0378</v>
          </cell>
          <cell r="C461" t="str">
            <v>Apollo</v>
          </cell>
          <cell r="D461" t="str">
            <v>Chris Thomson</v>
          </cell>
          <cell r="F461" t="str">
            <v>Mya Kyauk</v>
          </cell>
          <cell r="G461" t="str">
            <v>Kaung Htet</v>
          </cell>
          <cell r="H461" t="str">
            <v>RED</v>
          </cell>
          <cell r="I461" t="str">
            <v>North</v>
          </cell>
          <cell r="J461" t="str">
            <v>96.001528</v>
          </cell>
          <cell r="K461" t="str">
            <v>20.002998</v>
          </cell>
          <cell r="L461" t="str">
            <v>Rural</v>
          </cell>
          <cell r="M461" t="str">
            <v>Naypyitaw</v>
          </cell>
          <cell r="N461" t="str">
            <v>Oke Ta Ra Thi Ri</v>
          </cell>
          <cell r="O461" t="str">
            <v>Oke Ta Ra Thi Ri</v>
          </cell>
          <cell r="P461" t="str">
            <v>Naypyitaw</v>
          </cell>
          <cell r="Q461" t="str">
            <v>10</v>
          </cell>
          <cell r="R461" t="str">
            <v>Oke Ta Ra Thi Ri</v>
          </cell>
          <cell r="S461" t="str">
            <v>330</v>
          </cell>
          <cell r="T461" t="str">
            <v>GSM+UMTS</v>
          </cell>
          <cell r="U461" t="str">
            <v>NAY_N002</v>
          </cell>
          <cell r="V461" t="str">
            <v>3</v>
          </cell>
          <cell r="W461" t="str">
            <v>Ph2-Priority</v>
          </cell>
          <cell r="X461" t="str">
            <v>45</v>
          </cell>
          <cell r="Y461" t="str">
            <v>47</v>
          </cell>
          <cell r="Z461" t="str">
            <v>GBT</v>
          </cell>
          <cell r="AA461" t="str">
            <v>500</v>
          </cell>
          <cell r="AB461" t="str">
            <v>Access</v>
          </cell>
          <cell r="AC461" t="str">
            <v>Class C</v>
          </cell>
          <cell r="AD461" t="str">
            <v>1323</v>
          </cell>
          <cell r="AE461" t="str">
            <v>1588</v>
          </cell>
          <cell r="AF461" t="str">
            <v>1</v>
          </cell>
          <cell r="AG461" t="str">
            <v>NP0034</v>
          </cell>
          <cell r="AH461" t="str">
            <v>NP0071</v>
          </cell>
          <cell r="BC461" t="str">
            <v>NP0071</v>
          </cell>
          <cell r="BD461" t="str">
            <v>7</v>
          </cell>
          <cell r="BE461" t="str">
            <v>Route 7 Bago - Pyawbwe</v>
          </cell>
          <cell r="BF461">
            <v>41760</v>
          </cell>
          <cell r="BG461">
            <v>42008</v>
          </cell>
          <cell r="BH461" t="str">
            <v>Camusat</v>
          </cell>
          <cell r="BJ461">
            <v>42159</v>
          </cell>
          <cell r="BK461">
            <v>42144</v>
          </cell>
          <cell r="BL461">
            <v>42164</v>
          </cell>
          <cell r="BM461">
            <v>42151</v>
          </cell>
          <cell r="BN461" t="str">
            <v>Govt. Land</v>
          </cell>
          <cell r="BO461">
            <v>41650</v>
          </cell>
          <cell r="BP461" t="str">
            <v>Submit to MCIT</v>
          </cell>
          <cell r="BQ461" t="str">
            <v>Ministry of forestry</v>
          </cell>
          <cell r="BT461">
            <v>17</v>
          </cell>
          <cell r="BU461">
            <v>42223</v>
          </cell>
          <cell r="BV461">
            <v>42161</v>
          </cell>
          <cell r="BW461" t="str">
            <v>96.000897</v>
          </cell>
          <cell r="BX461" t="str">
            <v>20.003458</v>
          </cell>
          <cell r="BY461" t="str">
            <v>C1</v>
          </cell>
          <cell r="BZ461" t="str">
            <v>Thayet Taw Village, Thayet Taw Group, Oattara Thiri Township, Nay Pyi Taw</v>
          </cell>
          <cell r="CA461" t="str">
            <v>U Kyaw Tint;Thayet Taw Village, Thayet Taw Group, Oattara Thiri Township, Nay Pyi Taw;09-250198800 , 09-33546959</v>
          </cell>
          <cell r="CB461" t="str">
            <v>6Jun15: C1 SAR Sub</v>
          </cell>
          <cell r="CC461" t="str">
            <v>Residential</v>
          </cell>
          <cell r="CE461">
            <v>2</v>
          </cell>
          <cell r="CF461">
            <v>42224</v>
          </cell>
          <cell r="CG461">
            <v>42163</v>
          </cell>
          <cell r="CH461">
            <v>42226</v>
          </cell>
          <cell r="CJ461">
            <v>42165</v>
          </cell>
          <cell r="CK461" t="str">
            <v>45</v>
          </cell>
          <cell r="CL461" t="str">
            <v>47</v>
          </cell>
          <cell r="CM461" t="str">
            <v>50</v>
          </cell>
          <cell r="CN461">
            <v>4</v>
          </cell>
          <cell r="CO461">
            <v>42229</v>
          </cell>
          <cell r="CP461">
            <v>42167</v>
          </cell>
          <cell r="CQ461" t="str">
            <v>M4: solar + DG + battery</v>
          </cell>
          <cell r="CR461">
            <v>3</v>
          </cell>
          <cell r="CS461">
            <v>42230</v>
          </cell>
          <cell r="CT461">
            <v>42170</v>
          </cell>
          <cell r="CU461" t="str">
            <v>NP0273</v>
          </cell>
          <cell r="DH461">
            <v>63</v>
          </cell>
          <cell r="DI461">
            <v>42240</v>
          </cell>
          <cell r="DK461">
            <v>42237</v>
          </cell>
          <cell r="DM461">
            <v>42241</v>
          </cell>
          <cell r="DO461">
            <v>0</v>
          </cell>
          <cell r="DP461">
            <v>42240</v>
          </cell>
          <cell r="DT461">
            <v>0</v>
          </cell>
          <cell r="DU461">
            <v>42255</v>
          </cell>
          <cell r="DW461">
            <v>0</v>
          </cell>
          <cell r="DY461">
            <v>42241</v>
          </cell>
          <cell r="DZ461">
            <v>42184</v>
          </cell>
          <cell r="EA461" t="str">
            <v>Camusat</v>
          </cell>
          <cell r="ED461" t="str">
            <v>20Jul15 :KaungHtet: 17-Jul-2015: Pedestal casting is done and backfilling work is ongoing. Tower materials are at site.
06Jul15 :KaungHtet: Rebar work preparation for foundation slab is ongoing.</v>
          </cell>
          <cell r="EI461" t="str">
            <v>M5: grid power + DG + battery      </v>
          </cell>
          <cell r="EJ461">
            <v>0</v>
          </cell>
          <cell r="EK461">
            <v>42258</v>
          </cell>
          <cell r="EL461">
            <v>42199</v>
          </cell>
          <cell r="EM461">
            <v>42259</v>
          </cell>
          <cell r="EN461">
            <v>42200</v>
          </cell>
          <cell r="EQ461">
            <v>42268</v>
          </cell>
          <cell r="ER461">
            <v>42206</v>
          </cell>
          <cell r="ES461">
            <v>42209</v>
          </cell>
          <cell r="ET461">
            <v>42213</v>
          </cell>
          <cell r="EU461">
            <v>42213</v>
          </cell>
          <cell r="EW461">
            <v>0</v>
          </cell>
          <cell r="EX461">
            <v>42225</v>
          </cell>
          <cell r="EZ461">
            <v>42278</v>
          </cell>
          <cell r="FA461">
            <v>42212</v>
          </cell>
          <cell r="FB461">
            <v>42280</v>
          </cell>
          <cell r="FC461">
            <v>42213</v>
          </cell>
          <cell r="FD461">
            <v>41932</v>
          </cell>
          <cell r="FE461">
            <v>42193</v>
          </cell>
          <cell r="FF461">
            <v>41939</v>
          </cell>
          <cell r="FH461">
            <v>41941</v>
          </cell>
          <cell r="FJ461">
            <v>41944</v>
          </cell>
          <cell r="FN461">
            <v>41948</v>
          </cell>
          <cell r="FP461">
            <v>41950</v>
          </cell>
          <cell r="FR461">
            <v>41964</v>
          </cell>
          <cell r="FU461">
            <v>42282</v>
          </cell>
          <cell r="FV461">
            <v>42215</v>
          </cell>
          <cell r="FW461">
            <v>42282</v>
          </cell>
          <cell r="FX461">
            <v>42213</v>
          </cell>
          <cell r="FY461" t="str">
            <v>CFVL</v>
          </cell>
          <cell r="FZ461">
            <v>42213</v>
          </cell>
          <cell r="GA461">
            <v>42216</v>
          </cell>
          <cell r="GB461">
            <v>42218</v>
          </cell>
          <cell r="GC461">
            <v>42219</v>
          </cell>
          <cell r="GD461">
            <v>42219</v>
          </cell>
          <cell r="GE461">
            <v>42219</v>
          </cell>
          <cell r="GF461">
            <v>42102</v>
          </cell>
          <cell r="GG461">
            <v>42219</v>
          </cell>
          <cell r="GH461">
            <v>42219</v>
          </cell>
          <cell r="GI461">
            <v>41900</v>
          </cell>
          <cell r="GJ461">
            <v>0</v>
          </cell>
          <cell r="GK461">
            <v>42219</v>
          </cell>
          <cell r="GN461" t="str">
            <v>ERICSSON</v>
          </cell>
          <cell r="HD461">
            <v>1</v>
          </cell>
        </row>
        <row r="462">
          <cell r="A462" t="str">
            <v>NP0274</v>
          </cell>
          <cell r="B462" t="str">
            <v>ANNP_0379</v>
          </cell>
          <cell r="C462" t="str">
            <v>Apollo</v>
          </cell>
          <cell r="D462" t="str">
            <v>Chris Thomson</v>
          </cell>
          <cell r="F462" t="str">
            <v>Mya Kyauk</v>
          </cell>
          <cell r="G462" t="str">
            <v>Kaung Htet</v>
          </cell>
          <cell r="H462" t="str">
            <v>RED</v>
          </cell>
          <cell r="I462" t="str">
            <v>North</v>
          </cell>
          <cell r="J462" t="str">
            <v>96.0636918999999</v>
          </cell>
          <cell r="K462" t="str">
            <v>19.9348448</v>
          </cell>
          <cell r="L462" t="str">
            <v>Rural</v>
          </cell>
          <cell r="M462" t="str">
            <v>Naypyitaw</v>
          </cell>
          <cell r="N462" t="str">
            <v>Oke Ta Ra Thi Ri</v>
          </cell>
          <cell r="O462" t="str">
            <v>Oke Ta Ra Thi Ri</v>
          </cell>
          <cell r="P462" t="str">
            <v>Naypyitaw</v>
          </cell>
          <cell r="Q462" t="str">
            <v>10</v>
          </cell>
          <cell r="R462" t="str">
            <v>Oke Ta Ra Thi Ri</v>
          </cell>
          <cell r="S462" t="str">
            <v>330</v>
          </cell>
          <cell r="T462" t="str">
            <v>GSM+UMTS</v>
          </cell>
          <cell r="W462" t="str">
            <v>Ph2-Priority</v>
          </cell>
          <cell r="X462" t="str">
            <v>45</v>
          </cell>
          <cell r="Y462" t="str">
            <v>47</v>
          </cell>
          <cell r="Z462" t="str">
            <v>GBT</v>
          </cell>
          <cell r="AA462" t="str">
            <v>500</v>
          </cell>
          <cell r="AB462" t="str">
            <v>Access</v>
          </cell>
          <cell r="AC462" t="str">
            <v>Class C</v>
          </cell>
          <cell r="BH462" t="str">
            <v>Leadcom</v>
          </cell>
          <cell r="BJ462">
            <v>42159</v>
          </cell>
          <cell r="BK462">
            <v>42166</v>
          </cell>
          <cell r="BL462">
            <v>42164</v>
          </cell>
          <cell r="BT462">
            <v>67</v>
          </cell>
          <cell r="BU462">
            <v>42209</v>
          </cell>
          <cell r="BY462" t="str">
            <v>Reject</v>
          </cell>
          <cell r="CB462" t="str">
            <v>13 Aug 15: C2 deactivate because of Low Soil barreing capacity ;7 Aug 15 : C2 TSSR app; 6 Aug 15 : C2 TSSR sub;29 Jul 15 : C2 SAR app;28 July 15 : C2 SAR sub;C1 farmland</v>
          </cell>
          <cell r="CE462">
            <v>0</v>
          </cell>
          <cell r="CF462">
            <v>42210</v>
          </cell>
          <cell r="CH462">
            <v>42212</v>
          </cell>
          <cell r="CN462">
            <v>0</v>
          </cell>
          <cell r="CO462">
            <v>42215</v>
          </cell>
          <cell r="CQ462" t="str">
            <v>M1: grid power + battery</v>
          </cell>
          <cell r="CR462">
            <v>0</v>
          </cell>
          <cell r="CS462">
            <v>42216</v>
          </cell>
          <cell r="CU462" t="str">
            <v>NP0274</v>
          </cell>
          <cell r="DH462">
            <v>0</v>
          </cell>
          <cell r="DI462">
            <v>42226</v>
          </cell>
          <cell r="DK462">
            <v>42223</v>
          </cell>
          <cell r="DM462">
            <v>42227</v>
          </cell>
          <cell r="DO462">
            <v>0</v>
          </cell>
          <cell r="DP462">
            <v>42226</v>
          </cell>
          <cell r="DT462">
            <v>0</v>
          </cell>
          <cell r="DU462">
            <v>42241</v>
          </cell>
          <cell r="DW462">
            <v>0</v>
          </cell>
          <cell r="DY462">
            <v>42227</v>
          </cell>
          <cell r="EA462" t="str">
            <v>Leadcom</v>
          </cell>
          <cell r="EJ462">
            <v>0</v>
          </cell>
          <cell r="EK462">
            <v>42244</v>
          </cell>
          <cell r="EM462">
            <v>42245</v>
          </cell>
          <cell r="EQ462">
            <v>42254</v>
          </cell>
          <cell r="EW462">
            <v>0</v>
          </cell>
          <cell r="EX462">
            <v>42268</v>
          </cell>
          <cell r="EZ462">
            <v>42264</v>
          </cell>
          <cell r="FB462">
            <v>42266</v>
          </cell>
          <cell r="FU462">
            <v>42268</v>
          </cell>
          <cell r="FW462">
            <v>42268</v>
          </cell>
          <cell r="GJ462">
            <v>0</v>
          </cell>
          <cell r="GN462" t="str">
            <v>ERICSSON</v>
          </cell>
          <cell r="GU462" t="str">
            <v xml:space="preserve">		</v>
          </cell>
          <cell r="HD462">
            <v>1</v>
          </cell>
        </row>
        <row r="463">
          <cell r="A463" t="str">
            <v>NP0275</v>
          </cell>
          <cell r="B463" t="str">
            <v>ANNP_0380</v>
          </cell>
          <cell r="C463" t="str">
            <v>Apollo</v>
          </cell>
          <cell r="D463" t="str">
            <v>Chris Thomson</v>
          </cell>
          <cell r="F463" t="str">
            <v>Mya Kyauk</v>
          </cell>
          <cell r="G463" t="str">
            <v>Kaung Htet</v>
          </cell>
          <cell r="H463" t="str">
            <v>RED</v>
          </cell>
          <cell r="I463" t="str">
            <v>North</v>
          </cell>
          <cell r="J463" t="str">
            <v>96.103258481</v>
          </cell>
          <cell r="K463" t="str">
            <v>19.936213502</v>
          </cell>
          <cell r="L463" t="str">
            <v>Rural</v>
          </cell>
          <cell r="M463" t="str">
            <v>Naypyitaw</v>
          </cell>
          <cell r="N463" t="str">
            <v>Oke Ta Ra Thi Ri</v>
          </cell>
          <cell r="O463" t="str">
            <v>Oke Ta Ra Thi Ri</v>
          </cell>
          <cell r="P463" t="str">
            <v>Naypyitaw</v>
          </cell>
          <cell r="Q463" t="str">
            <v>10</v>
          </cell>
          <cell r="R463" t="str">
            <v>Oke Ta Ra Thi Ri</v>
          </cell>
          <cell r="S463" t="str">
            <v>330</v>
          </cell>
          <cell r="T463" t="str">
            <v>GSM+UMTS</v>
          </cell>
          <cell r="W463" t="str">
            <v>Ph2-Priority</v>
          </cell>
          <cell r="X463" t="str">
            <v>45</v>
          </cell>
          <cell r="Y463" t="str">
            <v>47</v>
          </cell>
          <cell r="Z463" t="str">
            <v>GBT</v>
          </cell>
          <cell r="AA463" t="str">
            <v>500</v>
          </cell>
          <cell r="AB463" t="str">
            <v>Access</v>
          </cell>
          <cell r="AC463" t="str">
            <v>Class C</v>
          </cell>
          <cell r="BH463" t="str">
            <v>Leadcom</v>
          </cell>
          <cell r="BJ463">
            <v>42159</v>
          </cell>
          <cell r="BL463">
            <v>42164</v>
          </cell>
          <cell r="BT463">
            <v>42158</v>
          </cell>
          <cell r="BU463">
            <v>42209</v>
          </cell>
          <cell r="BV463">
            <v>42195</v>
          </cell>
          <cell r="BW463" t="str">
            <v>97.542295</v>
          </cell>
          <cell r="BX463" t="str">
            <v>16.285917</v>
          </cell>
          <cell r="BY463" t="str">
            <v>C1</v>
          </cell>
          <cell r="BZ463" t="str">
            <v>Muritgale village, Chaung Sone Tsp, Mon State.</v>
          </cell>
          <cell r="CA463" t="str">
            <v>U Ko Kyi,09 49801725, 09 255994960</v>
          </cell>
          <cell r="CC463" t="str">
            <v>GARDEN</v>
          </cell>
          <cell r="CE463">
            <v>0</v>
          </cell>
          <cell r="CF463">
            <v>42210</v>
          </cell>
          <cell r="CG463">
            <v>42200</v>
          </cell>
          <cell r="CH463">
            <v>42212</v>
          </cell>
          <cell r="CJ463">
            <v>42211</v>
          </cell>
          <cell r="CK463" t="str">
            <v>45</v>
          </cell>
          <cell r="CL463" t="str">
            <v>47</v>
          </cell>
          <cell r="CM463" t="str">
            <v>60</v>
          </cell>
          <cell r="CN463">
            <v>0</v>
          </cell>
          <cell r="CO463">
            <v>42215</v>
          </cell>
          <cell r="CP463">
            <v>42213</v>
          </cell>
          <cell r="CQ463" t="str">
            <v>M1: grid power + battery</v>
          </cell>
          <cell r="CR463">
            <v>0</v>
          </cell>
          <cell r="CS463">
            <v>42216</v>
          </cell>
          <cell r="CT463">
            <v>42214</v>
          </cell>
          <cell r="CU463" t="str">
            <v>NP0275</v>
          </cell>
          <cell r="DH463">
            <v>0</v>
          </cell>
          <cell r="DI463">
            <v>42226</v>
          </cell>
          <cell r="DJ463">
            <v>42217</v>
          </cell>
          <cell r="DK463">
            <v>42223</v>
          </cell>
          <cell r="DM463">
            <v>42227</v>
          </cell>
          <cell r="DO463">
            <v>0</v>
          </cell>
          <cell r="DP463">
            <v>42226</v>
          </cell>
          <cell r="DQ463">
            <v>42217</v>
          </cell>
          <cell r="DT463">
            <v>0</v>
          </cell>
          <cell r="DU463">
            <v>42241</v>
          </cell>
          <cell r="DW463">
            <v>0</v>
          </cell>
          <cell r="DY463">
            <v>42227</v>
          </cell>
          <cell r="DZ463">
            <v>42234</v>
          </cell>
          <cell r="EA463" t="str">
            <v>Leadcom</v>
          </cell>
          <cell r="EJ463">
            <v>0</v>
          </cell>
          <cell r="EK463">
            <v>42244</v>
          </cell>
          <cell r="EM463">
            <v>42245</v>
          </cell>
          <cell r="EQ463">
            <v>42254</v>
          </cell>
          <cell r="EW463">
            <v>0</v>
          </cell>
          <cell r="EX463">
            <v>42268</v>
          </cell>
          <cell r="EZ463">
            <v>42264</v>
          </cell>
          <cell r="FB463">
            <v>42266</v>
          </cell>
          <cell r="FU463">
            <v>42268</v>
          </cell>
          <cell r="FW463">
            <v>42268</v>
          </cell>
          <cell r="GI463">
            <v>42277</v>
          </cell>
          <cell r="GJ463">
            <v>0</v>
          </cell>
          <cell r="GN463" t="str">
            <v>ERICSSON</v>
          </cell>
          <cell r="GU463" t="str">
            <v xml:space="preserve">		</v>
          </cell>
          <cell r="HD463">
            <v>1</v>
          </cell>
        </row>
        <row r="464">
          <cell r="A464" t="str">
            <v>NP0276</v>
          </cell>
          <cell r="B464" t="str">
            <v>ANNP_0381</v>
          </cell>
          <cell r="C464" t="str">
            <v>Apollo</v>
          </cell>
          <cell r="D464" t="str">
            <v>Chris Thomson</v>
          </cell>
          <cell r="F464" t="str">
            <v>Mya Kyauk</v>
          </cell>
          <cell r="G464" t="str">
            <v>Kaung Htet</v>
          </cell>
          <cell r="H464" t="str">
            <v>RED</v>
          </cell>
          <cell r="I464" t="str">
            <v>North</v>
          </cell>
          <cell r="J464" t="str">
            <v>95.908235</v>
          </cell>
          <cell r="K464" t="str">
            <v>19.99339</v>
          </cell>
          <cell r="L464" t="str">
            <v>Rural</v>
          </cell>
          <cell r="M464" t="str">
            <v>Naypyitaw</v>
          </cell>
          <cell r="N464" t="str">
            <v>Oke Ta Ra Thi Ri</v>
          </cell>
          <cell r="O464" t="str">
            <v>Oke Ta Ra Thi Ri</v>
          </cell>
          <cell r="P464" t="str">
            <v>Naypyitaw</v>
          </cell>
          <cell r="Q464" t="str">
            <v>10</v>
          </cell>
          <cell r="R464" t="str">
            <v>Oke Ta Ra Thi Ri</v>
          </cell>
          <cell r="S464" t="str">
            <v>330</v>
          </cell>
          <cell r="T464" t="str">
            <v>GSM+UMTS</v>
          </cell>
          <cell r="W464" t="str">
            <v>Ph2-Priority</v>
          </cell>
          <cell r="X464" t="str">
            <v>45</v>
          </cell>
          <cell r="Y464" t="str">
            <v>47</v>
          </cell>
          <cell r="AA464" t="str">
            <v>500</v>
          </cell>
          <cell r="AB464" t="str">
            <v>Access</v>
          </cell>
          <cell r="AC464" t="str">
            <v>Class C</v>
          </cell>
          <cell r="BH464" t="str">
            <v>Camusat</v>
          </cell>
          <cell r="BJ464">
            <v>42159</v>
          </cell>
          <cell r="BK464">
            <v>42175</v>
          </cell>
          <cell r="BL464">
            <v>42164</v>
          </cell>
          <cell r="BM464">
            <v>42178</v>
          </cell>
          <cell r="BT464">
            <v>58</v>
          </cell>
          <cell r="BU464">
            <v>42223</v>
          </cell>
          <cell r="CE464">
            <v>0</v>
          </cell>
          <cell r="CF464">
            <v>42224</v>
          </cell>
          <cell r="CH464">
            <v>42226</v>
          </cell>
          <cell r="CN464">
            <v>0</v>
          </cell>
          <cell r="CO464">
            <v>42229</v>
          </cell>
          <cell r="CR464">
            <v>0</v>
          </cell>
          <cell r="CS464">
            <v>42230</v>
          </cell>
          <cell r="CU464" t="str">
            <v>NP0276</v>
          </cell>
          <cell r="DH464">
            <v>0</v>
          </cell>
          <cell r="DI464">
            <v>42240</v>
          </cell>
          <cell r="DK464">
            <v>42237</v>
          </cell>
          <cell r="DM464">
            <v>42241</v>
          </cell>
          <cell r="DO464">
            <v>0</v>
          </cell>
          <cell r="DP464">
            <v>42240</v>
          </cell>
          <cell r="DT464">
            <v>0</v>
          </cell>
          <cell r="DU464">
            <v>42255</v>
          </cell>
          <cell r="DW464">
            <v>0</v>
          </cell>
          <cell r="DY464">
            <v>42241</v>
          </cell>
          <cell r="EA464" t="str">
            <v>Camusat</v>
          </cell>
          <cell r="EJ464">
            <v>0</v>
          </cell>
          <cell r="EK464">
            <v>42258</v>
          </cell>
          <cell r="EM464">
            <v>42259</v>
          </cell>
          <cell r="EQ464">
            <v>42268</v>
          </cell>
          <cell r="EW464">
            <v>0</v>
          </cell>
          <cell r="EX464">
            <v>42225</v>
          </cell>
          <cell r="EZ464">
            <v>42278</v>
          </cell>
          <cell r="FB464">
            <v>42280</v>
          </cell>
          <cell r="FU464">
            <v>42282</v>
          </cell>
          <cell r="FW464">
            <v>42282</v>
          </cell>
          <cell r="GI464">
            <v>42277</v>
          </cell>
          <cell r="GJ464">
            <v>0</v>
          </cell>
          <cell r="GN464" t="str">
            <v>ERICSSON</v>
          </cell>
          <cell r="GS464" t="str">
            <v>4/4/4</v>
          </cell>
          <cell r="GU464" t="str">
            <v xml:space="preserve">		</v>
          </cell>
          <cell r="HD464">
            <v>1</v>
          </cell>
        </row>
        <row r="465">
          <cell r="A465" t="str">
            <v>NP0278</v>
          </cell>
          <cell r="B465" t="str">
            <v>ANNP_0382</v>
          </cell>
          <cell r="C465" t="str">
            <v>Apollo</v>
          </cell>
          <cell r="D465" t="str">
            <v>Chris Thomson</v>
          </cell>
          <cell r="F465" t="str">
            <v>Mya Kyauk</v>
          </cell>
          <cell r="G465" t="str">
            <v>Kaung Htet</v>
          </cell>
          <cell r="H465" t="str">
            <v>AMBER</v>
          </cell>
          <cell r="I465" t="str">
            <v>North</v>
          </cell>
          <cell r="J465" t="str">
            <v>96.1335304</v>
          </cell>
          <cell r="K465" t="str">
            <v>19.9837593</v>
          </cell>
          <cell r="L465" t="str">
            <v>Rural</v>
          </cell>
          <cell r="M465" t="str">
            <v>Naypyitaw</v>
          </cell>
          <cell r="N465" t="str">
            <v>Oke Ta Ra Thi Ri</v>
          </cell>
          <cell r="O465" t="str">
            <v>Oke Ta Ra Thi Ri</v>
          </cell>
          <cell r="P465" t="str">
            <v>Naypyitaw</v>
          </cell>
          <cell r="Q465" t="str">
            <v>10</v>
          </cell>
          <cell r="R465" t="str">
            <v>Oke Ta Ra Thi Ri</v>
          </cell>
          <cell r="S465" t="str">
            <v>330</v>
          </cell>
          <cell r="T465" t="str">
            <v>GSM+UMTS</v>
          </cell>
          <cell r="W465" t="str">
            <v>Ph2-Priority</v>
          </cell>
          <cell r="X465" t="str">
            <v>45</v>
          </cell>
          <cell r="Y465" t="str">
            <v>47</v>
          </cell>
          <cell r="Z465" t="str">
            <v>GBT</v>
          </cell>
          <cell r="AA465" t="str">
            <v>500</v>
          </cell>
          <cell r="AB465" t="str">
            <v>Access</v>
          </cell>
          <cell r="AC465" t="str">
            <v>Class C</v>
          </cell>
          <cell r="BE465" t="str">
            <v>Kyauktaw-Kyaukpadaung</v>
          </cell>
          <cell r="BH465" t="str">
            <v>Camusat</v>
          </cell>
          <cell r="BJ465">
            <v>42159</v>
          </cell>
          <cell r="BK465">
            <v>42171</v>
          </cell>
          <cell r="BL465">
            <v>42164</v>
          </cell>
          <cell r="BM465">
            <v>42178</v>
          </cell>
          <cell r="BT465">
            <v>16</v>
          </cell>
          <cell r="BU465">
            <v>42191</v>
          </cell>
          <cell r="BV465">
            <v>42187</v>
          </cell>
          <cell r="BW465" t="str">
            <v>96.15066</v>
          </cell>
          <cell r="BX465" t="str">
            <v>19.98017</v>
          </cell>
          <cell r="BY465" t="str">
            <v>C1</v>
          </cell>
          <cell r="BZ465" t="str">
            <v>Aung Thiri Village,Tha Pyay San Group,96.150660200 Kph160 Kph16.41' (5M)19.68' (6M)Poppa Thiri Township,Nay Pyi Taw.</v>
          </cell>
          <cell r="CA465" t="str">
            <v>U Thein Win - 09 31003329</v>
          </cell>
          <cell r="CB465" t="str">
            <v>2 July 15 : C1 SAR sub(1.8 KM from NP; NP that falls within huge forestry area)</v>
          </cell>
          <cell r="CC465" t="str">
            <v>Residential</v>
          </cell>
          <cell r="CE465">
            <v>1</v>
          </cell>
          <cell r="CF465">
            <v>42192</v>
          </cell>
          <cell r="CG465">
            <v>42188</v>
          </cell>
          <cell r="CH465">
            <v>42194</v>
          </cell>
          <cell r="CJ465">
            <v>42211</v>
          </cell>
          <cell r="CK465" t="str">
            <v>45</v>
          </cell>
          <cell r="CL465" t="str">
            <v>47</v>
          </cell>
          <cell r="CM465" t="str">
            <v>50</v>
          </cell>
          <cell r="CN465">
            <v>25</v>
          </cell>
          <cell r="CO465">
            <v>42197</v>
          </cell>
          <cell r="CP465">
            <v>42213</v>
          </cell>
          <cell r="CQ465" t="str">
            <v>M1: grid power + battery</v>
          </cell>
          <cell r="CR465">
            <v>1</v>
          </cell>
          <cell r="CS465">
            <v>42198</v>
          </cell>
          <cell r="CT465">
            <v>42214</v>
          </cell>
          <cell r="CU465" t="str">
            <v>NP0278</v>
          </cell>
          <cell r="DH465">
            <v>19</v>
          </cell>
          <cell r="DI465">
            <v>42208</v>
          </cell>
          <cell r="DJ465">
            <v>42172</v>
          </cell>
          <cell r="DK465">
            <v>42205</v>
          </cell>
          <cell r="DL465">
            <v>42242</v>
          </cell>
          <cell r="DM465">
            <v>42209</v>
          </cell>
          <cell r="DN465">
            <v>42159</v>
          </cell>
          <cell r="DO465">
            <v>0</v>
          </cell>
          <cell r="DP465">
            <v>42208</v>
          </cell>
          <cell r="DQ465">
            <v>42172</v>
          </cell>
          <cell r="DT465">
            <v>0</v>
          </cell>
          <cell r="DU465">
            <v>42223</v>
          </cell>
          <cell r="DW465">
            <v>0</v>
          </cell>
          <cell r="DY465">
            <v>42209</v>
          </cell>
          <cell r="DZ465">
            <v>42221</v>
          </cell>
          <cell r="EA465" t="str">
            <v>Camusat</v>
          </cell>
          <cell r="ED465" t="str">
            <v xml:space="preserve">06Jul15 :SiThu.Moe: Ready for TI.NE are not arrive at site.
</v>
          </cell>
          <cell r="EI465" t="str">
            <v>M5: grid power + DG + battery      </v>
          </cell>
          <cell r="EJ465">
            <v>12</v>
          </cell>
          <cell r="EK465">
            <v>42226</v>
          </cell>
          <cell r="EL465">
            <v>42178</v>
          </cell>
          <cell r="EM465">
            <v>42227</v>
          </cell>
          <cell r="EN465">
            <v>42172</v>
          </cell>
          <cell r="EQ465">
            <v>42236</v>
          </cell>
          <cell r="ER465">
            <v>42185</v>
          </cell>
          <cell r="ES465">
            <v>42184</v>
          </cell>
          <cell r="ET465">
            <v>42185</v>
          </cell>
          <cell r="EU465">
            <v>42185</v>
          </cell>
          <cell r="EW465">
            <v>12</v>
          </cell>
          <cell r="EX465">
            <v>42250</v>
          </cell>
          <cell r="EZ465">
            <v>42246</v>
          </cell>
          <cell r="FA465">
            <v>42184</v>
          </cell>
          <cell r="FB465">
            <v>42248</v>
          </cell>
          <cell r="FC465">
            <v>42185</v>
          </cell>
          <cell r="FU465">
            <v>42250</v>
          </cell>
          <cell r="FV465">
            <v>42196</v>
          </cell>
          <cell r="FW465">
            <v>42250</v>
          </cell>
          <cell r="FX465">
            <v>42185</v>
          </cell>
          <cell r="FY465" t="str">
            <v>AZM</v>
          </cell>
          <cell r="FZ465">
            <v>42187</v>
          </cell>
          <cell r="GA465">
            <v>42189</v>
          </cell>
          <cell r="GB465">
            <v>42193</v>
          </cell>
          <cell r="GC465">
            <v>42193</v>
          </cell>
          <cell r="GD465">
            <v>42193</v>
          </cell>
          <cell r="GE465">
            <v>42193</v>
          </cell>
          <cell r="GG465">
            <v>42193</v>
          </cell>
          <cell r="GH465">
            <v>42193</v>
          </cell>
          <cell r="GI465">
            <v>42277</v>
          </cell>
          <cell r="GJ465">
            <v>0</v>
          </cell>
          <cell r="GK465">
            <v>42193</v>
          </cell>
          <cell r="GN465" t="str">
            <v>ERICSSON</v>
          </cell>
          <cell r="GO465">
            <v>42200</v>
          </cell>
          <cell r="GP465">
            <v>42178</v>
          </cell>
          <cell r="HD465">
            <v>1</v>
          </cell>
        </row>
        <row r="466">
          <cell r="A466" t="str">
            <v>NP0279</v>
          </cell>
          <cell r="B466" t="str">
            <v>ANNP_0383</v>
          </cell>
          <cell r="C466" t="str">
            <v>Apollo</v>
          </cell>
          <cell r="D466" t="str">
            <v>Chris Thomson</v>
          </cell>
          <cell r="F466" t="str">
            <v>Mya Kyauk</v>
          </cell>
          <cell r="G466" t="str">
            <v>Kaung Htet</v>
          </cell>
          <cell r="H466" t="str">
            <v>RED</v>
          </cell>
          <cell r="I466" t="str">
            <v>North</v>
          </cell>
          <cell r="J466" t="str">
            <v>96.2458429999999</v>
          </cell>
          <cell r="K466" t="str">
            <v>19.820484</v>
          </cell>
          <cell r="L466" t="str">
            <v>Rural</v>
          </cell>
          <cell r="M466" t="str">
            <v>Naypyitaw</v>
          </cell>
          <cell r="N466" t="str">
            <v>Zay Yar Thi Ri</v>
          </cell>
          <cell r="O466" t="str">
            <v>Zay Yar Thi Ri</v>
          </cell>
          <cell r="P466" t="str">
            <v>Naypyitaw</v>
          </cell>
          <cell r="Q466" t="str">
            <v>10</v>
          </cell>
          <cell r="R466" t="str">
            <v>Zay Yar Thi Ri</v>
          </cell>
          <cell r="S466" t="str">
            <v>326</v>
          </cell>
          <cell r="T466" t="str">
            <v>GSM+UMTS</v>
          </cell>
          <cell r="W466" t="str">
            <v>Ph2-Priority</v>
          </cell>
          <cell r="X466" t="str">
            <v>45</v>
          </cell>
          <cell r="Y466" t="str">
            <v>47</v>
          </cell>
          <cell r="Z466" t="str">
            <v>GBT</v>
          </cell>
          <cell r="AA466" t="str">
            <v>500</v>
          </cell>
          <cell r="AB466" t="str">
            <v>Access</v>
          </cell>
          <cell r="AC466" t="str">
            <v>Class C</v>
          </cell>
          <cell r="BH466" t="str">
            <v>Leadcom</v>
          </cell>
          <cell r="BJ466">
            <v>42159</v>
          </cell>
          <cell r="BK466">
            <v>42166</v>
          </cell>
          <cell r="BL466">
            <v>42164</v>
          </cell>
          <cell r="BM466">
            <v>42160</v>
          </cell>
          <cell r="BT466">
            <v>40</v>
          </cell>
          <cell r="BU466">
            <v>42209</v>
          </cell>
          <cell r="BV466">
            <v>42206</v>
          </cell>
          <cell r="BW466" t="str">
            <v>96.24712</v>
          </cell>
          <cell r="BX466" t="str">
            <v>19.81917</v>
          </cell>
          <cell r="BY466" t="str">
            <v>C2</v>
          </cell>
          <cell r="BZ466" t="str">
            <v>No(1606),U Paing No(52/1), Kyoung Young Village,Zay yar Thiri Tsp, Nay Pyi Taw</v>
          </cell>
          <cell r="CA466" t="str">
            <v>Ma Khgin Mar Kyi</v>
          </cell>
          <cell r="CB466" t="str">
            <v>29 July 15: C2 SAR updated technical info released because  Tower height reduce to 35 M as per Apollo request;21 July 15:C2 SAR sub;(C1 was cancelled  because Apollo was declared a Paddy Land);10 Jul 15 : C1 TSSR app;27 June 15 : C1 SAR app</v>
          </cell>
          <cell r="CC466" t="str">
            <v>Cultivated Land</v>
          </cell>
          <cell r="CE466">
            <v>1</v>
          </cell>
          <cell r="CF466">
            <v>42210</v>
          </cell>
          <cell r="CG466">
            <v>42207</v>
          </cell>
          <cell r="CH466">
            <v>42212</v>
          </cell>
          <cell r="CJ466">
            <v>42211</v>
          </cell>
          <cell r="CK466" t="str">
            <v>33</v>
          </cell>
          <cell r="CL466" t="str">
            <v>35</v>
          </cell>
          <cell r="CM466" t="str">
            <v>35</v>
          </cell>
          <cell r="CN466">
            <v>6</v>
          </cell>
          <cell r="CO466">
            <v>42215</v>
          </cell>
          <cell r="CP466">
            <v>42213</v>
          </cell>
          <cell r="CQ466" t="str">
            <v>M1: grid power + battery</v>
          </cell>
          <cell r="CR466">
            <v>6</v>
          </cell>
          <cell r="CS466">
            <v>42216</v>
          </cell>
          <cell r="CT466">
            <v>42219</v>
          </cell>
          <cell r="CU466" t="str">
            <v>NP0279</v>
          </cell>
          <cell r="DH466">
            <v>14</v>
          </cell>
          <cell r="DI466">
            <v>42226</v>
          </cell>
          <cell r="DJ466">
            <v>42195</v>
          </cell>
          <cell r="DK466">
            <v>42223</v>
          </cell>
          <cell r="DL466">
            <v>42242</v>
          </cell>
          <cell r="DM466">
            <v>42227</v>
          </cell>
          <cell r="DN466">
            <v>42192</v>
          </cell>
          <cell r="DO466">
            <v>0</v>
          </cell>
          <cell r="DP466">
            <v>42226</v>
          </cell>
          <cell r="DQ466">
            <v>42195</v>
          </cell>
          <cell r="DT466">
            <v>0</v>
          </cell>
          <cell r="DU466">
            <v>42241</v>
          </cell>
          <cell r="DW466">
            <v>0</v>
          </cell>
          <cell r="DY466">
            <v>42227</v>
          </cell>
          <cell r="DZ466">
            <v>42234</v>
          </cell>
          <cell r="EA466" t="str">
            <v>Leadcom</v>
          </cell>
          <cell r="ED466" t="str">
            <v xml:space="preserve">17Aug15 :SiThu.Moe: 11/8/15:Tower foundation casting is ongoing.
</v>
          </cell>
          <cell r="EE466" t="str">
            <v xml:space="preserve">10 Aug 15:Rain affected_Progress affected; 3-Aug-15: Rain affected_ Site is progressing but rain is affecting the work every day. Lean concrete done and rebars to proceed								</v>
          </cell>
          <cell r="EJ466">
            <v>0</v>
          </cell>
          <cell r="EK466">
            <v>42244</v>
          </cell>
          <cell r="EL466">
            <v>42231</v>
          </cell>
          <cell r="EM466">
            <v>42245</v>
          </cell>
          <cell r="EQ466">
            <v>42254</v>
          </cell>
          <cell r="EW466">
            <v>0</v>
          </cell>
          <cell r="EX466">
            <v>42268</v>
          </cell>
          <cell r="EZ466">
            <v>42264</v>
          </cell>
          <cell r="FB466">
            <v>42266</v>
          </cell>
          <cell r="FU466">
            <v>42268</v>
          </cell>
          <cell r="FW466">
            <v>42268</v>
          </cell>
          <cell r="GI466">
            <v>42277</v>
          </cell>
          <cell r="GJ466">
            <v>0</v>
          </cell>
          <cell r="GN466" t="str">
            <v>ERICSSON</v>
          </cell>
          <cell r="GO466">
            <v>42201</v>
          </cell>
          <cell r="HD466">
            <v>1</v>
          </cell>
        </row>
        <row r="467">
          <cell r="A467" t="str">
            <v>NP0281</v>
          </cell>
          <cell r="B467" t="str">
            <v>ANNP_0384</v>
          </cell>
          <cell r="C467" t="str">
            <v>Apollo</v>
          </cell>
          <cell r="D467" t="str">
            <v>Chris Thomson</v>
          </cell>
          <cell r="F467" t="str">
            <v>Mya Kyauk</v>
          </cell>
          <cell r="G467" t="str">
            <v>Kaung Htet</v>
          </cell>
          <cell r="H467" t="str">
            <v>AMBER</v>
          </cell>
          <cell r="I467" t="str">
            <v>North</v>
          </cell>
          <cell r="J467" t="str">
            <v>96.24111</v>
          </cell>
          <cell r="K467" t="str">
            <v>19.70341</v>
          </cell>
          <cell r="L467" t="str">
            <v>Rural</v>
          </cell>
          <cell r="M467" t="str">
            <v>Naypyitaw</v>
          </cell>
          <cell r="N467" t="str">
            <v>Pyinmana</v>
          </cell>
          <cell r="O467" t="str">
            <v>Pyinmana</v>
          </cell>
          <cell r="P467" t="str">
            <v>Naypyitaw</v>
          </cell>
          <cell r="Q467" t="str">
            <v>10</v>
          </cell>
          <cell r="R467" t="str">
            <v>Pyinmana</v>
          </cell>
          <cell r="S467" t="str">
            <v>323</v>
          </cell>
          <cell r="T467" t="str">
            <v>GSM+UMTS</v>
          </cell>
          <cell r="W467" t="str">
            <v>Ph2-Priority</v>
          </cell>
          <cell r="X467" t="str">
            <v>45</v>
          </cell>
          <cell r="Y467" t="str">
            <v>47</v>
          </cell>
          <cell r="Z467" t="str">
            <v>GBT</v>
          </cell>
          <cell r="AA467" t="str">
            <v>500</v>
          </cell>
          <cell r="AB467" t="str">
            <v>Access</v>
          </cell>
          <cell r="AC467" t="str">
            <v>Class C</v>
          </cell>
          <cell r="BE467" t="str">
            <v>Monywa - Tamu</v>
          </cell>
          <cell r="BH467" t="str">
            <v>Leadcom</v>
          </cell>
          <cell r="BJ467">
            <v>42159</v>
          </cell>
          <cell r="BK467">
            <v>42166</v>
          </cell>
          <cell r="BL467">
            <v>42164</v>
          </cell>
          <cell r="BM467">
            <v>42173</v>
          </cell>
          <cell r="BT467">
            <v>15</v>
          </cell>
          <cell r="BU467">
            <v>42209</v>
          </cell>
          <cell r="BV467">
            <v>42181</v>
          </cell>
          <cell r="BW467" t="str">
            <v>96.24112</v>
          </cell>
          <cell r="BX467" t="str">
            <v>19.70341</v>
          </cell>
          <cell r="BY467" t="str">
            <v>C1</v>
          </cell>
          <cell r="BZ467" t="str">
            <v>No(450), Pa Ywae Sate Kone Village, Pyin Ma Nar Tsp</v>
          </cell>
          <cell r="CA467" t="str">
            <v>Daw Tin Moe Khine</v>
          </cell>
          <cell r="CB467" t="str">
            <v>24 July 15 :C2-SAR submission; C1-ZERO tower height from Civil Aviation;22 July 15 : CW start date and payment to owner date deleted because C1 has cancelled due to Aviation's  rejection ;2 June 15 : C1 TSSR app; 12 May 15 : C1 SAR app;10May15: C1 SAR Sub.</v>
          </cell>
          <cell r="CE467">
            <v>6</v>
          </cell>
          <cell r="CF467">
            <v>42210</v>
          </cell>
          <cell r="CG467">
            <v>42187</v>
          </cell>
          <cell r="CH467">
            <v>42212</v>
          </cell>
          <cell r="CJ467">
            <v>42200</v>
          </cell>
          <cell r="CK467" t="str">
            <v>45</v>
          </cell>
          <cell r="CL467" t="str">
            <v>47</v>
          </cell>
          <cell r="CM467" t="str">
            <v>45</v>
          </cell>
          <cell r="CN467">
            <v>15</v>
          </cell>
          <cell r="CO467">
            <v>42215</v>
          </cell>
          <cell r="CP467">
            <v>42202</v>
          </cell>
          <cell r="CQ467" t="str">
            <v>M1: grid power + battery</v>
          </cell>
          <cell r="CR467">
            <v>3</v>
          </cell>
          <cell r="CS467">
            <v>42216</v>
          </cell>
          <cell r="CT467">
            <v>42205</v>
          </cell>
          <cell r="CU467" t="str">
            <v>NP0281</v>
          </cell>
          <cell r="DH467">
            <v>28</v>
          </cell>
          <cell r="DI467">
            <v>42226</v>
          </cell>
          <cell r="DK467">
            <v>42223</v>
          </cell>
          <cell r="DL467">
            <v>42215</v>
          </cell>
          <cell r="DM467">
            <v>42227</v>
          </cell>
          <cell r="DN467">
            <v>42171</v>
          </cell>
          <cell r="DO467">
            <v>0</v>
          </cell>
          <cell r="DP467">
            <v>42226</v>
          </cell>
          <cell r="DT467">
            <v>0</v>
          </cell>
          <cell r="DU467">
            <v>42241</v>
          </cell>
          <cell r="DW467">
            <v>0</v>
          </cell>
          <cell r="DY467">
            <v>42227</v>
          </cell>
          <cell r="DZ467">
            <v>42217</v>
          </cell>
          <cell r="EA467" t="str">
            <v>Leadcom</v>
          </cell>
          <cell r="ED467" t="str">
            <v xml:space="preserve">14Aug15 :KaungHtet: Lean concrete casting is done. Rebar work preparation  for foundation slab is ongoing.
</v>
          </cell>
          <cell r="EJ467">
            <v>16</v>
          </cell>
          <cell r="EK467">
            <v>42244</v>
          </cell>
          <cell r="EL467">
            <v>42238</v>
          </cell>
          <cell r="EM467">
            <v>42245</v>
          </cell>
          <cell r="EN467">
            <v>42242</v>
          </cell>
          <cell r="EQ467">
            <v>42254</v>
          </cell>
          <cell r="ER467">
            <v>42247</v>
          </cell>
          <cell r="EW467">
            <v>16</v>
          </cell>
          <cell r="EX467">
            <v>42268</v>
          </cell>
          <cell r="EZ467">
            <v>42264</v>
          </cell>
          <cell r="FB467">
            <v>42266</v>
          </cell>
          <cell r="FU467">
            <v>42268</v>
          </cell>
          <cell r="FW467">
            <v>42268</v>
          </cell>
          <cell r="FY467" t="str">
            <v>CFVL</v>
          </cell>
          <cell r="GI467">
            <v>42277</v>
          </cell>
          <cell r="GJ467" t="str">
            <v>44-2015</v>
          </cell>
          <cell r="GN467" t="str">
            <v>ERICSSON</v>
          </cell>
          <cell r="HD467">
            <v>1</v>
          </cell>
        </row>
        <row r="468">
          <cell r="A468" t="str">
            <v>NP0284</v>
          </cell>
          <cell r="B468" t="str">
            <v>ANNP_0385</v>
          </cell>
          <cell r="C468" t="str">
            <v>Apollo</v>
          </cell>
          <cell r="D468" t="str">
            <v>Chris Thomson</v>
          </cell>
          <cell r="F468" t="str">
            <v>Mya Kyauk</v>
          </cell>
          <cell r="G468" t="str">
            <v>Kaung Htet</v>
          </cell>
          <cell r="H468" t="str">
            <v>AMBER</v>
          </cell>
          <cell r="I468" t="str">
            <v>North</v>
          </cell>
          <cell r="J468" t="str">
            <v>96.023702</v>
          </cell>
          <cell r="K468" t="str">
            <v>19.687834</v>
          </cell>
          <cell r="L468" t="str">
            <v>Rural</v>
          </cell>
          <cell r="M468" t="str">
            <v>Naypyitaw</v>
          </cell>
          <cell r="N468" t="str">
            <v>Det Khi Na Thi Ri</v>
          </cell>
          <cell r="O468" t="str">
            <v>Det Khi Na Thi Ri</v>
          </cell>
          <cell r="P468" t="str">
            <v>Naypyitaw</v>
          </cell>
          <cell r="Q468" t="str">
            <v>10</v>
          </cell>
          <cell r="R468" t="str">
            <v>Det Khi Na Thi Ri</v>
          </cell>
          <cell r="S468" t="str">
            <v>329</v>
          </cell>
          <cell r="T468" t="str">
            <v>GSM+UMTS</v>
          </cell>
          <cell r="W468" t="str">
            <v>Ph2-Priority</v>
          </cell>
          <cell r="X468" t="str">
            <v>45</v>
          </cell>
          <cell r="Y468" t="str">
            <v>47</v>
          </cell>
          <cell r="Z468" t="str">
            <v>GBT</v>
          </cell>
          <cell r="AA468" t="str">
            <v>500</v>
          </cell>
          <cell r="AB468" t="str">
            <v>Access</v>
          </cell>
          <cell r="AC468" t="str">
            <v>Class C</v>
          </cell>
          <cell r="BE468" t="str">
            <v>Route 1 Yangon - Mandalay</v>
          </cell>
          <cell r="BH468" t="str">
            <v>Leadcom</v>
          </cell>
          <cell r="BJ468">
            <v>42159</v>
          </cell>
          <cell r="BK468">
            <v>42166</v>
          </cell>
          <cell r="BL468">
            <v>42164</v>
          </cell>
          <cell r="BM468">
            <v>42173</v>
          </cell>
          <cell r="BT468">
            <v>22</v>
          </cell>
          <cell r="BU468">
            <v>42209</v>
          </cell>
          <cell r="BV468">
            <v>42188</v>
          </cell>
          <cell r="BW468" t="str">
            <v>96.02245</v>
          </cell>
          <cell r="BX468" t="str">
            <v>19.70221</v>
          </cell>
          <cell r="BY468" t="str">
            <v>C1</v>
          </cell>
          <cell r="BZ468" t="str">
            <v>NO.28, SAESU VILLAGE, DATKHINATHIRI TSP, NAY PYI TAW</v>
          </cell>
          <cell r="CA468" t="str">
            <v>U OHM MAUNG</v>
          </cell>
          <cell r="CB468" t="str">
            <v>3 July 15: C1 SAR -Rev 1  submitted with corrected coordinate</v>
          </cell>
          <cell r="CC468" t="str">
            <v>Residential</v>
          </cell>
          <cell r="CE468">
            <v>7</v>
          </cell>
          <cell r="CF468">
            <v>42210</v>
          </cell>
          <cell r="CG468">
            <v>42195</v>
          </cell>
          <cell r="CH468">
            <v>42212</v>
          </cell>
          <cell r="CJ468">
            <v>42211</v>
          </cell>
          <cell r="CK468" t="str">
            <v>45</v>
          </cell>
          <cell r="CL468" t="str">
            <v>47</v>
          </cell>
          <cell r="CM468" t="str">
            <v>50</v>
          </cell>
          <cell r="CN468">
            <v>18</v>
          </cell>
          <cell r="CO468">
            <v>42215</v>
          </cell>
          <cell r="CP468">
            <v>42213</v>
          </cell>
          <cell r="CQ468" t="str">
            <v>M4: solar + DG + battery</v>
          </cell>
          <cell r="CR468">
            <v>1</v>
          </cell>
          <cell r="CS468">
            <v>42216</v>
          </cell>
          <cell r="CT468">
            <v>42214</v>
          </cell>
          <cell r="CU468" t="str">
            <v>NP0284</v>
          </cell>
          <cell r="DH468">
            <v>19</v>
          </cell>
          <cell r="DI468">
            <v>42226</v>
          </cell>
          <cell r="DK468">
            <v>42223</v>
          </cell>
          <cell r="DL468">
            <v>42242</v>
          </cell>
          <cell r="DM468">
            <v>42227</v>
          </cell>
          <cell r="DN468">
            <v>42215</v>
          </cell>
          <cell r="DO468">
            <v>0</v>
          </cell>
          <cell r="DP468">
            <v>42226</v>
          </cell>
          <cell r="DT468">
            <v>0</v>
          </cell>
          <cell r="DU468">
            <v>42241</v>
          </cell>
          <cell r="DW468">
            <v>0</v>
          </cell>
          <cell r="DY468">
            <v>42227</v>
          </cell>
          <cell r="DZ468">
            <v>42217</v>
          </cell>
          <cell r="EA468" t="str">
            <v>Leadcom</v>
          </cell>
          <cell r="EB468">
            <v>42218</v>
          </cell>
          <cell r="EE468" t="str">
            <v xml:space="preserve">10 Aug 15:Flood affected_Hold-No access; 2-Aug-15:  ACCESS PROBLEM IF CONTINUOUS RAIN (DIRT ROAD)								</v>
          </cell>
          <cell r="EJ468">
            <v>16</v>
          </cell>
          <cell r="EK468">
            <v>42244</v>
          </cell>
          <cell r="EL468">
            <v>42250</v>
          </cell>
          <cell r="EM468">
            <v>42245</v>
          </cell>
          <cell r="EQ468">
            <v>42254</v>
          </cell>
          <cell r="EW468">
            <v>16</v>
          </cell>
          <cell r="EX468">
            <v>42268</v>
          </cell>
          <cell r="EZ468">
            <v>42264</v>
          </cell>
          <cell r="FB468">
            <v>42266</v>
          </cell>
          <cell r="FU468">
            <v>42268</v>
          </cell>
          <cell r="FW468">
            <v>42268</v>
          </cell>
          <cell r="GF468">
            <v>42217</v>
          </cell>
          <cell r="GI468">
            <v>42277</v>
          </cell>
          <cell r="GJ468" t="str">
            <v>44-2015</v>
          </cell>
          <cell r="GN468" t="str">
            <v>ERICSSON</v>
          </cell>
          <cell r="HD468">
            <v>1</v>
          </cell>
        </row>
        <row r="469">
          <cell r="A469" t="str">
            <v>NP0288</v>
          </cell>
          <cell r="B469" t="str">
            <v>ANNP_0386</v>
          </cell>
          <cell r="C469" t="str">
            <v>Apollo</v>
          </cell>
          <cell r="D469" t="str">
            <v>Chris Thomson</v>
          </cell>
          <cell r="F469" t="str">
            <v>Mya Kyauk</v>
          </cell>
          <cell r="G469" t="str">
            <v>Kaung Htet</v>
          </cell>
          <cell r="H469" t="str">
            <v>RED</v>
          </cell>
          <cell r="I469" t="str">
            <v>North</v>
          </cell>
          <cell r="J469" t="str">
            <v>96.317308</v>
          </cell>
          <cell r="K469" t="str">
            <v>19.713138</v>
          </cell>
          <cell r="L469" t="str">
            <v>Rural</v>
          </cell>
          <cell r="M469" t="str">
            <v>Naypyitaw</v>
          </cell>
          <cell r="N469" t="str">
            <v>Pyinmana</v>
          </cell>
          <cell r="O469" t="str">
            <v>Pyinmana</v>
          </cell>
          <cell r="P469" t="str">
            <v>Naypyitaw</v>
          </cell>
          <cell r="Q469" t="str">
            <v>10</v>
          </cell>
          <cell r="R469" t="str">
            <v>Pyinmana</v>
          </cell>
          <cell r="S469" t="str">
            <v>323</v>
          </cell>
          <cell r="T469" t="str">
            <v>GSM+UMTS</v>
          </cell>
          <cell r="W469" t="str">
            <v>Ph2-Priority</v>
          </cell>
          <cell r="X469" t="str">
            <v>45</v>
          </cell>
          <cell r="Y469" t="str">
            <v>47</v>
          </cell>
          <cell r="Z469" t="str">
            <v>GBT</v>
          </cell>
          <cell r="AA469" t="str">
            <v>500</v>
          </cell>
          <cell r="AB469" t="str">
            <v>Access</v>
          </cell>
          <cell r="AC469" t="str">
            <v>Class C</v>
          </cell>
          <cell r="BH469" t="str">
            <v>Leadcom</v>
          </cell>
          <cell r="BJ469">
            <v>42161</v>
          </cell>
          <cell r="BK469">
            <v>42166</v>
          </cell>
          <cell r="BL469">
            <v>42166</v>
          </cell>
          <cell r="BM469">
            <v>42173</v>
          </cell>
          <cell r="BT469">
            <v>63</v>
          </cell>
          <cell r="BU469">
            <v>42209</v>
          </cell>
          <cell r="BV469">
            <v>42229</v>
          </cell>
          <cell r="BW469" t="str">
            <v>96.310018</v>
          </cell>
          <cell r="BX469" t="str">
            <v>19.704208</v>
          </cell>
          <cell r="BY469" t="str">
            <v>C4</v>
          </cell>
          <cell r="BZ469" t="str">
            <v>Ywar Thit Kyi,Kone Zaug Group,Pwint Phyu Tsp.</v>
          </cell>
          <cell r="CA469" t="str">
            <v>U Pauk Si;Ywar Thit Kyi, Kon Zaung Group, Pwintbyu Township;09799805852 / 09252225764</v>
          </cell>
          <cell r="CB469" t="str">
            <v>13 Aug 15 : C4 SAR sub;2 July 15 : C1 SAR rejected(RND rejected because this location is far from the population area we proposed to new location for this site code is ( 19.705840°, 96.311376° ))</v>
          </cell>
          <cell r="CC469" t="str">
            <v>Residential</v>
          </cell>
          <cell r="CE469">
            <v>4</v>
          </cell>
          <cell r="CF469">
            <v>42210</v>
          </cell>
          <cell r="CG469">
            <v>42234</v>
          </cell>
          <cell r="CH469">
            <v>42212</v>
          </cell>
          <cell r="CJ469">
            <v>42150</v>
          </cell>
          <cell r="CK469" t="str">
            <v>45</v>
          </cell>
          <cell r="CL469" t="str">
            <v>47</v>
          </cell>
          <cell r="CM469" t="str">
            <v>60</v>
          </cell>
          <cell r="CN469">
            <v>0</v>
          </cell>
          <cell r="CO469">
            <v>42215</v>
          </cell>
          <cell r="CP469">
            <v>42152</v>
          </cell>
          <cell r="CQ469" t="str">
            <v>M4: solar + DG + battery</v>
          </cell>
          <cell r="CR469">
            <v>0</v>
          </cell>
          <cell r="CS469">
            <v>42216</v>
          </cell>
          <cell r="CT469">
            <v>42153</v>
          </cell>
          <cell r="CU469" t="str">
            <v>NP0288</v>
          </cell>
          <cell r="DH469">
            <v>0</v>
          </cell>
          <cell r="DI469">
            <v>42226</v>
          </cell>
          <cell r="DJ469">
            <v>42179</v>
          </cell>
          <cell r="DK469">
            <v>42223</v>
          </cell>
          <cell r="DL469">
            <v>42160</v>
          </cell>
          <cell r="DM469">
            <v>42227</v>
          </cell>
          <cell r="DN469">
            <v>42165</v>
          </cell>
          <cell r="DO469">
            <v>0</v>
          </cell>
          <cell r="DP469">
            <v>42226</v>
          </cell>
          <cell r="DQ469">
            <v>42179</v>
          </cell>
          <cell r="DT469">
            <v>0</v>
          </cell>
          <cell r="DU469">
            <v>42241</v>
          </cell>
          <cell r="DW469">
            <v>0</v>
          </cell>
          <cell r="DY469">
            <v>42227</v>
          </cell>
          <cell r="DZ469">
            <v>42163</v>
          </cell>
          <cell r="EA469" t="str">
            <v>Leadcom</v>
          </cell>
          <cell r="EI469" t="str">
            <v>M5: grid power + DG + battery      </v>
          </cell>
          <cell r="EJ469">
            <v>0</v>
          </cell>
          <cell r="EK469">
            <v>42244</v>
          </cell>
          <cell r="EL469">
            <v>42202</v>
          </cell>
          <cell r="EM469">
            <v>42245</v>
          </cell>
          <cell r="EN469">
            <v>42194</v>
          </cell>
          <cell r="EQ469">
            <v>42254</v>
          </cell>
          <cell r="ER469">
            <v>42210</v>
          </cell>
          <cell r="ES469">
            <v>42201</v>
          </cell>
          <cell r="ET469">
            <v>42210</v>
          </cell>
          <cell r="EU469">
            <v>42210</v>
          </cell>
          <cell r="EW469">
            <v>0</v>
          </cell>
          <cell r="EX469">
            <v>42268</v>
          </cell>
          <cell r="EZ469">
            <v>42264</v>
          </cell>
          <cell r="FA469">
            <v>42207</v>
          </cell>
          <cell r="FB469">
            <v>42266</v>
          </cell>
          <cell r="FC469">
            <v>42215</v>
          </cell>
          <cell r="FU469">
            <v>42268</v>
          </cell>
          <cell r="FW469">
            <v>42268</v>
          </cell>
          <cell r="FX469">
            <v>42215</v>
          </cell>
          <cell r="FY469" t="str">
            <v>EM</v>
          </cell>
          <cell r="FZ469">
            <v>42209</v>
          </cell>
          <cell r="GA469">
            <v>42213</v>
          </cell>
          <cell r="GI469">
            <v>42277</v>
          </cell>
          <cell r="GJ469">
            <v>0</v>
          </cell>
          <cell r="GN469" t="str">
            <v>ERICSSON</v>
          </cell>
          <cell r="GQ469">
            <v>0</v>
          </cell>
          <cell r="HD469">
            <v>1</v>
          </cell>
        </row>
        <row r="470">
          <cell r="A470" t="str">
            <v>NP0292</v>
          </cell>
          <cell r="B470" t="str">
            <v>ANNP_0387</v>
          </cell>
          <cell r="C470" t="str">
            <v>Apollo</v>
          </cell>
          <cell r="D470" t="str">
            <v>Chris Thomson</v>
          </cell>
          <cell r="F470" t="str">
            <v>Mya Kyauk</v>
          </cell>
          <cell r="G470" t="str">
            <v>Kaung Htet</v>
          </cell>
          <cell r="H470" t="str">
            <v>AMBER</v>
          </cell>
          <cell r="I470" t="str">
            <v>North</v>
          </cell>
          <cell r="J470" t="str">
            <v>96.2537539999999</v>
          </cell>
          <cell r="K470" t="str">
            <v>20.225919</v>
          </cell>
          <cell r="L470" t="str">
            <v>Rural</v>
          </cell>
          <cell r="M470" t="str">
            <v>Naypyitaw</v>
          </cell>
          <cell r="N470" t="str">
            <v>Tatkon</v>
          </cell>
          <cell r="O470" t="str">
            <v>Tatkon</v>
          </cell>
          <cell r="P470" t="str">
            <v>Naypyitaw</v>
          </cell>
          <cell r="Q470" t="str">
            <v>10</v>
          </cell>
          <cell r="R470" t="str">
            <v>Tatkon</v>
          </cell>
          <cell r="S470" t="str">
            <v>325</v>
          </cell>
          <cell r="T470" t="str">
            <v>GSM+UMTS</v>
          </cell>
          <cell r="W470" t="str">
            <v>Ph2-Priority</v>
          </cell>
          <cell r="X470" t="str">
            <v>45</v>
          </cell>
          <cell r="Y470" t="str">
            <v>47</v>
          </cell>
          <cell r="Z470" t="str">
            <v>GBT</v>
          </cell>
          <cell r="AA470" t="str">
            <v>500</v>
          </cell>
          <cell r="AB470" t="str">
            <v>Access</v>
          </cell>
          <cell r="AC470" t="str">
            <v>Class C</v>
          </cell>
          <cell r="BH470" t="str">
            <v>Camusat</v>
          </cell>
          <cell r="BJ470">
            <v>42161</v>
          </cell>
          <cell r="BK470">
            <v>42149</v>
          </cell>
          <cell r="BL470">
            <v>42166</v>
          </cell>
          <cell r="BM470">
            <v>42156</v>
          </cell>
          <cell r="BT470">
            <v>17</v>
          </cell>
          <cell r="BU470">
            <v>42191</v>
          </cell>
          <cell r="BV470">
            <v>42166</v>
          </cell>
          <cell r="BW470" t="str">
            <v>96.25188</v>
          </cell>
          <cell r="BX470" t="str">
            <v>20.21895</v>
          </cell>
          <cell r="BY470" t="str">
            <v>C1</v>
          </cell>
          <cell r="BZ470" t="str">
            <v>Kywe Le Pin Village, Kyauk Sa Yit Kone Group, Tat Kone Township, Nay Pyi Taw.</v>
          </cell>
          <cell r="CA470" t="str">
            <v>Daw Khin Myint;Kywe Le Pin Village, Kyauk Sa Yit Kone Group, Tat Kone Township, Nay Pyi Taw;09-261225260 , 09-261377540</v>
          </cell>
          <cell r="CB470" t="str">
            <v>11Jun15: C1 SAR Sub. NP is in farmland</v>
          </cell>
          <cell r="CC470" t="str">
            <v>Residential</v>
          </cell>
          <cell r="CE470">
            <v>1</v>
          </cell>
          <cell r="CF470">
            <v>42192</v>
          </cell>
          <cell r="CG470">
            <v>42167</v>
          </cell>
          <cell r="CH470">
            <v>42194</v>
          </cell>
          <cell r="CJ470">
            <v>42175</v>
          </cell>
          <cell r="CK470" t="str">
            <v>45</v>
          </cell>
          <cell r="CL470" t="str">
            <v>47</v>
          </cell>
          <cell r="CM470" t="str">
            <v>50</v>
          </cell>
          <cell r="CN470">
            <v>10</v>
          </cell>
          <cell r="CO470">
            <v>42197</v>
          </cell>
          <cell r="CP470">
            <v>42177</v>
          </cell>
          <cell r="CQ470" t="str">
            <v>M4: solar + DG + battery</v>
          </cell>
          <cell r="CR470">
            <v>1</v>
          </cell>
          <cell r="CS470">
            <v>42198</v>
          </cell>
          <cell r="CT470">
            <v>42178</v>
          </cell>
          <cell r="CU470" t="str">
            <v>NP0292</v>
          </cell>
          <cell r="DH470">
            <v>55</v>
          </cell>
          <cell r="DI470">
            <v>42208</v>
          </cell>
          <cell r="DK470">
            <v>42205</v>
          </cell>
          <cell r="DL470">
            <v>42199</v>
          </cell>
          <cell r="DM470">
            <v>42209</v>
          </cell>
          <cell r="DN470">
            <v>42199</v>
          </cell>
          <cell r="DO470">
            <v>0</v>
          </cell>
          <cell r="DP470">
            <v>42208</v>
          </cell>
          <cell r="DT470">
            <v>0</v>
          </cell>
          <cell r="DU470">
            <v>42223</v>
          </cell>
          <cell r="DW470">
            <v>0</v>
          </cell>
          <cell r="DY470">
            <v>42209</v>
          </cell>
          <cell r="DZ470">
            <v>42206</v>
          </cell>
          <cell r="EA470" t="str">
            <v>Camusat</v>
          </cell>
          <cell r="EB470">
            <v>42217</v>
          </cell>
          <cell r="ED470" t="str">
            <v xml:space="preserve">12Aug15 :KaungHtet: Lean concrete casting is done. This site is now stopped for payment issue but according to owner,it is going to restart the work in coming one or two days.
</v>
          </cell>
          <cell r="EE470" t="str">
            <v xml:space="preserve">10 Aug 15:Flood affected_Hold-No access; 1-Aug-15:  ACCESS PROBLEM IF CONTINUOUS RAIN (DIRT ROAD)								</v>
          </cell>
          <cell r="EJ470">
            <v>27</v>
          </cell>
          <cell r="EK470">
            <v>42226</v>
          </cell>
          <cell r="EM470">
            <v>42227</v>
          </cell>
          <cell r="EQ470">
            <v>42236</v>
          </cell>
          <cell r="EW470">
            <v>27</v>
          </cell>
          <cell r="EX470">
            <v>42250</v>
          </cell>
          <cell r="EZ470">
            <v>42246</v>
          </cell>
          <cell r="FB470">
            <v>42248</v>
          </cell>
          <cell r="FU470">
            <v>42250</v>
          </cell>
          <cell r="FW470">
            <v>42250</v>
          </cell>
          <cell r="FY470" t="str">
            <v>CFVL</v>
          </cell>
          <cell r="GI470">
            <v>42307</v>
          </cell>
          <cell r="GJ470" t="str">
            <v>44-2015</v>
          </cell>
          <cell r="GN470" t="str">
            <v>ERICSSON</v>
          </cell>
          <cell r="HD470">
            <v>1</v>
          </cell>
        </row>
        <row r="471">
          <cell r="A471" t="str">
            <v>NP0293</v>
          </cell>
          <cell r="B471" t="str">
            <v>ANNP_0388</v>
          </cell>
          <cell r="C471" t="str">
            <v>Apollo</v>
          </cell>
          <cell r="D471" t="str">
            <v>Chris Thomson</v>
          </cell>
          <cell r="F471" t="str">
            <v>Mya Kyauk</v>
          </cell>
          <cell r="G471" t="str">
            <v>Kaung Htet</v>
          </cell>
          <cell r="H471" t="str">
            <v>RED</v>
          </cell>
          <cell r="I471" t="str">
            <v>North</v>
          </cell>
          <cell r="J471" t="str">
            <v>96.360639400294</v>
          </cell>
          <cell r="K471" t="str">
            <v>19.5429426272746</v>
          </cell>
          <cell r="L471" t="str">
            <v>Rural</v>
          </cell>
          <cell r="M471" t="str">
            <v>Naypyitaw</v>
          </cell>
          <cell r="N471" t="str">
            <v>Lewe</v>
          </cell>
          <cell r="O471" t="str">
            <v>Lewe</v>
          </cell>
          <cell r="P471" t="str">
            <v>Naypyitaw</v>
          </cell>
          <cell r="Q471" t="str">
            <v>10</v>
          </cell>
          <cell r="R471" t="str">
            <v>Lewe</v>
          </cell>
          <cell r="S471" t="str">
            <v>324</v>
          </cell>
          <cell r="T471" t="str">
            <v>GSM+UMTS</v>
          </cell>
          <cell r="W471" t="str">
            <v>Ph2-Priority</v>
          </cell>
          <cell r="X471" t="str">
            <v>45</v>
          </cell>
          <cell r="Y471" t="str">
            <v>47</v>
          </cell>
          <cell r="Z471" t="str">
            <v>GBT</v>
          </cell>
          <cell r="AA471" t="str">
            <v>500</v>
          </cell>
          <cell r="AB471" t="str">
            <v>Access</v>
          </cell>
          <cell r="AC471" t="str">
            <v>Class C</v>
          </cell>
          <cell r="BE471" t="str">
            <v>Route 9 Mandalay - Muse</v>
          </cell>
          <cell r="BH471" t="str">
            <v>Leadcom</v>
          </cell>
          <cell r="BJ471">
            <v>42161</v>
          </cell>
          <cell r="BK471">
            <v>42168</v>
          </cell>
          <cell r="BL471">
            <v>42166</v>
          </cell>
          <cell r="BM471">
            <v>42175</v>
          </cell>
          <cell r="BT471">
            <v>65</v>
          </cell>
          <cell r="BU471">
            <v>42209</v>
          </cell>
          <cell r="BV471">
            <v>42198</v>
          </cell>
          <cell r="BW471" t="str">
            <v>97.41985</v>
          </cell>
          <cell r="BX471" t="str">
            <v>22.62899</v>
          </cell>
          <cell r="BY471" t="str">
            <v>C1</v>
          </cell>
          <cell r="BZ471" t="str">
            <v>Khomther Village, Thipaw Township, Shat North State.</v>
          </cell>
          <cell r="CA471" t="str">
            <v>Daw Hla Han</v>
          </cell>
          <cell r="CC471" t="str">
            <v>Village</v>
          </cell>
          <cell r="CE471">
            <v>0</v>
          </cell>
          <cell r="CF471">
            <v>42210</v>
          </cell>
          <cell r="CG471">
            <v>42199</v>
          </cell>
          <cell r="CH471">
            <v>42212</v>
          </cell>
          <cell r="CJ471">
            <v>42206</v>
          </cell>
          <cell r="CK471" t="str">
            <v>46</v>
          </cell>
          <cell r="CL471" t="str">
            <v>47</v>
          </cell>
          <cell r="CM471" t="str">
            <v>50</v>
          </cell>
          <cell r="CN471">
            <v>0</v>
          </cell>
          <cell r="CO471">
            <v>42215</v>
          </cell>
          <cell r="CP471">
            <v>42208</v>
          </cell>
          <cell r="CQ471" t="str">
            <v>M4: solar + DG + battery</v>
          </cell>
          <cell r="CR471">
            <v>0</v>
          </cell>
          <cell r="CS471">
            <v>42216</v>
          </cell>
          <cell r="CT471">
            <v>42209</v>
          </cell>
          <cell r="CU471" t="str">
            <v>NP0293</v>
          </cell>
          <cell r="DH471">
            <v>0</v>
          </cell>
          <cell r="DI471">
            <v>42226</v>
          </cell>
          <cell r="DK471">
            <v>42223</v>
          </cell>
          <cell r="DM471">
            <v>42227</v>
          </cell>
          <cell r="DO471">
            <v>0</v>
          </cell>
          <cell r="DP471">
            <v>42226</v>
          </cell>
          <cell r="DT471">
            <v>0</v>
          </cell>
          <cell r="DU471">
            <v>42241</v>
          </cell>
          <cell r="DW471">
            <v>0</v>
          </cell>
          <cell r="DY471">
            <v>42227</v>
          </cell>
          <cell r="EA471" t="str">
            <v>Leadcom</v>
          </cell>
          <cell r="EJ471">
            <v>0</v>
          </cell>
          <cell r="EK471">
            <v>42244</v>
          </cell>
          <cell r="EM471">
            <v>42245</v>
          </cell>
          <cell r="EQ471">
            <v>42254</v>
          </cell>
          <cell r="EW471">
            <v>0</v>
          </cell>
          <cell r="EX471">
            <v>42268</v>
          </cell>
          <cell r="EZ471">
            <v>42264</v>
          </cell>
          <cell r="FB471">
            <v>42266</v>
          </cell>
          <cell r="FU471">
            <v>42268</v>
          </cell>
          <cell r="FW471">
            <v>42268</v>
          </cell>
          <cell r="GI471">
            <v>42277</v>
          </cell>
          <cell r="GJ471">
            <v>0</v>
          </cell>
          <cell r="GN471" t="str">
            <v>ERICSSON</v>
          </cell>
          <cell r="HD471">
            <v>1</v>
          </cell>
        </row>
        <row r="472">
          <cell r="A472" t="str">
            <v>NP0295</v>
          </cell>
          <cell r="B472" t="str">
            <v>ANNP_0389</v>
          </cell>
          <cell r="C472" t="str">
            <v>Apollo</v>
          </cell>
          <cell r="D472" t="str">
            <v>Chris Thomson</v>
          </cell>
          <cell r="F472" t="str">
            <v>Mya Kyauk</v>
          </cell>
          <cell r="G472" t="str">
            <v>Kaung Htet</v>
          </cell>
          <cell r="H472" t="str">
            <v>AMBER</v>
          </cell>
          <cell r="I472" t="str">
            <v>North</v>
          </cell>
          <cell r="J472" t="str">
            <v>95.966824</v>
          </cell>
          <cell r="K472" t="str">
            <v>20.19837</v>
          </cell>
          <cell r="L472" t="str">
            <v>Rural</v>
          </cell>
          <cell r="M472" t="str">
            <v>Naypyitaw</v>
          </cell>
          <cell r="N472" t="str">
            <v>Tatkon</v>
          </cell>
          <cell r="O472" t="str">
            <v>Tatkon</v>
          </cell>
          <cell r="P472" t="str">
            <v>Naypyitaw</v>
          </cell>
          <cell r="Q472" t="str">
            <v>10</v>
          </cell>
          <cell r="R472" t="str">
            <v>Tatkon</v>
          </cell>
          <cell r="S472" t="str">
            <v>325</v>
          </cell>
          <cell r="T472" t="str">
            <v>GSM+UMTS</v>
          </cell>
          <cell r="U472" t="str">
            <v>YAN-N037</v>
          </cell>
          <cell r="V472" t="str">
            <v>1</v>
          </cell>
          <cell r="W472" t="str">
            <v>Ph2-Priority</v>
          </cell>
          <cell r="X472" t="str">
            <v>45</v>
          </cell>
          <cell r="Y472" t="str">
            <v>47</v>
          </cell>
          <cell r="Z472" t="str">
            <v>GBT</v>
          </cell>
          <cell r="AA472" t="str">
            <v>500</v>
          </cell>
          <cell r="AB472" t="str">
            <v>Access</v>
          </cell>
          <cell r="AC472" t="str">
            <v>Class C</v>
          </cell>
          <cell r="AD472" t="str">
            <v>644.77</v>
          </cell>
          <cell r="AE472" t="str">
            <v>907.54</v>
          </cell>
          <cell r="AF472" t="str">
            <v>1</v>
          </cell>
          <cell r="AG472" t="str">
            <v>YN0219</v>
          </cell>
          <cell r="AH472" t="str">
            <v>YN0292</v>
          </cell>
          <cell r="BC472" t="str">
            <v>YN0292</v>
          </cell>
          <cell r="BE472" t="str">
            <v>Yangon Ring 4</v>
          </cell>
          <cell r="BF472">
            <v>42124</v>
          </cell>
          <cell r="BG472">
            <v>42108</v>
          </cell>
          <cell r="BH472" t="str">
            <v>Camusat</v>
          </cell>
          <cell r="BJ472">
            <v>42159</v>
          </cell>
          <cell r="BK472">
            <v>42146</v>
          </cell>
          <cell r="BL472">
            <v>42164</v>
          </cell>
          <cell r="BM472">
            <v>42153</v>
          </cell>
          <cell r="BT472">
            <v>17</v>
          </cell>
          <cell r="BU472">
            <v>42223</v>
          </cell>
          <cell r="BV472">
            <v>42163</v>
          </cell>
          <cell r="BW472" t="str">
            <v>95.960493</v>
          </cell>
          <cell r="BX472" t="str">
            <v>20.196073</v>
          </cell>
          <cell r="BY472" t="str">
            <v>C1</v>
          </cell>
          <cell r="BZ472" t="str">
            <v>Phak Than Taung Village, Le Za Pin Group, Tat Kone Township, Nay Pyi Taw</v>
          </cell>
          <cell r="CA472" t="str">
            <v>U Myint Aung;Phak Than Taung Village, Le Za Pin Group, Tat Kone Township, Nay Pyi Taw;09-797725326 , 09-973519086</v>
          </cell>
          <cell r="CB472" t="str">
            <v>8Jun15: C1 SAR Sub.</v>
          </cell>
          <cell r="CC472" t="str">
            <v>Residential</v>
          </cell>
          <cell r="CE472">
            <v>0</v>
          </cell>
          <cell r="CF472">
            <v>42224</v>
          </cell>
          <cell r="CG472">
            <v>42163</v>
          </cell>
          <cell r="CH472">
            <v>42226</v>
          </cell>
          <cell r="CJ472">
            <v>42179</v>
          </cell>
          <cell r="CK472" t="str">
            <v>45</v>
          </cell>
          <cell r="CL472" t="str">
            <v>47</v>
          </cell>
          <cell r="CM472" t="str">
            <v>50</v>
          </cell>
          <cell r="CN472">
            <v>18</v>
          </cell>
          <cell r="CO472">
            <v>42229</v>
          </cell>
          <cell r="CP472">
            <v>42181</v>
          </cell>
          <cell r="CQ472" t="str">
            <v>M4: solar + DG + battery</v>
          </cell>
          <cell r="CR472">
            <v>3</v>
          </cell>
          <cell r="CS472">
            <v>42230</v>
          </cell>
          <cell r="CT472">
            <v>42184</v>
          </cell>
          <cell r="CU472" t="str">
            <v>NP0295</v>
          </cell>
          <cell r="DH472">
            <v>49</v>
          </cell>
          <cell r="DI472">
            <v>42240</v>
          </cell>
          <cell r="DK472">
            <v>42237</v>
          </cell>
          <cell r="DL472">
            <v>42242</v>
          </cell>
          <cell r="DM472">
            <v>42241</v>
          </cell>
          <cell r="DN472">
            <v>42215</v>
          </cell>
          <cell r="DO472">
            <v>0</v>
          </cell>
          <cell r="DP472">
            <v>42240</v>
          </cell>
          <cell r="DR472" t="str">
            <v>Kayan GAO</v>
          </cell>
          <cell r="DT472">
            <v>0</v>
          </cell>
          <cell r="DU472">
            <v>42255</v>
          </cell>
          <cell r="DW472">
            <v>0</v>
          </cell>
          <cell r="DY472">
            <v>42241</v>
          </cell>
          <cell r="DZ472">
            <v>42228</v>
          </cell>
          <cell r="EA472" t="str">
            <v>Camusat</v>
          </cell>
          <cell r="EJ472">
            <v>5</v>
          </cell>
          <cell r="EK472">
            <v>42258</v>
          </cell>
          <cell r="EM472">
            <v>42259</v>
          </cell>
          <cell r="EQ472">
            <v>42268</v>
          </cell>
          <cell r="EW472">
            <v>5</v>
          </cell>
          <cell r="EX472">
            <v>42225</v>
          </cell>
          <cell r="EZ472">
            <v>42278</v>
          </cell>
          <cell r="FB472">
            <v>42280</v>
          </cell>
          <cell r="FD472">
            <v>41932</v>
          </cell>
          <cell r="FF472">
            <v>41939</v>
          </cell>
          <cell r="FH472">
            <v>41941</v>
          </cell>
          <cell r="FJ472">
            <v>41944</v>
          </cell>
          <cell r="FN472">
            <v>41948</v>
          </cell>
          <cell r="FP472">
            <v>41950</v>
          </cell>
          <cell r="FR472">
            <v>41964</v>
          </cell>
          <cell r="FU472">
            <v>42282</v>
          </cell>
          <cell r="FW472">
            <v>42282</v>
          </cell>
          <cell r="GI472">
            <v>42277</v>
          </cell>
          <cell r="GJ472">
            <v>0</v>
          </cell>
          <cell r="GN472" t="str">
            <v>ERICSSON</v>
          </cell>
          <cell r="GS472" t="str">
            <v>4/4/4</v>
          </cell>
          <cell r="GU472" t="str">
            <v xml:space="preserve">		</v>
          </cell>
          <cell r="HD472">
            <v>1</v>
          </cell>
        </row>
        <row r="473">
          <cell r="A473" t="str">
            <v>NP0297</v>
          </cell>
          <cell r="B473" t="str">
            <v>ANNP_0390</v>
          </cell>
          <cell r="C473" t="str">
            <v>Apollo</v>
          </cell>
          <cell r="D473" t="str">
            <v>Chris Thomson</v>
          </cell>
          <cell r="F473" t="str">
            <v>Mya Kyauk</v>
          </cell>
          <cell r="G473" t="str">
            <v>Kaung Htet</v>
          </cell>
          <cell r="H473" t="str">
            <v>RED</v>
          </cell>
          <cell r="I473" t="str">
            <v>North</v>
          </cell>
          <cell r="J473" t="str">
            <v>96.3723893726646</v>
          </cell>
          <cell r="K473" t="str">
            <v>20.1323878232182</v>
          </cell>
          <cell r="L473" t="str">
            <v>Rural</v>
          </cell>
          <cell r="M473" t="str">
            <v>Naypyitaw</v>
          </cell>
          <cell r="N473" t="str">
            <v>Tatkon</v>
          </cell>
          <cell r="O473" t="str">
            <v>Tatkon</v>
          </cell>
          <cell r="P473" t="str">
            <v>Naypyitaw</v>
          </cell>
          <cell r="Q473" t="str">
            <v>10</v>
          </cell>
          <cell r="R473" t="str">
            <v>Tatkon</v>
          </cell>
          <cell r="S473" t="str">
            <v>325</v>
          </cell>
          <cell r="T473" t="str">
            <v>GSM+UMTS</v>
          </cell>
          <cell r="W473" t="str">
            <v>Ph2-Priority</v>
          </cell>
          <cell r="X473" t="str">
            <v>55</v>
          </cell>
          <cell r="Y473" t="str">
            <v>57</v>
          </cell>
          <cell r="Z473" t="str">
            <v>GBT</v>
          </cell>
          <cell r="AA473" t="str">
            <v>500</v>
          </cell>
          <cell r="AB473" t="str">
            <v>Access</v>
          </cell>
          <cell r="AC473" t="str">
            <v>Class C</v>
          </cell>
          <cell r="BH473" t="str">
            <v>Camusat</v>
          </cell>
          <cell r="BJ473">
            <v>42161</v>
          </cell>
          <cell r="BL473">
            <v>42166</v>
          </cell>
          <cell r="BT473">
            <v>42158</v>
          </cell>
          <cell r="BU473">
            <v>42227</v>
          </cell>
          <cell r="BY473" t="str">
            <v>Reject</v>
          </cell>
          <cell r="CB473" t="str">
            <v>18 Aug 15 : C1 SAR rejected(TN0524 C1 SAR already reviewed and approved as GTL.So,we will reject that candidate);10 Aug 15 : C1 SAR sub( the same site code as GTL)</v>
          </cell>
          <cell r="CE473">
            <v>0</v>
          </cell>
          <cell r="CF473">
            <v>42228</v>
          </cell>
          <cell r="CH473">
            <v>42230</v>
          </cell>
          <cell r="CN473">
            <v>0</v>
          </cell>
          <cell r="CO473">
            <v>42233</v>
          </cell>
          <cell r="CR473">
            <v>0</v>
          </cell>
          <cell r="CS473">
            <v>42234</v>
          </cell>
          <cell r="CU473" t="str">
            <v>NP0297</v>
          </cell>
          <cell r="DH473">
            <v>0</v>
          </cell>
          <cell r="DI473">
            <v>42244</v>
          </cell>
          <cell r="DK473">
            <v>42241</v>
          </cell>
          <cell r="DM473">
            <v>42245</v>
          </cell>
          <cell r="DO473">
            <v>0</v>
          </cell>
          <cell r="DP473">
            <v>42244</v>
          </cell>
          <cell r="DT473">
            <v>0</v>
          </cell>
          <cell r="DU473">
            <v>42259</v>
          </cell>
          <cell r="DW473">
            <v>0</v>
          </cell>
          <cell r="DY473">
            <v>42245</v>
          </cell>
          <cell r="EA473" t="str">
            <v>Camusat</v>
          </cell>
          <cell r="EJ473">
            <v>0</v>
          </cell>
          <cell r="EK473">
            <v>42267</v>
          </cell>
          <cell r="EM473">
            <v>42268</v>
          </cell>
          <cell r="EQ473">
            <v>42280</v>
          </cell>
          <cell r="EW473">
            <v>0</v>
          </cell>
          <cell r="EX473">
            <v>42294</v>
          </cell>
          <cell r="EZ473">
            <v>42290</v>
          </cell>
          <cell r="FB473">
            <v>42292</v>
          </cell>
          <cell r="FU473">
            <v>42294</v>
          </cell>
          <cell r="FW473">
            <v>42294</v>
          </cell>
          <cell r="GI473">
            <v>42277</v>
          </cell>
          <cell r="GJ473">
            <v>0</v>
          </cell>
          <cell r="GN473" t="str">
            <v>ERICSSON</v>
          </cell>
          <cell r="GU473" t="str">
            <v xml:space="preserve">		</v>
          </cell>
          <cell r="HD473">
            <v>1</v>
          </cell>
        </row>
        <row r="474">
          <cell r="A474" t="str">
            <v>NP0298</v>
          </cell>
          <cell r="B474" t="str">
            <v>ANNP_0391</v>
          </cell>
          <cell r="C474" t="str">
            <v>Apollo</v>
          </cell>
          <cell r="D474" t="str">
            <v>Chris Thomson</v>
          </cell>
          <cell r="F474" t="str">
            <v>Mya Kyauk</v>
          </cell>
          <cell r="G474" t="str">
            <v>Kaung Htet</v>
          </cell>
          <cell r="H474" t="str">
            <v>AMBER</v>
          </cell>
          <cell r="I474" t="str">
            <v>North</v>
          </cell>
          <cell r="J474" t="str">
            <v>96.24319</v>
          </cell>
          <cell r="K474" t="str">
            <v>20.03875</v>
          </cell>
          <cell r="L474" t="str">
            <v>Rural</v>
          </cell>
          <cell r="M474" t="str">
            <v>Naypyitaw</v>
          </cell>
          <cell r="N474" t="str">
            <v>Tatkon</v>
          </cell>
          <cell r="O474" t="str">
            <v>Tatkon</v>
          </cell>
          <cell r="P474" t="str">
            <v>Naypyitaw</v>
          </cell>
          <cell r="Q474" t="str">
            <v>10</v>
          </cell>
          <cell r="R474" t="str">
            <v>Tatkon</v>
          </cell>
          <cell r="S474" t="str">
            <v>325</v>
          </cell>
          <cell r="T474" t="str">
            <v>GSM+UMTS</v>
          </cell>
          <cell r="U474" t="str">
            <v>YAN-N007</v>
          </cell>
          <cell r="V474" t="str">
            <v>1</v>
          </cell>
          <cell r="W474" t="str">
            <v>Ph2-Priority</v>
          </cell>
          <cell r="X474" t="str">
            <v>45</v>
          </cell>
          <cell r="Y474" t="str">
            <v>47</v>
          </cell>
          <cell r="Z474" t="str">
            <v>GBT</v>
          </cell>
          <cell r="AA474" t="str">
            <v>500</v>
          </cell>
          <cell r="AB474" t="str">
            <v>Access</v>
          </cell>
          <cell r="AC474" t="str">
            <v>Class C</v>
          </cell>
          <cell r="AD474" t="str">
            <v>1210.77</v>
          </cell>
          <cell r="AE474" t="str">
            <v>1836.84</v>
          </cell>
          <cell r="AF474" t="str">
            <v>1</v>
          </cell>
          <cell r="AG474" t="str">
            <v>YN0133</v>
          </cell>
          <cell r="AH474" t="str">
            <v>YN0145</v>
          </cell>
          <cell r="BC474" t="str">
            <v>YN0145</v>
          </cell>
          <cell r="BE474" t="str">
            <v>Yangon Ring 1</v>
          </cell>
          <cell r="BF474">
            <v>41760</v>
          </cell>
          <cell r="BG474">
            <v>41906</v>
          </cell>
          <cell r="BH474" t="str">
            <v>Camusat</v>
          </cell>
          <cell r="BJ474">
            <v>42161</v>
          </cell>
          <cell r="BK474">
            <v>42149</v>
          </cell>
          <cell r="BL474">
            <v>42166</v>
          </cell>
          <cell r="BM474">
            <v>42156</v>
          </cell>
          <cell r="BT474">
            <v>17</v>
          </cell>
          <cell r="BU474">
            <v>42199</v>
          </cell>
          <cell r="BV474">
            <v>42166</v>
          </cell>
          <cell r="BW474" t="str">
            <v>96.24264</v>
          </cell>
          <cell r="BX474" t="str">
            <v>20.0386</v>
          </cell>
          <cell r="BY474" t="str">
            <v>C1</v>
          </cell>
          <cell r="BZ474" t="str">
            <v>Tha Pyay Chaung Village, Tha Pyay Chaung Group, Tat Kone Township, Nay Pyi Taw.</v>
          </cell>
          <cell r="CA474" t="str">
            <v>Daw Mya Mya Win;Tha Pyay Chaung Village, Tha Pyay Chaung Group, Tat Kone Township, Nay Pyi Taw;09-799171721</v>
          </cell>
          <cell r="CB474" t="str">
            <v>11Jun15: C1 SAR Sub</v>
          </cell>
          <cell r="CC474" t="str">
            <v>Residential</v>
          </cell>
          <cell r="CE474">
            <v>1</v>
          </cell>
          <cell r="CF474">
            <v>42200</v>
          </cell>
          <cell r="CG474">
            <v>42167</v>
          </cell>
          <cell r="CH474">
            <v>42202</v>
          </cell>
          <cell r="CJ474">
            <v>42175</v>
          </cell>
          <cell r="CK474" t="str">
            <v>45</v>
          </cell>
          <cell r="CL474" t="str">
            <v>47</v>
          </cell>
          <cell r="CM474" t="str">
            <v>50</v>
          </cell>
          <cell r="CN474">
            <v>10</v>
          </cell>
          <cell r="CO474">
            <v>42205</v>
          </cell>
          <cell r="CP474">
            <v>42177</v>
          </cell>
          <cell r="CQ474" t="str">
            <v>M4: solar + DG + battery</v>
          </cell>
          <cell r="CR474">
            <v>2</v>
          </cell>
          <cell r="CS474">
            <v>42206</v>
          </cell>
          <cell r="CT474">
            <v>42179</v>
          </cell>
          <cell r="CU474" t="str">
            <v>NP0298</v>
          </cell>
          <cell r="DH474">
            <v>54</v>
          </cell>
          <cell r="DI474">
            <v>42216</v>
          </cell>
          <cell r="DK474">
            <v>42213</v>
          </cell>
          <cell r="DL474">
            <v>42199</v>
          </cell>
          <cell r="DM474">
            <v>42217</v>
          </cell>
          <cell r="DN474">
            <v>42199</v>
          </cell>
          <cell r="DO474">
            <v>0</v>
          </cell>
          <cell r="DP474">
            <v>42216</v>
          </cell>
          <cell r="DR474" t="str">
            <v>YCDC</v>
          </cell>
          <cell r="DT474">
            <v>0</v>
          </cell>
          <cell r="DU474">
            <v>42231</v>
          </cell>
          <cell r="DW474">
            <v>0</v>
          </cell>
          <cell r="DY474">
            <v>42217</v>
          </cell>
          <cell r="DZ474">
            <v>42207</v>
          </cell>
          <cell r="EA474" t="str">
            <v>Camusat</v>
          </cell>
          <cell r="EB474">
            <v>42217</v>
          </cell>
          <cell r="EE474" t="str">
            <v xml:space="preserve">10 Aug 15:Flood affected_Hold-No access; 1-Aug-15:  ACCESS PROBLEM IF CONTINUOUS RAIN (DIRT ROAD)								</v>
          </cell>
          <cell r="EJ474">
            <v>26</v>
          </cell>
          <cell r="EK474">
            <v>42234</v>
          </cell>
          <cell r="EM474">
            <v>42235</v>
          </cell>
          <cell r="EQ474">
            <v>42244</v>
          </cell>
          <cell r="EW474">
            <v>26</v>
          </cell>
          <cell r="EX474">
            <v>42252</v>
          </cell>
          <cell r="EZ474">
            <v>42254</v>
          </cell>
          <cell r="FB474">
            <v>42256</v>
          </cell>
          <cell r="FD474">
            <v>41936</v>
          </cell>
          <cell r="FF474">
            <v>41943</v>
          </cell>
          <cell r="FH474">
            <v>41945</v>
          </cell>
          <cell r="FJ474">
            <v>41948</v>
          </cell>
          <cell r="FN474">
            <v>41952</v>
          </cell>
          <cell r="FP474">
            <v>41954</v>
          </cell>
          <cell r="FR474">
            <v>41968</v>
          </cell>
          <cell r="FU474">
            <v>42258</v>
          </cell>
          <cell r="FW474">
            <v>42258</v>
          </cell>
          <cell r="GI474">
            <v>42307</v>
          </cell>
          <cell r="GJ474" t="str">
            <v>44-2015</v>
          </cell>
          <cell r="GN474" t="str">
            <v>ERICSSON</v>
          </cell>
          <cell r="GS474" t="str">
            <v>4/4/4</v>
          </cell>
          <cell r="GU474" t="str">
            <v xml:space="preserve">		</v>
          </cell>
          <cell r="HD474">
            <v>1</v>
          </cell>
        </row>
        <row r="475">
          <cell r="A475" t="str">
            <v>NP0300</v>
          </cell>
          <cell r="B475" t="str">
            <v>ANNP_0392</v>
          </cell>
          <cell r="C475" t="str">
            <v>Apollo</v>
          </cell>
          <cell r="D475" t="str">
            <v>Chris Thomson</v>
          </cell>
          <cell r="F475" t="str">
            <v>Mya Kyauk</v>
          </cell>
          <cell r="G475" t="str">
            <v>Kaung Htet</v>
          </cell>
          <cell r="H475" t="str">
            <v>RED</v>
          </cell>
          <cell r="I475" t="str">
            <v>North</v>
          </cell>
          <cell r="J475" t="str">
            <v>96.021617</v>
          </cell>
          <cell r="K475" t="str">
            <v>19.923183</v>
          </cell>
          <cell r="L475" t="str">
            <v>Rural</v>
          </cell>
          <cell r="M475" t="str">
            <v>Naypyitaw</v>
          </cell>
          <cell r="N475" t="str">
            <v>Oke Ta Ra Thi Ri</v>
          </cell>
          <cell r="O475" t="str">
            <v>Oke Ta Ra Thi Ri</v>
          </cell>
          <cell r="P475" t="str">
            <v>Naypyitaw</v>
          </cell>
          <cell r="Q475" t="str">
            <v>10</v>
          </cell>
          <cell r="R475" t="str">
            <v>Oke Ta Ra Thi Ri</v>
          </cell>
          <cell r="S475" t="str">
            <v>330</v>
          </cell>
          <cell r="T475" t="str">
            <v>GSM+UMTS</v>
          </cell>
          <cell r="W475" t="str">
            <v>Ph2-Priority</v>
          </cell>
          <cell r="X475" t="str">
            <v>45</v>
          </cell>
          <cell r="Y475" t="str">
            <v>47</v>
          </cell>
          <cell r="Z475" t="str">
            <v>GBT</v>
          </cell>
          <cell r="AA475" t="str">
            <v>500</v>
          </cell>
          <cell r="AB475" t="str">
            <v>Access</v>
          </cell>
          <cell r="AC475" t="str">
            <v>Class C</v>
          </cell>
          <cell r="BH475" t="str">
            <v>Leadcom</v>
          </cell>
          <cell r="BJ475">
            <v>42161</v>
          </cell>
          <cell r="BK475">
            <v>42167</v>
          </cell>
          <cell r="BL475">
            <v>42166</v>
          </cell>
          <cell r="BM475">
            <v>42178</v>
          </cell>
          <cell r="BT475">
            <v>65</v>
          </cell>
          <cell r="BU475">
            <v>42181</v>
          </cell>
          <cell r="BV475">
            <v>42232</v>
          </cell>
          <cell r="BW475" t="str">
            <v>96.02162</v>
          </cell>
          <cell r="BX475" t="str">
            <v>19.9228</v>
          </cell>
          <cell r="BY475" t="str">
            <v>C3</v>
          </cell>
          <cell r="BZ475" t="str">
            <v>Field No(1894),U Paing No(314),Taung Nyo Village Group, Oak Ta Ya Thiri Tsp. NPT Division</v>
          </cell>
          <cell r="CA475" t="str">
            <v>U Myint Than</v>
          </cell>
          <cell r="CB475" t="str">
            <v>16 Aug 15 : C3 SAR sub( C01 NOC issue, C02 Rejected during TSSR as it is near the river);12 Aug 15 : C2 SAR app;10 Aug 15 : C2 SAR sub(C1 cancelled - NOC Issue);10 Jul 15 : C1 TSSR app;9 Jul 15 : C1 TSSR sub;29 Jun 15 : C1 SAR app;26 Jun 15 : C1 SAR sub</v>
          </cell>
          <cell r="CC475" t="str">
            <v>Residential</v>
          </cell>
          <cell r="CE475">
            <v>1</v>
          </cell>
          <cell r="CF475">
            <v>42182</v>
          </cell>
          <cell r="CG475">
            <v>42236</v>
          </cell>
          <cell r="CH475">
            <v>42184</v>
          </cell>
          <cell r="CJ475">
            <v>42239</v>
          </cell>
          <cell r="CK475" t="str">
            <v>45</v>
          </cell>
          <cell r="CL475" t="str">
            <v>47</v>
          </cell>
          <cell r="CM475" t="str">
            <v>50</v>
          </cell>
          <cell r="CN475">
            <v>0</v>
          </cell>
          <cell r="CO475">
            <v>42187</v>
          </cell>
          <cell r="CP475">
            <v>42241</v>
          </cell>
          <cell r="CQ475" t="str">
            <v>M4: solar + DG + battery</v>
          </cell>
          <cell r="CR475">
            <v>0</v>
          </cell>
          <cell r="CS475">
            <v>42188</v>
          </cell>
          <cell r="CT475">
            <v>42243</v>
          </cell>
          <cell r="CU475" t="str">
            <v>NP0300</v>
          </cell>
          <cell r="DH475">
            <v>0</v>
          </cell>
          <cell r="DI475">
            <v>42198</v>
          </cell>
          <cell r="DK475">
            <v>42195</v>
          </cell>
          <cell r="DM475">
            <v>42199</v>
          </cell>
          <cell r="DO475">
            <v>0</v>
          </cell>
          <cell r="DP475">
            <v>42198</v>
          </cell>
          <cell r="DT475">
            <v>0</v>
          </cell>
          <cell r="DU475">
            <v>42213</v>
          </cell>
          <cell r="DW475">
            <v>0</v>
          </cell>
          <cell r="DY475">
            <v>42199</v>
          </cell>
          <cell r="DZ475">
            <v>42221</v>
          </cell>
          <cell r="EA475" t="str">
            <v>Leadcom</v>
          </cell>
          <cell r="EJ475">
            <v>0</v>
          </cell>
          <cell r="EK475">
            <v>42216</v>
          </cell>
          <cell r="EM475">
            <v>42217</v>
          </cell>
          <cell r="EQ475">
            <v>42226</v>
          </cell>
          <cell r="EW475">
            <v>0</v>
          </cell>
          <cell r="EX475">
            <v>42240</v>
          </cell>
          <cell r="EZ475">
            <v>42236</v>
          </cell>
          <cell r="FB475">
            <v>42238</v>
          </cell>
          <cell r="FU475">
            <v>42240</v>
          </cell>
          <cell r="FW475">
            <v>42240</v>
          </cell>
          <cell r="GI475">
            <v>42215</v>
          </cell>
          <cell r="GJ475">
            <v>0</v>
          </cell>
          <cell r="GN475" t="str">
            <v>ERICSSON</v>
          </cell>
          <cell r="GO475">
            <v>42200</v>
          </cell>
          <cell r="HD475">
            <v>1</v>
          </cell>
        </row>
        <row r="476">
          <cell r="A476" t="str">
            <v>NP0302</v>
          </cell>
          <cell r="B476" t="str">
            <v>ANNP_0393</v>
          </cell>
          <cell r="C476" t="str">
            <v>Apollo</v>
          </cell>
          <cell r="D476" t="str">
            <v>Chris Thomson</v>
          </cell>
          <cell r="F476" t="str">
            <v>Mya Kyauk</v>
          </cell>
          <cell r="G476" t="str">
            <v>Kaung Htet</v>
          </cell>
          <cell r="H476" t="str">
            <v>AMBER</v>
          </cell>
          <cell r="I476" t="str">
            <v>North</v>
          </cell>
          <cell r="J476" t="str">
            <v>96.05752488</v>
          </cell>
          <cell r="K476" t="str">
            <v>20.24639326</v>
          </cell>
          <cell r="L476" t="str">
            <v>Rural</v>
          </cell>
          <cell r="M476" t="str">
            <v>Naypyitaw</v>
          </cell>
          <cell r="N476" t="str">
            <v>Tatkon</v>
          </cell>
          <cell r="O476" t="str">
            <v>Tatkon</v>
          </cell>
          <cell r="P476" t="str">
            <v>Naypyitaw</v>
          </cell>
          <cell r="Q476" t="str">
            <v>10</v>
          </cell>
          <cell r="R476" t="str">
            <v>Tatkon</v>
          </cell>
          <cell r="S476" t="str">
            <v>325</v>
          </cell>
          <cell r="T476" t="str">
            <v>GSM+UMTS</v>
          </cell>
          <cell r="W476" t="str">
            <v>Ph2-Priority</v>
          </cell>
          <cell r="X476" t="str">
            <v>45</v>
          </cell>
          <cell r="Y476" t="str">
            <v>47</v>
          </cell>
          <cell r="Z476" t="str">
            <v>GBT</v>
          </cell>
          <cell r="AA476" t="str">
            <v>500</v>
          </cell>
          <cell r="AB476" t="str">
            <v>Access</v>
          </cell>
          <cell r="AC476" t="str">
            <v>Class C</v>
          </cell>
          <cell r="BH476" t="str">
            <v>Camusat</v>
          </cell>
          <cell r="BJ476">
            <v>42159</v>
          </cell>
          <cell r="BK476">
            <v>42146</v>
          </cell>
          <cell r="BL476">
            <v>42164</v>
          </cell>
          <cell r="BM476">
            <v>42153</v>
          </cell>
          <cell r="BT476">
            <v>17</v>
          </cell>
          <cell r="BU476">
            <v>42223</v>
          </cell>
          <cell r="BV476">
            <v>42163</v>
          </cell>
          <cell r="BW476" t="str">
            <v>96.057758</v>
          </cell>
          <cell r="BX476" t="str">
            <v>20.246392</v>
          </cell>
          <cell r="BY476" t="str">
            <v>C1</v>
          </cell>
          <cell r="BZ476" t="str">
            <v>Lat Pan Village, Lat Pan Group, Tat Kone Township, Nay Pyi Taw.</v>
          </cell>
          <cell r="CA476" t="str">
            <v>U Myint Soe;Lat Pan Village, Lat Pan Group, Tat Kone Township, Nay Pyi Taw;09-49215214</v>
          </cell>
          <cell r="CB476" t="str">
            <v>8Jun15: C1 SAR Sub.</v>
          </cell>
          <cell r="CC476" t="str">
            <v>Residential</v>
          </cell>
          <cell r="CE476">
            <v>0</v>
          </cell>
          <cell r="CF476">
            <v>42224</v>
          </cell>
          <cell r="CG476">
            <v>42163</v>
          </cell>
          <cell r="CH476">
            <v>42226</v>
          </cell>
          <cell r="CJ476">
            <v>42175</v>
          </cell>
          <cell r="CK476" t="str">
            <v>45</v>
          </cell>
          <cell r="CL476" t="str">
            <v>47</v>
          </cell>
          <cell r="CM476" t="str">
            <v>50</v>
          </cell>
          <cell r="CN476">
            <v>14</v>
          </cell>
          <cell r="CO476">
            <v>42229</v>
          </cell>
          <cell r="CP476">
            <v>42177</v>
          </cell>
          <cell r="CQ476" t="str">
            <v>M4: solar + DG + battery</v>
          </cell>
          <cell r="CR476">
            <v>2</v>
          </cell>
          <cell r="CS476">
            <v>42230</v>
          </cell>
          <cell r="CT476">
            <v>42179</v>
          </cell>
          <cell r="CU476" t="str">
            <v>NP0302</v>
          </cell>
          <cell r="DH476">
            <v>54</v>
          </cell>
          <cell r="DI476">
            <v>42240</v>
          </cell>
          <cell r="DK476">
            <v>42237</v>
          </cell>
          <cell r="DL476">
            <v>42201</v>
          </cell>
          <cell r="DM476">
            <v>42241</v>
          </cell>
          <cell r="DN476">
            <v>42201</v>
          </cell>
          <cell r="DO476">
            <v>0</v>
          </cell>
          <cell r="DP476">
            <v>42240</v>
          </cell>
          <cell r="DT476">
            <v>0</v>
          </cell>
          <cell r="DU476">
            <v>42255</v>
          </cell>
          <cell r="DW476">
            <v>0</v>
          </cell>
          <cell r="DY476">
            <v>42241</v>
          </cell>
          <cell r="DZ476">
            <v>42207</v>
          </cell>
          <cell r="EA476" t="str">
            <v>Camusat</v>
          </cell>
          <cell r="EB476">
            <v>42224</v>
          </cell>
          <cell r="EE476" t="str">
            <v xml:space="preserve">10 Aug 15:Flood affected_Hold-No access; 8-Aug-15: Neighbor complaints on this site,NOC issue{We have another site with work stoppage order from TS administrator, BP is complete with 105/106 just waiting for the NPD Council letter of approval so I can forward to NCDC. This has been dragging our progress.}								</v>
          </cell>
          <cell r="EJ476">
            <v>26</v>
          </cell>
          <cell r="EK476">
            <v>42258</v>
          </cell>
          <cell r="EM476">
            <v>42259</v>
          </cell>
          <cell r="EQ476">
            <v>42268</v>
          </cell>
          <cell r="EW476">
            <v>26</v>
          </cell>
          <cell r="EX476">
            <v>42225</v>
          </cell>
          <cell r="EZ476">
            <v>42278</v>
          </cell>
          <cell r="FB476">
            <v>42280</v>
          </cell>
          <cell r="FU476">
            <v>42282</v>
          </cell>
          <cell r="FW476">
            <v>42282</v>
          </cell>
          <cell r="GI476">
            <v>42277</v>
          </cell>
          <cell r="GJ476" t="str">
            <v>44-2015</v>
          </cell>
          <cell r="GN476" t="str">
            <v>ERICSSON</v>
          </cell>
          <cell r="HD476">
            <v>1</v>
          </cell>
        </row>
        <row r="477">
          <cell r="A477" t="str">
            <v>NP0303</v>
          </cell>
          <cell r="B477" t="str">
            <v>ANNP_0394</v>
          </cell>
          <cell r="C477" t="str">
            <v>Apollo</v>
          </cell>
          <cell r="D477" t="str">
            <v>Chris Thomson</v>
          </cell>
          <cell r="F477" t="str">
            <v>Mya Kyauk</v>
          </cell>
          <cell r="G477" t="str">
            <v>Kaung Htet</v>
          </cell>
          <cell r="H477" t="str">
            <v>RED</v>
          </cell>
          <cell r="I477" t="str">
            <v>North</v>
          </cell>
          <cell r="J477" t="str">
            <v>96.0375667999999</v>
          </cell>
          <cell r="K477" t="str">
            <v>20.1159359</v>
          </cell>
          <cell r="L477" t="str">
            <v>Rural</v>
          </cell>
          <cell r="M477" t="str">
            <v>Naypyitaw</v>
          </cell>
          <cell r="N477" t="str">
            <v>Tatkon</v>
          </cell>
          <cell r="O477" t="str">
            <v>Tatkon</v>
          </cell>
          <cell r="P477" t="str">
            <v>Naypyitaw</v>
          </cell>
          <cell r="Q477" t="str">
            <v>10</v>
          </cell>
          <cell r="R477" t="str">
            <v>Tatkon</v>
          </cell>
          <cell r="S477" t="str">
            <v>325</v>
          </cell>
          <cell r="T477" t="str">
            <v>GSM+UMTS</v>
          </cell>
          <cell r="W477" t="str">
            <v>Ph2-Priority</v>
          </cell>
          <cell r="X477" t="str">
            <v>45</v>
          </cell>
          <cell r="Y477" t="str">
            <v>47</v>
          </cell>
          <cell r="Z477" t="str">
            <v>GBT</v>
          </cell>
          <cell r="AA477" t="str">
            <v>500</v>
          </cell>
          <cell r="AB477" t="str">
            <v>Access</v>
          </cell>
          <cell r="AC477" t="str">
            <v>Class C</v>
          </cell>
          <cell r="BH477" t="str">
            <v>Camusat</v>
          </cell>
          <cell r="BJ477">
            <v>42161</v>
          </cell>
          <cell r="BK477">
            <v>42171</v>
          </cell>
          <cell r="BL477">
            <v>42166</v>
          </cell>
          <cell r="BM477">
            <v>42178</v>
          </cell>
          <cell r="BT477">
            <v>16</v>
          </cell>
          <cell r="BU477">
            <v>42199</v>
          </cell>
          <cell r="BV477">
            <v>42187</v>
          </cell>
          <cell r="BW477" t="str">
            <v>96.021986</v>
          </cell>
          <cell r="BX477" t="str">
            <v>20.115263</v>
          </cell>
          <cell r="BY477" t="str">
            <v>C1</v>
          </cell>
          <cell r="BZ477" t="str">
            <v>Aing Kyal Village,Aing Kyal Group,Tat Kone, Nay Pyi Taw</v>
          </cell>
          <cell r="CA477" t="str">
            <v>U Hthein Lin</v>
          </cell>
          <cell r="CB477" t="str">
            <v>1 Sept 15: C1 rev1 TSSR app again with 45M Tower height;30 Aug 15 : C1 TSSR rev pdf sent because Apollo wants to reduce the tower height from 50M to 45 M due to stock availability;29 Jul 15:C1 TSSRapp;28 Jul 15: C1 TSSR sub;8 Jul 15 : C1 SAR app;2 Jul 15 : C1 SAR sub</v>
          </cell>
          <cell r="CC477" t="str">
            <v>Residential</v>
          </cell>
          <cell r="CE477">
            <v>6</v>
          </cell>
          <cell r="CF477">
            <v>42200</v>
          </cell>
          <cell r="CG477">
            <v>42193</v>
          </cell>
          <cell r="CH477">
            <v>42202</v>
          </cell>
          <cell r="CJ477">
            <v>42211</v>
          </cell>
          <cell r="CK477" t="str">
            <v>47</v>
          </cell>
          <cell r="CL477" t="str">
            <v>49</v>
          </cell>
          <cell r="CM477" t="str">
            <v>50</v>
          </cell>
          <cell r="CN477">
            <v>20</v>
          </cell>
          <cell r="CO477">
            <v>42205</v>
          </cell>
          <cell r="CP477">
            <v>42213</v>
          </cell>
          <cell r="CQ477" t="str">
            <v>M4: solar + DG + battery</v>
          </cell>
          <cell r="CR477">
            <v>1</v>
          </cell>
          <cell r="CS477">
            <v>42206</v>
          </cell>
          <cell r="CT477">
            <v>42214</v>
          </cell>
          <cell r="CU477" t="str">
            <v>NP0303</v>
          </cell>
          <cell r="DH477">
            <v>19</v>
          </cell>
          <cell r="DI477">
            <v>42216</v>
          </cell>
          <cell r="DJ477">
            <v>42181</v>
          </cell>
          <cell r="DK477">
            <v>42213</v>
          </cell>
          <cell r="DL477">
            <v>42172</v>
          </cell>
          <cell r="DM477">
            <v>42217</v>
          </cell>
          <cell r="DN477">
            <v>42187</v>
          </cell>
          <cell r="DO477">
            <v>0</v>
          </cell>
          <cell r="DP477">
            <v>42216</v>
          </cell>
          <cell r="DQ477">
            <v>42181</v>
          </cell>
          <cell r="DT477">
            <v>0</v>
          </cell>
          <cell r="DU477">
            <v>42231</v>
          </cell>
          <cell r="DW477">
            <v>0</v>
          </cell>
          <cell r="DY477">
            <v>42217</v>
          </cell>
          <cell r="DZ477">
            <v>42248</v>
          </cell>
          <cell r="EA477" t="str">
            <v>Camusat</v>
          </cell>
          <cell r="EB477">
            <v>42212</v>
          </cell>
          <cell r="ED477" t="str">
            <v xml:space="preserve">27Jul15 :KyawZay.Yar: Excavation done.Lean concrete done.
</v>
          </cell>
          <cell r="EE477" t="str">
            <v xml:space="preserve">10 Aug 15:Flood affected_Hold-No access; 27-Jul-15: Flooded access or site is flooded_ we canÆt proceed to this site. For now								</v>
          </cell>
          <cell r="EJ477">
            <v>0</v>
          </cell>
          <cell r="EK477">
            <v>42234</v>
          </cell>
          <cell r="EM477">
            <v>42235</v>
          </cell>
          <cell r="EQ477">
            <v>42244</v>
          </cell>
          <cell r="EW477">
            <v>0</v>
          </cell>
          <cell r="EX477">
            <v>42252</v>
          </cell>
          <cell r="EZ477">
            <v>42254</v>
          </cell>
          <cell r="FB477">
            <v>42256</v>
          </cell>
          <cell r="FU477">
            <v>42258</v>
          </cell>
          <cell r="FW477">
            <v>42258</v>
          </cell>
          <cell r="GI477">
            <v>42277</v>
          </cell>
          <cell r="GJ477">
            <v>0</v>
          </cell>
          <cell r="GN477" t="str">
            <v>ERICSSON</v>
          </cell>
          <cell r="GO477">
            <v>42199</v>
          </cell>
          <cell r="GP477">
            <v>42207</v>
          </cell>
          <cell r="HD477">
            <v>1</v>
          </cell>
        </row>
        <row r="478">
          <cell r="A478" t="str">
            <v>NP0304</v>
          </cell>
          <cell r="B478" t="str">
            <v>ANNP_0395</v>
          </cell>
          <cell r="C478" t="str">
            <v>Apollo</v>
          </cell>
          <cell r="D478" t="str">
            <v>Chris Thomson</v>
          </cell>
          <cell r="F478" t="str">
            <v>Mya Kyauk</v>
          </cell>
          <cell r="G478" t="str">
            <v>Kaung Htet</v>
          </cell>
          <cell r="H478" t="str">
            <v>AMBER</v>
          </cell>
          <cell r="I478" t="str">
            <v>North</v>
          </cell>
          <cell r="J478" t="str">
            <v>96.1037224655971</v>
          </cell>
          <cell r="K478" t="str">
            <v>20.1048839184783</v>
          </cell>
          <cell r="L478" t="str">
            <v>Rural</v>
          </cell>
          <cell r="M478" t="str">
            <v>Naypyitaw</v>
          </cell>
          <cell r="N478" t="str">
            <v>Tatkon</v>
          </cell>
          <cell r="O478" t="str">
            <v>Tatkon</v>
          </cell>
          <cell r="P478" t="str">
            <v>Naypyitaw</v>
          </cell>
          <cell r="Q478" t="str">
            <v>10</v>
          </cell>
          <cell r="R478" t="str">
            <v>Tatkon</v>
          </cell>
          <cell r="S478" t="str">
            <v>325</v>
          </cell>
          <cell r="T478" t="str">
            <v>GSM+UMTS</v>
          </cell>
          <cell r="W478" t="str">
            <v>Ph2-Priority</v>
          </cell>
          <cell r="X478" t="str">
            <v>45</v>
          </cell>
          <cell r="Y478" t="str">
            <v>47</v>
          </cell>
          <cell r="Z478" t="str">
            <v>GBT</v>
          </cell>
          <cell r="AA478" t="str">
            <v>500</v>
          </cell>
          <cell r="AB478" t="str">
            <v>Access</v>
          </cell>
          <cell r="AC478" t="str">
            <v>Class C</v>
          </cell>
          <cell r="BE478" t="str">
            <v>Magway – Sittwe</v>
          </cell>
          <cell r="BH478" t="str">
            <v>Camusat</v>
          </cell>
          <cell r="BJ478">
            <v>42159</v>
          </cell>
          <cell r="BK478">
            <v>42159</v>
          </cell>
          <cell r="BL478">
            <v>42164</v>
          </cell>
          <cell r="BM478">
            <v>42166</v>
          </cell>
          <cell r="BT478">
            <v>17</v>
          </cell>
          <cell r="BU478">
            <v>42223</v>
          </cell>
          <cell r="BV478">
            <v>42176</v>
          </cell>
          <cell r="BW478" t="str">
            <v>96.099126</v>
          </cell>
          <cell r="BX478" t="str">
            <v>20.121412</v>
          </cell>
          <cell r="BY478" t="str">
            <v>C1</v>
          </cell>
          <cell r="BZ478" t="str">
            <v>NO.40, KYAT CHAUNG VILLAGE, GWE GYI GROUP,TAT KONE TOWNSHIP, NAYPYITAW.</v>
          </cell>
          <cell r="CA478" t="str">
            <v>U Nyi Shwe;09-254084654</v>
          </cell>
          <cell r="CB478" t="str">
            <v>21JUn15: C1 SAR Sub</v>
          </cell>
          <cell r="CC478" t="str">
            <v>Residential_NP within the Area of Agricultural Land</v>
          </cell>
          <cell r="CE478">
            <v>1</v>
          </cell>
          <cell r="CF478">
            <v>42224</v>
          </cell>
          <cell r="CG478">
            <v>42177</v>
          </cell>
          <cell r="CH478">
            <v>42226</v>
          </cell>
          <cell r="CJ478">
            <v>42184</v>
          </cell>
          <cell r="CK478" t="str">
            <v>45</v>
          </cell>
          <cell r="CL478" t="str">
            <v>47</v>
          </cell>
          <cell r="CM478" t="str">
            <v>50</v>
          </cell>
          <cell r="CN478">
            <v>9</v>
          </cell>
          <cell r="CO478">
            <v>42229</v>
          </cell>
          <cell r="CP478">
            <v>42186</v>
          </cell>
          <cell r="CQ478" t="str">
            <v>M1: grid power + battery</v>
          </cell>
          <cell r="CR478">
            <v>1</v>
          </cell>
          <cell r="CS478">
            <v>42230</v>
          </cell>
          <cell r="CT478">
            <v>42187</v>
          </cell>
          <cell r="CU478" t="str">
            <v>NP0304</v>
          </cell>
          <cell r="DH478">
            <v>46</v>
          </cell>
          <cell r="DI478">
            <v>42240</v>
          </cell>
          <cell r="DJ478">
            <v>42217</v>
          </cell>
          <cell r="DK478">
            <v>42237</v>
          </cell>
          <cell r="DL478">
            <v>42199</v>
          </cell>
          <cell r="DM478">
            <v>42241</v>
          </cell>
          <cell r="DN478">
            <v>42199</v>
          </cell>
          <cell r="DO478">
            <v>0</v>
          </cell>
          <cell r="DP478">
            <v>42240</v>
          </cell>
          <cell r="DQ478">
            <v>42217</v>
          </cell>
          <cell r="DT478">
            <v>0</v>
          </cell>
          <cell r="DU478">
            <v>42255</v>
          </cell>
          <cell r="DW478">
            <v>0</v>
          </cell>
          <cell r="DY478">
            <v>42241</v>
          </cell>
          <cell r="DZ478">
            <v>42208</v>
          </cell>
          <cell r="EA478" t="str">
            <v>Camusat</v>
          </cell>
          <cell r="EB478">
            <v>42217</v>
          </cell>
          <cell r="ED478" t="str">
            <v xml:space="preserve">12Aug15 :KaungHtet: Foundation slab have been cast.
</v>
          </cell>
          <cell r="EE478" t="str">
            <v xml:space="preserve">10 Aug 15:Flood affected_Hold-No access; 1-Aug-15:  ACCESS PROBLEM IF CONTINUOUS RAIN (DIRT ROAD)								</v>
          </cell>
          <cell r="EJ478">
            <v>25</v>
          </cell>
          <cell r="EK478">
            <v>42258</v>
          </cell>
          <cell r="EL478">
            <v>42233</v>
          </cell>
          <cell r="EM478">
            <v>42259</v>
          </cell>
          <cell r="EN478">
            <v>42241</v>
          </cell>
          <cell r="EQ478">
            <v>42268</v>
          </cell>
          <cell r="ER478">
            <v>42241</v>
          </cell>
          <cell r="ES478">
            <v>42243</v>
          </cell>
          <cell r="ET478">
            <v>42243</v>
          </cell>
          <cell r="EU478">
            <v>42243</v>
          </cell>
          <cell r="EW478">
            <v>25</v>
          </cell>
          <cell r="EX478">
            <v>42225</v>
          </cell>
          <cell r="EZ478">
            <v>42278</v>
          </cell>
          <cell r="FA478">
            <v>42245</v>
          </cell>
          <cell r="FB478">
            <v>42280</v>
          </cell>
          <cell r="FC478">
            <v>42246</v>
          </cell>
          <cell r="FU478">
            <v>42282</v>
          </cell>
          <cell r="FW478">
            <v>42282</v>
          </cell>
          <cell r="FX478">
            <v>42246</v>
          </cell>
          <cell r="FY478" t="str">
            <v>CFVL</v>
          </cell>
          <cell r="FZ478">
            <v>42245</v>
          </cell>
          <cell r="GI478">
            <v>42277</v>
          </cell>
          <cell r="GJ478" t="str">
            <v>44-2015</v>
          </cell>
          <cell r="GN478" t="str">
            <v>ERICSSON</v>
          </cell>
          <cell r="HD478">
            <v>1</v>
          </cell>
        </row>
        <row r="479">
          <cell r="A479" t="str">
            <v>NP0305</v>
          </cell>
          <cell r="B479" t="str">
            <v>ANNP_0396</v>
          </cell>
          <cell r="C479" t="str">
            <v>Apollo</v>
          </cell>
          <cell r="D479" t="str">
            <v>Chris Thomson</v>
          </cell>
          <cell r="F479" t="str">
            <v>Mya Kyauk</v>
          </cell>
          <cell r="G479" t="str">
            <v>Kaung Htet</v>
          </cell>
          <cell r="H479" t="str">
            <v>AMBER</v>
          </cell>
          <cell r="I479" t="str">
            <v>North</v>
          </cell>
          <cell r="J479" t="str">
            <v>96.146538</v>
          </cell>
          <cell r="K479" t="str">
            <v>20.250033</v>
          </cell>
          <cell r="L479" t="str">
            <v>Rural</v>
          </cell>
          <cell r="M479" t="str">
            <v>Naypyitaw</v>
          </cell>
          <cell r="N479" t="str">
            <v>Tatkon</v>
          </cell>
          <cell r="O479" t="str">
            <v>Tatkon</v>
          </cell>
          <cell r="P479" t="str">
            <v>Naypyitaw</v>
          </cell>
          <cell r="Q479" t="str">
            <v>10</v>
          </cell>
          <cell r="R479" t="str">
            <v>Tatkon</v>
          </cell>
          <cell r="S479" t="str">
            <v>325</v>
          </cell>
          <cell r="T479" t="str">
            <v>GSM+UMTS</v>
          </cell>
          <cell r="W479" t="str">
            <v>Ph2-Priority</v>
          </cell>
          <cell r="X479" t="str">
            <v>45</v>
          </cell>
          <cell r="Y479" t="str">
            <v>47</v>
          </cell>
          <cell r="Z479" t="str">
            <v>GBT</v>
          </cell>
          <cell r="AA479" t="str">
            <v>500</v>
          </cell>
          <cell r="AB479" t="str">
            <v>Access</v>
          </cell>
          <cell r="AC479" t="str">
            <v>Class C</v>
          </cell>
          <cell r="BE479" t="str">
            <v>Route 13 Mawlamyine-Dawei</v>
          </cell>
          <cell r="BH479" t="str">
            <v>Camusat</v>
          </cell>
          <cell r="BJ479">
            <v>42159</v>
          </cell>
          <cell r="BK479">
            <v>42147</v>
          </cell>
          <cell r="BL479">
            <v>42164</v>
          </cell>
          <cell r="BM479">
            <v>42154</v>
          </cell>
          <cell r="BT479">
            <v>17</v>
          </cell>
          <cell r="BU479">
            <v>42223</v>
          </cell>
          <cell r="BV479">
            <v>42164</v>
          </cell>
          <cell r="BW479" t="str">
            <v>96.146035</v>
          </cell>
          <cell r="BX479" t="str">
            <v>20.250649</v>
          </cell>
          <cell r="BY479" t="str">
            <v>C1</v>
          </cell>
          <cell r="BZ479" t="str">
            <v>Padauk Kone Village, Kyoe Kyar Inn Group, Tat Kone Township, Nay Pyi Taw.</v>
          </cell>
          <cell r="CA479" t="str">
            <v>U Sann Oo;Padauk Kone Village, Kyoe Kyar Inn Group, Tat Kone Township, Nay Pyi Taw;09-250967324 , 09-797662384</v>
          </cell>
          <cell r="CB479" t="str">
            <v>9Jun15: C1 SAR Sub</v>
          </cell>
          <cell r="CC479" t="str">
            <v>GARDEN LAND</v>
          </cell>
          <cell r="CE479">
            <v>1</v>
          </cell>
          <cell r="CF479">
            <v>42224</v>
          </cell>
          <cell r="CG479">
            <v>42165</v>
          </cell>
          <cell r="CH479">
            <v>42226</v>
          </cell>
          <cell r="CJ479">
            <v>42171</v>
          </cell>
          <cell r="CK479" t="str">
            <v>45</v>
          </cell>
          <cell r="CL479" t="str">
            <v>47</v>
          </cell>
          <cell r="CM479" t="str">
            <v>50</v>
          </cell>
          <cell r="CN479">
            <v>8</v>
          </cell>
          <cell r="CO479">
            <v>42229</v>
          </cell>
          <cell r="CP479">
            <v>42173</v>
          </cell>
          <cell r="CQ479" t="str">
            <v>M4: solar + DG + battery</v>
          </cell>
          <cell r="CR479">
            <v>1</v>
          </cell>
          <cell r="CS479">
            <v>42230</v>
          </cell>
          <cell r="CT479">
            <v>42174</v>
          </cell>
          <cell r="CU479" t="str">
            <v>NP0305</v>
          </cell>
          <cell r="DH479">
            <v>59</v>
          </cell>
          <cell r="DI479">
            <v>42240</v>
          </cell>
          <cell r="DK479">
            <v>42237</v>
          </cell>
          <cell r="DL479">
            <v>42199</v>
          </cell>
          <cell r="DM479">
            <v>42241</v>
          </cell>
          <cell r="DN479">
            <v>42199</v>
          </cell>
          <cell r="DO479">
            <v>0</v>
          </cell>
          <cell r="DP479">
            <v>42240</v>
          </cell>
          <cell r="DT479">
            <v>0</v>
          </cell>
          <cell r="DU479">
            <v>42255</v>
          </cell>
          <cell r="DW479">
            <v>0</v>
          </cell>
          <cell r="DY479">
            <v>42241</v>
          </cell>
          <cell r="DZ479">
            <v>42206</v>
          </cell>
          <cell r="EA479" t="str">
            <v>Camusat</v>
          </cell>
          <cell r="EB479">
            <v>42217</v>
          </cell>
          <cell r="ED479" t="str">
            <v xml:space="preserve">12Aug15 :KaungHtet: According to owner, Oredoo tower wrongly excavated at our site for tower foundation. This excavated trench will be used by our CW sub-con.
</v>
          </cell>
          <cell r="EE479" t="str">
            <v xml:space="preserve">10 Aug 15:Flood affected_Hold-No access; 1-Aug-15:  ACCESS PROBLEM IF CONTINUOUS RAIN (DIRT ROAD)								</v>
          </cell>
          <cell r="EJ479">
            <v>27</v>
          </cell>
          <cell r="EK479">
            <v>42258</v>
          </cell>
          <cell r="EM479">
            <v>42259</v>
          </cell>
          <cell r="EQ479">
            <v>42268</v>
          </cell>
          <cell r="EW479">
            <v>27</v>
          </cell>
          <cell r="EX479">
            <v>42225</v>
          </cell>
          <cell r="EZ479">
            <v>42278</v>
          </cell>
          <cell r="FB479">
            <v>42280</v>
          </cell>
          <cell r="FU479">
            <v>42282</v>
          </cell>
          <cell r="FW479">
            <v>42282</v>
          </cell>
          <cell r="GI479">
            <v>42307</v>
          </cell>
          <cell r="GJ479" t="str">
            <v>44-2015</v>
          </cell>
          <cell r="GN479" t="str">
            <v>ERICSSON</v>
          </cell>
          <cell r="GS479" t="str">
            <v>4/4/4</v>
          </cell>
          <cell r="GU479" t="str">
            <v xml:space="preserve">		</v>
          </cell>
          <cell r="HD479">
            <v>1</v>
          </cell>
        </row>
        <row r="480">
          <cell r="A480" t="str">
            <v>RA0072</v>
          </cell>
          <cell r="B480" t="str">
            <v>ACRK_0001</v>
          </cell>
          <cell r="C480" t="str">
            <v>Apollo</v>
          </cell>
          <cell r="D480" t="str">
            <v>Adriaan Coetsee</v>
          </cell>
          <cell r="F480" t="str">
            <v>Mya Kyauk Doe</v>
          </cell>
          <cell r="G480" t="str">
            <v>Si Thu Moe</v>
          </cell>
          <cell r="H480" t="str">
            <v>RED</v>
          </cell>
          <cell r="I480" t="str">
            <v>North</v>
          </cell>
          <cell r="J480" t="str">
            <v>92.861354</v>
          </cell>
          <cell r="K480" t="str">
            <v>20.178912</v>
          </cell>
          <cell r="L480" t="str">
            <v>suburban</v>
          </cell>
          <cell r="M480" t="str">
            <v>Rakhine</v>
          </cell>
          <cell r="N480" t="str">
            <v>Sittwe</v>
          </cell>
          <cell r="O480" t="str">
            <v>Sittwe</v>
          </cell>
          <cell r="P480" t="str">
            <v>Rakhine</v>
          </cell>
          <cell r="Q480" t="str">
            <v>12</v>
          </cell>
          <cell r="R480" t="str">
            <v>Sittwe</v>
          </cell>
          <cell r="S480" t="str">
            <v>180</v>
          </cell>
          <cell r="T480" t="str">
            <v>GSM+UMTS</v>
          </cell>
          <cell r="W480" t="str">
            <v>Ph2-Priority</v>
          </cell>
          <cell r="X480" t="str">
            <v>35</v>
          </cell>
          <cell r="Y480" t="str">
            <v>37</v>
          </cell>
          <cell r="Z480" t="str">
            <v>GBT</v>
          </cell>
          <cell r="AA480" t="str">
            <v>250</v>
          </cell>
          <cell r="AB480" t="str">
            <v>Access</v>
          </cell>
          <cell r="AC480" t="str">
            <v>Class B</v>
          </cell>
          <cell r="BE480" t="str">
            <v>Route 16 Magwe - Sittwe</v>
          </cell>
          <cell r="BH480" t="str">
            <v>KTT</v>
          </cell>
          <cell r="BJ480">
            <v>42172</v>
          </cell>
          <cell r="BK480">
            <v>42167</v>
          </cell>
          <cell r="BL480">
            <v>42177</v>
          </cell>
          <cell r="BM480">
            <v>42174</v>
          </cell>
          <cell r="BT480">
            <v>41</v>
          </cell>
          <cell r="BU480">
            <v>42257</v>
          </cell>
          <cell r="BV480">
            <v>42208</v>
          </cell>
          <cell r="BW480" t="str">
            <v>92.87522</v>
          </cell>
          <cell r="BX480" t="str">
            <v>20.17891</v>
          </cell>
          <cell r="BY480" t="str">
            <v>C1</v>
          </cell>
          <cell r="BZ480" t="str">
            <v>Fber Thein village ,Kyeikmaraw Tsp.</v>
          </cell>
          <cell r="CA480" t="str">
            <v>U Saw Thaung Kyi,09-788335162</v>
          </cell>
          <cell r="CB480" t="str">
            <v>13 Aug 15 : C1 TSSR and C1 SAR rev 1 approved toghther;12 Aug 15 : C1 SAR rev1 pdf uploaded again;5 Aug 15 : C1 TSSR sub but different coordinate with perv SAR app location;24 Jul 15 :C1 SAR app;23 July 15 :C1 SAR rev sub( Apollo confirmed that C1 was clear NOC issue because it was village land;TML RND agree to reapprove C1 location);23 July 15 : C2 SAR reject(: As per TM radio suggestion, RND rejected because this site is 3.09km far from the nominal point and away from the population area but revised C1 and approved.); 20 July 15:C2-SAR submission + justification; 9 July 15 : C1 SAR reject with justification(Apollo revised this candidate . According to justification, nominal is located in military area and this is the only option. As per TM radio suggestion, RND rejected because this candidate is out of search ring (1.2 km). Relocate the nominal point to Lat 20.182505, Long 92.844230 and search ring remain the same 250m.)</v>
          </cell>
          <cell r="CC480" t="str">
            <v>Village Land</v>
          </cell>
          <cell r="CE480">
            <v>1</v>
          </cell>
          <cell r="CF480">
            <v>42258</v>
          </cell>
          <cell r="CG480">
            <v>42209</v>
          </cell>
          <cell r="CH480">
            <v>42260</v>
          </cell>
          <cell r="CJ480">
            <v>42219</v>
          </cell>
          <cell r="CK480" t="str">
            <v>35</v>
          </cell>
          <cell r="CL480" t="str">
            <v>37</v>
          </cell>
          <cell r="CM480" t="str">
            <v>40</v>
          </cell>
          <cell r="CN480">
            <v>12</v>
          </cell>
          <cell r="CO480">
            <v>42263</v>
          </cell>
          <cell r="CP480">
            <v>42221</v>
          </cell>
          <cell r="CQ480" t="str">
            <v>M4: solar + DG + battery</v>
          </cell>
          <cell r="CR480">
            <v>8</v>
          </cell>
          <cell r="CS480">
            <v>42264</v>
          </cell>
          <cell r="CT480">
            <v>42229</v>
          </cell>
          <cell r="CU480" t="str">
            <v>RA0072</v>
          </cell>
          <cell r="DH480">
            <v>4</v>
          </cell>
          <cell r="DI480">
            <v>42274</v>
          </cell>
          <cell r="DK480">
            <v>42271</v>
          </cell>
          <cell r="DM480">
            <v>42275</v>
          </cell>
          <cell r="DO480">
            <v>0</v>
          </cell>
          <cell r="DP480">
            <v>42274</v>
          </cell>
          <cell r="DT480">
            <v>0</v>
          </cell>
          <cell r="DU480">
            <v>42289</v>
          </cell>
          <cell r="DW480">
            <v>0</v>
          </cell>
          <cell r="DY480">
            <v>42275</v>
          </cell>
          <cell r="EA480" t="str">
            <v>Leadcom</v>
          </cell>
          <cell r="EJ480">
            <v>0</v>
          </cell>
          <cell r="EK480">
            <v>42290</v>
          </cell>
          <cell r="EM480">
            <v>42291</v>
          </cell>
          <cell r="EQ480">
            <v>42298</v>
          </cell>
          <cell r="EW480">
            <v>0</v>
          </cell>
          <cell r="EX480">
            <v>42312</v>
          </cell>
          <cell r="EZ480">
            <v>42308</v>
          </cell>
          <cell r="FB480">
            <v>42310</v>
          </cell>
          <cell r="FU480">
            <v>42312</v>
          </cell>
          <cell r="FW480">
            <v>42312</v>
          </cell>
          <cell r="GJ480">
            <v>0</v>
          </cell>
          <cell r="GN480" t="str">
            <v>ERICSSON</v>
          </cell>
          <cell r="GU480" t="str">
            <v xml:space="preserve">		</v>
          </cell>
          <cell r="HD480">
            <v>1</v>
          </cell>
        </row>
        <row r="481">
          <cell r="A481" t="str">
            <v>RA0099</v>
          </cell>
          <cell r="B481" t="str">
            <v>ACRK_0002</v>
          </cell>
          <cell r="C481" t="str">
            <v>Apollo</v>
          </cell>
          <cell r="D481" t="str">
            <v>Adriaan Coetsee</v>
          </cell>
          <cell r="F481" t="str">
            <v>Mya Kyauk Doe</v>
          </cell>
          <cell r="G481" t="str">
            <v>Si Thu Moe</v>
          </cell>
          <cell r="H481" t="str">
            <v>RED</v>
          </cell>
          <cell r="I481" t="str">
            <v>North</v>
          </cell>
          <cell r="J481" t="str">
            <v>92.8256365560328</v>
          </cell>
          <cell r="K481" t="str">
            <v>20.176451779243</v>
          </cell>
          <cell r="L481" t="str">
            <v>SubUrban</v>
          </cell>
          <cell r="M481" t="str">
            <v>Rakhine</v>
          </cell>
          <cell r="N481" t="str">
            <v>Sittwe</v>
          </cell>
          <cell r="O481" t="str">
            <v>Sittwe</v>
          </cell>
          <cell r="P481" t="str">
            <v>Rakhine</v>
          </cell>
          <cell r="Q481" t="str">
            <v>12</v>
          </cell>
          <cell r="R481" t="str">
            <v>Sittwe</v>
          </cell>
          <cell r="S481" t="str">
            <v>180</v>
          </cell>
          <cell r="T481" t="str">
            <v>GSM+UMTS</v>
          </cell>
          <cell r="W481" t="str">
            <v>Ph2-Priority</v>
          </cell>
          <cell r="X481" t="str">
            <v>35</v>
          </cell>
          <cell r="Y481" t="str">
            <v>37</v>
          </cell>
          <cell r="Z481" t="str">
            <v>GBT</v>
          </cell>
          <cell r="AA481" t="str">
            <v>250</v>
          </cell>
          <cell r="AB481" t="str">
            <v>Access</v>
          </cell>
          <cell r="AC481" t="str">
            <v>Class B</v>
          </cell>
          <cell r="BE481" t="str">
            <v>Magwe - Sittwe</v>
          </cell>
          <cell r="BH481" t="str">
            <v>KTT</v>
          </cell>
          <cell r="BJ481">
            <v>42172</v>
          </cell>
          <cell r="BK481">
            <v>42167</v>
          </cell>
          <cell r="BL481">
            <v>42177</v>
          </cell>
          <cell r="BM481">
            <v>42174</v>
          </cell>
          <cell r="BT481">
            <v>25</v>
          </cell>
          <cell r="BU481">
            <v>42257</v>
          </cell>
          <cell r="BV481">
            <v>42192</v>
          </cell>
          <cell r="BW481" t="str">
            <v>92.82986</v>
          </cell>
          <cell r="BX481" t="str">
            <v>20.17544</v>
          </cell>
          <cell r="BY481" t="str">
            <v>C1</v>
          </cell>
          <cell r="BZ481" t="str">
            <v>Man Si_ Thet Kay Pyint Road, Bu May Village, Sittwe Township, Rakhine.</v>
          </cell>
          <cell r="CA481" t="str">
            <v>U Kyaw Sein</v>
          </cell>
          <cell r="CC481" t="str">
            <v>Village</v>
          </cell>
          <cell r="CE481">
            <v>1</v>
          </cell>
          <cell r="CF481">
            <v>42258</v>
          </cell>
          <cell r="CG481">
            <v>42193</v>
          </cell>
          <cell r="CH481">
            <v>42260</v>
          </cell>
          <cell r="CJ481">
            <v>42203</v>
          </cell>
          <cell r="CK481" t="str">
            <v>35</v>
          </cell>
          <cell r="CL481" t="str">
            <v>37</v>
          </cell>
          <cell r="CM481" t="str">
            <v>40</v>
          </cell>
          <cell r="CN481">
            <v>12</v>
          </cell>
          <cell r="CO481">
            <v>42263</v>
          </cell>
          <cell r="CP481">
            <v>42205</v>
          </cell>
          <cell r="CQ481" t="str">
            <v>M4: solar + DG + battery</v>
          </cell>
          <cell r="CR481">
            <v>2</v>
          </cell>
          <cell r="CS481">
            <v>42264</v>
          </cell>
          <cell r="CT481">
            <v>42207</v>
          </cell>
          <cell r="CU481" t="str">
            <v>RA0099</v>
          </cell>
          <cell r="DH481">
            <v>26</v>
          </cell>
          <cell r="DI481">
            <v>42274</v>
          </cell>
          <cell r="DK481">
            <v>42271</v>
          </cell>
          <cell r="DL481">
            <v>42213</v>
          </cell>
          <cell r="DM481">
            <v>42275</v>
          </cell>
          <cell r="DO481">
            <v>0</v>
          </cell>
          <cell r="DP481">
            <v>42274</v>
          </cell>
          <cell r="DT481">
            <v>0</v>
          </cell>
          <cell r="DU481">
            <v>42289</v>
          </cell>
          <cell r="DW481">
            <v>0</v>
          </cell>
          <cell r="DY481">
            <v>42275</v>
          </cell>
          <cell r="EA481" t="str">
            <v>Leadcom</v>
          </cell>
          <cell r="EJ481">
            <v>0</v>
          </cell>
          <cell r="EK481">
            <v>42290</v>
          </cell>
          <cell r="EM481">
            <v>42291</v>
          </cell>
          <cell r="EQ481">
            <v>42298</v>
          </cell>
          <cell r="EW481">
            <v>0</v>
          </cell>
          <cell r="EX481">
            <v>42312</v>
          </cell>
          <cell r="EZ481">
            <v>42308</v>
          </cell>
          <cell r="FB481">
            <v>42310</v>
          </cell>
          <cell r="FU481">
            <v>42312</v>
          </cell>
          <cell r="FW481">
            <v>42312</v>
          </cell>
          <cell r="GJ481">
            <v>0</v>
          </cell>
          <cell r="GN481" t="str">
            <v>ERICSSON</v>
          </cell>
          <cell r="GU481" t="str">
            <v xml:space="preserve">		</v>
          </cell>
          <cell r="HD481">
            <v>1</v>
          </cell>
        </row>
        <row r="482">
          <cell r="A482" t="str">
            <v>RA0105</v>
          </cell>
          <cell r="B482" t="str">
            <v>ACRK_0003</v>
          </cell>
          <cell r="C482" t="str">
            <v>Apollo</v>
          </cell>
          <cell r="D482" t="str">
            <v>Adriaan Coetsee</v>
          </cell>
          <cell r="F482" t="str">
            <v>Mya Kyauk Doe</v>
          </cell>
          <cell r="G482" t="str">
            <v>Si Thu Moe</v>
          </cell>
          <cell r="H482" t="str">
            <v>RED</v>
          </cell>
          <cell r="I482" t="str">
            <v>North</v>
          </cell>
          <cell r="J482" t="str">
            <v>92.8854</v>
          </cell>
          <cell r="K482" t="str">
            <v>20.1408</v>
          </cell>
          <cell r="L482" t="str">
            <v>SubUrban</v>
          </cell>
          <cell r="M482" t="str">
            <v>Rakhine</v>
          </cell>
          <cell r="N482" t="str">
            <v>Sittwe</v>
          </cell>
          <cell r="O482" t="str">
            <v>Sittwe</v>
          </cell>
          <cell r="P482" t="str">
            <v>Rakhine</v>
          </cell>
          <cell r="Q482" t="str">
            <v>12</v>
          </cell>
          <cell r="R482" t="str">
            <v>Sittwe</v>
          </cell>
          <cell r="S482" t="str">
            <v>180</v>
          </cell>
          <cell r="T482" t="str">
            <v>GSM+UMTS</v>
          </cell>
          <cell r="W482" t="str">
            <v>Ph2-Priority</v>
          </cell>
          <cell r="X482" t="str">
            <v>35</v>
          </cell>
          <cell r="Y482" t="str">
            <v>37</v>
          </cell>
          <cell r="Z482" t="str">
            <v>GBT</v>
          </cell>
          <cell r="AA482" t="str">
            <v>250</v>
          </cell>
          <cell r="AB482" t="str">
            <v>Access</v>
          </cell>
          <cell r="AC482" t="str">
            <v>Class B</v>
          </cell>
          <cell r="BE482" t="str">
            <v>Magwe - Sittwe</v>
          </cell>
          <cell r="BH482" t="str">
            <v>KTT</v>
          </cell>
          <cell r="BJ482">
            <v>42172</v>
          </cell>
          <cell r="BK482">
            <v>42167</v>
          </cell>
          <cell r="BL482">
            <v>42177</v>
          </cell>
          <cell r="BM482">
            <v>42174</v>
          </cell>
          <cell r="BT482">
            <v>32</v>
          </cell>
          <cell r="BU482">
            <v>42257</v>
          </cell>
          <cell r="BV482">
            <v>42199</v>
          </cell>
          <cell r="BW482" t="str">
            <v>92.88614</v>
          </cell>
          <cell r="BX482" t="str">
            <v>20.14318</v>
          </cell>
          <cell r="BY482" t="str">
            <v>C2</v>
          </cell>
          <cell r="BZ482" t="str">
            <v>Amark(96), Mani Pu Ya Street, Ka The' Quarter, Sittwe Township, Rakhine State.</v>
          </cell>
          <cell r="CA482" t="str">
            <v>Daw Han Thein Oo</v>
          </cell>
          <cell r="CB482" t="str">
            <v>14 July 15 :C2-SAR submission(C1-NOC issue);29 June 15 : C1 SAR app;28 June 15 : C1 SAR sub</v>
          </cell>
          <cell r="CC482" t="str">
            <v>Town</v>
          </cell>
          <cell r="CE482">
            <v>1</v>
          </cell>
          <cell r="CF482">
            <v>42258</v>
          </cell>
          <cell r="CG482">
            <v>42200</v>
          </cell>
          <cell r="CH482">
            <v>42260</v>
          </cell>
          <cell r="CJ482">
            <v>42203</v>
          </cell>
          <cell r="CK482" t="str">
            <v>35</v>
          </cell>
          <cell r="CL482" t="str">
            <v>37</v>
          </cell>
          <cell r="CM482" t="str">
            <v>40</v>
          </cell>
          <cell r="CN482">
            <v>5</v>
          </cell>
          <cell r="CO482">
            <v>42263</v>
          </cell>
          <cell r="CP482">
            <v>42205</v>
          </cell>
          <cell r="CQ482" t="str">
            <v>M1: grid power + battery</v>
          </cell>
          <cell r="CR482">
            <v>1</v>
          </cell>
          <cell r="CS482">
            <v>42264</v>
          </cell>
          <cell r="CT482">
            <v>42206</v>
          </cell>
          <cell r="CU482" t="str">
            <v>RA0105</v>
          </cell>
          <cell r="DH482">
            <v>27</v>
          </cell>
          <cell r="DI482">
            <v>42274</v>
          </cell>
          <cell r="DK482">
            <v>42271</v>
          </cell>
          <cell r="DM482">
            <v>42275</v>
          </cell>
          <cell r="DO482">
            <v>0</v>
          </cell>
          <cell r="DP482">
            <v>42274</v>
          </cell>
          <cell r="DT482">
            <v>0</v>
          </cell>
          <cell r="DU482">
            <v>42289</v>
          </cell>
          <cell r="DW482">
            <v>0</v>
          </cell>
          <cell r="DY482">
            <v>42275</v>
          </cell>
          <cell r="EA482" t="str">
            <v>Leadcom</v>
          </cell>
          <cell r="EJ482">
            <v>0</v>
          </cell>
          <cell r="EK482">
            <v>42290</v>
          </cell>
          <cell r="EM482">
            <v>42291</v>
          </cell>
          <cell r="EQ482">
            <v>42298</v>
          </cell>
          <cell r="EW482">
            <v>0</v>
          </cell>
          <cell r="EX482">
            <v>42312</v>
          </cell>
          <cell r="EZ482">
            <v>42308</v>
          </cell>
          <cell r="FB482">
            <v>42310</v>
          </cell>
          <cell r="FU482">
            <v>42312</v>
          </cell>
          <cell r="FW482">
            <v>42312</v>
          </cell>
          <cell r="GJ482">
            <v>0</v>
          </cell>
          <cell r="GN482" t="str">
            <v>ERICSSON</v>
          </cell>
          <cell r="HD482">
            <v>1</v>
          </cell>
        </row>
        <row r="483">
          <cell r="A483" t="str">
            <v>RA0106</v>
          </cell>
          <cell r="B483" t="str">
            <v>ACRK_0004</v>
          </cell>
          <cell r="C483" t="str">
            <v>Apollo</v>
          </cell>
          <cell r="D483" t="str">
            <v>Adriaan Coetsee</v>
          </cell>
          <cell r="F483" t="str">
            <v>Mya Kyauk Doe</v>
          </cell>
          <cell r="G483" t="str">
            <v>Si Thu Moe</v>
          </cell>
          <cell r="H483" t="str">
            <v>RED</v>
          </cell>
          <cell r="I483" t="str">
            <v>North</v>
          </cell>
          <cell r="J483" t="str">
            <v>92.8939</v>
          </cell>
          <cell r="K483" t="str">
            <v>20.129</v>
          </cell>
          <cell r="L483" t="str">
            <v>SubUrban</v>
          </cell>
          <cell r="M483" t="str">
            <v>Rakhine</v>
          </cell>
          <cell r="N483" t="str">
            <v>Sittwe</v>
          </cell>
          <cell r="O483" t="str">
            <v>Sittwe</v>
          </cell>
          <cell r="P483" t="str">
            <v>Rakhine</v>
          </cell>
          <cell r="Q483" t="str">
            <v>12</v>
          </cell>
          <cell r="R483" t="str">
            <v>Sittwe</v>
          </cell>
          <cell r="S483" t="str">
            <v>180</v>
          </cell>
          <cell r="T483" t="str">
            <v>GSM+UMTS</v>
          </cell>
          <cell r="W483" t="str">
            <v>Ph2-Priority</v>
          </cell>
          <cell r="X483" t="str">
            <v>35</v>
          </cell>
          <cell r="Y483" t="str">
            <v>37</v>
          </cell>
          <cell r="Z483" t="str">
            <v>GBT</v>
          </cell>
          <cell r="AA483" t="str">
            <v>100</v>
          </cell>
          <cell r="AB483" t="str">
            <v>Access</v>
          </cell>
          <cell r="AC483" t="str">
            <v>Class B</v>
          </cell>
          <cell r="BE483" t="str">
            <v>Magwe - Sittwe</v>
          </cell>
          <cell r="BH483" t="str">
            <v>KTT</v>
          </cell>
          <cell r="BJ483">
            <v>42172</v>
          </cell>
          <cell r="BK483">
            <v>42167</v>
          </cell>
          <cell r="BL483">
            <v>42177</v>
          </cell>
          <cell r="BM483">
            <v>42155</v>
          </cell>
          <cell r="BT483">
            <v>66</v>
          </cell>
          <cell r="BU483">
            <v>42257</v>
          </cell>
          <cell r="BV483">
            <v>42179</v>
          </cell>
          <cell r="BW483" t="str">
            <v>96.35877</v>
          </cell>
          <cell r="BX483" t="str">
            <v>24.20868</v>
          </cell>
          <cell r="BY483" t="str">
            <v>Reject</v>
          </cell>
          <cell r="BZ483" t="str">
            <v>Ka Thar Township, Paw Ma Myaing Village.</v>
          </cell>
          <cell r="CA483" t="str">
            <v>U Owm Shwe;Ka Thar Township, Paw Ma Myaing Village;09 258439992</v>
          </cell>
          <cell r="CB483" t="str">
            <v>23 July 15 :  C3 SAR rejected (Comments &amp; Signature: RND rejected because this site is 553m far from the nominal point and then 242m close with active site ( RA0102_C2 ));22 July 15 :C3-SAR submission with better chance for Civil aviation to release the approval with higher tower height; C2-approved by TN but still waiting waiting for Civil Aviation approval;21 July 15 : C2 SAR app;20 July 15:C2-SAR submission + justification; 30 June 15 :C1 SAR rejected (RND rejected because this site is 570m far from the nominal point and out off search ring. And then this candidate is 563m far from the active site. Please find the new candidate at the nominal point.)</v>
          </cell>
          <cell r="CE483">
            <v>0</v>
          </cell>
          <cell r="CF483">
            <v>42258</v>
          </cell>
          <cell r="CG483">
            <v>42181</v>
          </cell>
          <cell r="CH483">
            <v>42260</v>
          </cell>
          <cell r="CJ483">
            <v>42186</v>
          </cell>
          <cell r="CK483" t="str">
            <v>45</v>
          </cell>
          <cell r="CL483" t="str">
            <v>47</v>
          </cell>
          <cell r="CM483" t="str">
            <v>50</v>
          </cell>
          <cell r="CN483">
            <v>0</v>
          </cell>
          <cell r="CO483">
            <v>42263</v>
          </cell>
          <cell r="CP483">
            <v>42188</v>
          </cell>
          <cell r="CQ483" t="str">
            <v>M4: solar + DG + battery</v>
          </cell>
          <cell r="CR483">
            <v>0</v>
          </cell>
          <cell r="CS483">
            <v>42264</v>
          </cell>
          <cell r="CT483">
            <v>42191</v>
          </cell>
          <cell r="CU483" t="str">
            <v>RA0106</v>
          </cell>
          <cell r="DH483">
            <v>0</v>
          </cell>
          <cell r="DI483">
            <v>42274</v>
          </cell>
          <cell r="DJ483">
            <v>42217</v>
          </cell>
          <cell r="DK483">
            <v>42271</v>
          </cell>
          <cell r="DM483">
            <v>42275</v>
          </cell>
          <cell r="DO483">
            <v>0</v>
          </cell>
          <cell r="DP483">
            <v>42274</v>
          </cell>
          <cell r="DQ483">
            <v>42217</v>
          </cell>
          <cell r="DT483">
            <v>0</v>
          </cell>
          <cell r="DU483">
            <v>42289</v>
          </cell>
          <cell r="DW483">
            <v>0</v>
          </cell>
          <cell r="DY483">
            <v>42275</v>
          </cell>
          <cell r="DZ483">
            <v>42215</v>
          </cell>
          <cell r="EA483" t="str">
            <v>Leadcom</v>
          </cell>
          <cell r="EJ483">
            <v>0</v>
          </cell>
          <cell r="EK483">
            <v>42290</v>
          </cell>
          <cell r="EM483">
            <v>42291</v>
          </cell>
          <cell r="EQ483">
            <v>42298</v>
          </cell>
          <cell r="EW483">
            <v>0</v>
          </cell>
          <cell r="EX483">
            <v>42312</v>
          </cell>
          <cell r="EZ483">
            <v>42308</v>
          </cell>
          <cell r="FB483">
            <v>42310</v>
          </cell>
          <cell r="FU483">
            <v>42312</v>
          </cell>
          <cell r="FW483">
            <v>42312</v>
          </cell>
          <cell r="GJ483">
            <v>0</v>
          </cell>
          <cell r="GN483" t="str">
            <v>ERICSSON</v>
          </cell>
          <cell r="HD483">
            <v>1</v>
          </cell>
        </row>
        <row r="484">
          <cell r="A484" t="str">
            <v>RA0111</v>
          </cell>
          <cell r="B484" t="str">
            <v>ACRK_0005</v>
          </cell>
          <cell r="C484" t="str">
            <v>Apollo</v>
          </cell>
          <cell r="D484" t="str">
            <v>Chris Thomson</v>
          </cell>
          <cell r="F484" t="str">
            <v>Mya Kyauk Doe</v>
          </cell>
          <cell r="G484" t="str">
            <v>Si Thu Moe</v>
          </cell>
          <cell r="H484" t="str">
            <v>RED</v>
          </cell>
          <cell r="I484" t="str">
            <v>North</v>
          </cell>
          <cell r="J484" t="str">
            <v>94.2317</v>
          </cell>
          <cell r="K484" t="str">
            <v>18.8536</v>
          </cell>
          <cell r="L484" t="str">
            <v>SubUrban</v>
          </cell>
          <cell r="M484" t="str">
            <v>Rakhine</v>
          </cell>
          <cell r="N484" t="str">
            <v>Toungup</v>
          </cell>
          <cell r="O484" t="str">
            <v>Toungup</v>
          </cell>
          <cell r="P484" t="str">
            <v>Rakhine</v>
          </cell>
          <cell r="Q484" t="str">
            <v>12</v>
          </cell>
          <cell r="R484" t="str">
            <v>Toungup</v>
          </cell>
          <cell r="S484" t="str">
            <v>195</v>
          </cell>
          <cell r="T484" t="str">
            <v>GSM+UMTS</v>
          </cell>
          <cell r="W484" t="str">
            <v>Ph2-Priority</v>
          </cell>
          <cell r="X484" t="str">
            <v>35</v>
          </cell>
          <cell r="Y484" t="str">
            <v>37</v>
          </cell>
          <cell r="Z484" t="str">
            <v>GBT</v>
          </cell>
          <cell r="AA484" t="str">
            <v>100</v>
          </cell>
          <cell r="AB484" t="str">
            <v>Access</v>
          </cell>
          <cell r="AC484" t="str">
            <v>Class B</v>
          </cell>
          <cell r="BE484" t="str">
            <v>Ann - Gwa</v>
          </cell>
          <cell r="BH484" t="str">
            <v>KTT</v>
          </cell>
          <cell r="BJ484">
            <v>42163</v>
          </cell>
          <cell r="BL484">
            <v>42168</v>
          </cell>
          <cell r="BT484">
            <v>42158</v>
          </cell>
          <cell r="BU484">
            <v>42256</v>
          </cell>
          <cell r="BV484">
            <v>42208</v>
          </cell>
          <cell r="BW484" t="str">
            <v>99.612655</v>
          </cell>
          <cell r="BX484" t="str">
            <v>21.264204</v>
          </cell>
          <cell r="BY484" t="str">
            <v>C1</v>
          </cell>
          <cell r="BZ484" t="str">
            <v>Hui Khar Village,Mine Zin Group,Kengtong, Eastern Shan State</v>
          </cell>
          <cell r="CA484" t="str">
            <v>U Jone Sin</v>
          </cell>
          <cell r="CC484" t="str">
            <v>Residential</v>
          </cell>
          <cell r="CE484">
            <v>0</v>
          </cell>
          <cell r="CF484">
            <v>42257</v>
          </cell>
          <cell r="CG484">
            <v>42212</v>
          </cell>
          <cell r="CH484">
            <v>42259</v>
          </cell>
          <cell r="CJ484">
            <v>42227</v>
          </cell>
          <cell r="CK484" t="str">
            <v>35</v>
          </cell>
          <cell r="CL484" t="str">
            <v>37</v>
          </cell>
          <cell r="CM484" t="str">
            <v>40</v>
          </cell>
          <cell r="CN484">
            <v>0</v>
          </cell>
          <cell r="CO484">
            <v>42262</v>
          </cell>
          <cell r="CP484">
            <v>42229</v>
          </cell>
          <cell r="CQ484" t="str">
            <v>M1: grid power + battery</v>
          </cell>
          <cell r="CR484">
            <v>0</v>
          </cell>
          <cell r="CS484">
            <v>42263</v>
          </cell>
          <cell r="CT484">
            <v>42233</v>
          </cell>
          <cell r="CU484" t="str">
            <v>RA0111</v>
          </cell>
          <cell r="DH484">
            <v>0</v>
          </cell>
          <cell r="DI484">
            <v>42273</v>
          </cell>
          <cell r="DK484">
            <v>42270</v>
          </cell>
          <cell r="DM484">
            <v>42274</v>
          </cell>
          <cell r="DO484">
            <v>0</v>
          </cell>
          <cell r="DP484">
            <v>42273</v>
          </cell>
          <cell r="DT484">
            <v>0</v>
          </cell>
          <cell r="DU484">
            <v>42288</v>
          </cell>
          <cell r="DW484">
            <v>0</v>
          </cell>
          <cell r="DY484">
            <v>42274</v>
          </cell>
          <cell r="EA484" t="str">
            <v>Leadcom</v>
          </cell>
          <cell r="EJ484">
            <v>0</v>
          </cell>
          <cell r="EK484">
            <v>42289</v>
          </cell>
          <cell r="EM484">
            <v>42290</v>
          </cell>
          <cell r="EQ484">
            <v>42297</v>
          </cell>
          <cell r="EW484">
            <v>0</v>
          </cell>
          <cell r="EX484">
            <v>42311</v>
          </cell>
          <cell r="EZ484">
            <v>42307</v>
          </cell>
          <cell r="FB484">
            <v>42309</v>
          </cell>
          <cell r="FU484">
            <v>42311</v>
          </cell>
          <cell r="FW484">
            <v>42311</v>
          </cell>
          <cell r="GI484">
            <v>42246</v>
          </cell>
          <cell r="GJ484">
            <v>0</v>
          </cell>
          <cell r="GN484" t="str">
            <v>ERICSSON</v>
          </cell>
          <cell r="HD484">
            <v>1</v>
          </cell>
        </row>
        <row r="485">
          <cell r="A485" t="str">
            <v>RA0112</v>
          </cell>
          <cell r="B485" t="str">
            <v>ACRK_0006</v>
          </cell>
          <cell r="C485" t="str">
            <v>Apollo</v>
          </cell>
          <cell r="D485" t="str">
            <v>Chris Thomson</v>
          </cell>
          <cell r="F485" t="str">
            <v>Mya Kyauk Doe</v>
          </cell>
          <cell r="G485" t="str">
            <v>Si Thu Moe</v>
          </cell>
          <cell r="H485" t="str">
            <v>RED</v>
          </cell>
          <cell r="I485" t="str">
            <v>North</v>
          </cell>
          <cell r="J485" t="str">
            <v>94.2147</v>
          </cell>
          <cell r="K485" t="str">
            <v>18.8519</v>
          </cell>
          <cell r="L485" t="str">
            <v>Rural</v>
          </cell>
          <cell r="M485" t="str">
            <v>Rakhine</v>
          </cell>
          <cell r="N485" t="str">
            <v>Toungup</v>
          </cell>
          <cell r="O485" t="str">
            <v>Toungup</v>
          </cell>
          <cell r="P485" t="str">
            <v>Rakhine</v>
          </cell>
          <cell r="Q485" t="str">
            <v>12</v>
          </cell>
          <cell r="R485" t="str">
            <v>Toungup</v>
          </cell>
          <cell r="S485" t="str">
            <v>195</v>
          </cell>
          <cell r="T485" t="str">
            <v>GSM+UMTS</v>
          </cell>
          <cell r="W485" t="str">
            <v>Ph2-Priority</v>
          </cell>
          <cell r="X485" t="str">
            <v>45</v>
          </cell>
          <cell r="Y485" t="str">
            <v>47</v>
          </cell>
          <cell r="Z485" t="str">
            <v>GBT</v>
          </cell>
          <cell r="AA485" t="str">
            <v>250</v>
          </cell>
          <cell r="AB485" t="str">
            <v>Access</v>
          </cell>
          <cell r="AC485" t="str">
            <v>Class C</v>
          </cell>
          <cell r="BE485" t="str">
            <v>Ann - Gwa</v>
          </cell>
          <cell r="BH485" t="str">
            <v>Leadcom</v>
          </cell>
          <cell r="BJ485">
            <v>42163</v>
          </cell>
          <cell r="BK485">
            <v>42167</v>
          </cell>
          <cell r="BL485">
            <v>42168</v>
          </cell>
          <cell r="BM485">
            <v>42174</v>
          </cell>
          <cell r="BT485">
            <v>55</v>
          </cell>
          <cell r="BU485">
            <v>42263</v>
          </cell>
          <cell r="BV485">
            <v>42222</v>
          </cell>
          <cell r="BW485" t="str">
            <v>94.21462</v>
          </cell>
          <cell r="BX485" t="str">
            <v>18.85273</v>
          </cell>
          <cell r="BY485" t="str">
            <v>C2</v>
          </cell>
          <cell r="CC485" t="str">
            <v>Cultivated land</v>
          </cell>
          <cell r="CE485">
            <v>11</v>
          </cell>
          <cell r="CF485">
            <v>42264</v>
          </cell>
          <cell r="CG485">
            <v>42234</v>
          </cell>
          <cell r="CH485">
            <v>42266</v>
          </cell>
          <cell r="CN485">
            <v>0</v>
          </cell>
          <cell r="CO485">
            <v>42269</v>
          </cell>
          <cell r="CQ485" t="str">
            <v>M1: grid power + battery</v>
          </cell>
          <cell r="CR485">
            <v>0</v>
          </cell>
          <cell r="CS485">
            <v>42270</v>
          </cell>
          <cell r="CU485" t="str">
            <v>RA0112</v>
          </cell>
          <cell r="DH485">
            <v>0</v>
          </cell>
          <cell r="DI485">
            <v>42280</v>
          </cell>
          <cell r="DK485">
            <v>42277</v>
          </cell>
          <cell r="DM485">
            <v>42281</v>
          </cell>
          <cell r="DO485">
            <v>0</v>
          </cell>
          <cell r="DP485">
            <v>42280</v>
          </cell>
          <cell r="DT485">
            <v>0</v>
          </cell>
          <cell r="DU485">
            <v>42295</v>
          </cell>
          <cell r="DW485">
            <v>0</v>
          </cell>
          <cell r="DY485">
            <v>42281</v>
          </cell>
          <cell r="EA485" t="str">
            <v>Leadcom</v>
          </cell>
          <cell r="EJ485">
            <v>0</v>
          </cell>
          <cell r="EK485">
            <v>42298</v>
          </cell>
          <cell r="EM485">
            <v>42299</v>
          </cell>
          <cell r="EQ485">
            <v>42308</v>
          </cell>
          <cell r="EW485">
            <v>0</v>
          </cell>
          <cell r="EX485">
            <v>42322</v>
          </cell>
          <cell r="EZ485">
            <v>42318</v>
          </cell>
          <cell r="FB485">
            <v>42320</v>
          </cell>
          <cell r="FU485">
            <v>42322</v>
          </cell>
          <cell r="FW485">
            <v>42322</v>
          </cell>
          <cell r="GJ485">
            <v>0</v>
          </cell>
          <cell r="GN485" t="str">
            <v>ERICSSON</v>
          </cell>
          <cell r="HD485">
            <v>1</v>
          </cell>
        </row>
        <row r="486">
          <cell r="A486" t="str">
            <v>RA0120</v>
          </cell>
          <cell r="B486" t="str">
            <v>ACRK_0007</v>
          </cell>
          <cell r="C486" t="str">
            <v>Apollo</v>
          </cell>
          <cell r="D486" t="str">
            <v>Chris Thomson</v>
          </cell>
          <cell r="F486" t="str">
            <v>Mya Kyauk Doe</v>
          </cell>
          <cell r="G486" t="str">
            <v>Si Thu Moe</v>
          </cell>
          <cell r="H486" t="str">
            <v>RED</v>
          </cell>
          <cell r="I486" t="str">
            <v>North</v>
          </cell>
          <cell r="J486" t="str">
            <v>94.3623</v>
          </cell>
          <cell r="K486" t="str">
            <v>18.465</v>
          </cell>
          <cell r="L486" t="str">
            <v>SubUrban</v>
          </cell>
          <cell r="M486" t="str">
            <v>Rakhine</v>
          </cell>
          <cell r="N486" t="str">
            <v>Thandwe</v>
          </cell>
          <cell r="O486" t="str">
            <v>Thandwe</v>
          </cell>
          <cell r="P486" t="str">
            <v>Rakhine</v>
          </cell>
          <cell r="Q486" t="str">
            <v>12</v>
          </cell>
          <cell r="R486" t="str">
            <v>Thandwe</v>
          </cell>
          <cell r="S486" t="str">
            <v>194</v>
          </cell>
          <cell r="T486" t="str">
            <v>GSM+UMTS</v>
          </cell>
          <cell r="W486" t="str">
            <v>Ph2-Priority</v>
          </cell>
          <cell r="X486" t="str">
            <v>35</v>
          </cell>
          <cell r="Y486" t="str">
            <v>37</v>
          </cell>
          <cell r="Z486" t="str">
            <v>GBT</v>
          </cell>
          <cell r="AA486" t="str">
            <v>100</v>
          </cell>
          <cell r="AB486" t="str">
            <v>Access</v>
          </cell>
          <cell r="AC486" t="str">
            <v>Class B</v>
          </cell>
          <cell r="BE486" t="str">
            <v>Ann - Gwa</v>
          </cell>
          <cell r="BH486" t="str">
            <v>Leadcom</v>
          </cell>
          <cell r="BJ486">
            <v>42163</v>
          </cell>
          <cell r="BK486">
            <v>42166</v>
          </cell>
          <cell r="BL486">
            <v>42168</v>
          </cell>
          <cell r="BM486">
            <v>42173</v>
          </cell>
          <cell r="BT486">
            <v>52</v>
          </cell>
          <cell r="BU486">
            <v>42257</v>
          </cell>
          <cell r="BV486">
            <v>42218</v>
          </cell>
          <cell r="BW486" t="str">
            <v>94.36113</v>
          </cell>
          <cell r="BX486" t="str">
            <v>18.46541</v>
          </cell>
          <cell r="BY486" t="str">
            <v>C2</v>
          </cell>
          <cell r="CB486" t="str">
            <v>02 Aug 15 : C2 SAR sub</v>
          </cell>
          <cell r="CC486" t="str">
            <v>GARDEN LAND</v>
          </cell>
          <cell r="CE486">
            <v>2</v>
          </cell>
          <cell r="CF486">
            <v>42258</v>
          </cell>
          <cell r="CG486">
            <v>42220</v>
          </cell>
          <cell r="CH486">
            <v>42260</v>
          </cell>
          <cell r="CN486">
            <v>13</v>
          </cell>
          <cell r="CO486">
            <v>42263</v>
          </cell>
          <cell r="CQ486" t="str">
            <v>M1: grid power + battery</v>
          </cell>
          <cell r="CR486">
            <v>0</v>
          </cell>
          <cell r="CS486">
            <v>42264</v>
          </cell>
          <cell r="CU486" t="str">
            <v>RA0120</v>
          </cell>
          <cell r="DH486">
            <v>0</v>
          </cell>
          <cell r="DI486">
            <v>42274</v>
          </cell>
          <cell r="DK486">
            <v>42271</v>
          </cell>
          <cell r="DM486">
            <v>42275</v>
          </cell>
          <cell r="DO486">
            <v>0</v>
          </cell>
          <cell r="DP486">
            <v>42274</v>
          </cell>
          <cell r="DT486">
            <v>0</v>
          </cell>
          <cell r="DU486">
            <v>42289</v>
          </cell>
          <cell r="DW486">
            <v>0</v>
          </cell>
          <cell r="DY486">
            <v>42275</v>
          </cell>
          <cell r="EA486" t="str">
            <v>Leadcom</v>
          </cell>
          <cell r="EJ486">
            <v>0</v>
          </cell>
          <cell r="EK486">
            <v>42290</v>
          </cell>
          <cell r="EM486">
            <v>42291</v>
          </cell>
          <cell r="EQ486">
            <v>42298</v>
          </cell>
          <cell r="EW486">
            <v>0</v>
          </cell>
          <cell r="EX486">
            <v>42312</v>
          </cell>
          <cell r="EZ486">
            <v>42308</v>
          </cell>
          <cell r="FB486">
            <v>42310</v>
          </cell>
          <cell r="FU486">
            <v>42312</v>
          </cell>
          <cell r="FW486">
            <v>42312</v>
          </cell>
          <cell r="GJ486">
            <v>0</v>
          </cell>
          <cell r="GN486" t="str">
            <v>ERICSSON</v>
          </cell>
          <cell r="GQ486" t="str">
            <v>Fiber Dep.</v>
          </cell>
          <cell r="GU486" t="str">
            <v xml:space="preserve">		</v>
          </cell>
          <cell r="HD486">
            <v>1</v>
          </cell>
        </row>
        <row r="487">
          <cell r="A487" t="str">
            <v>RA0134</v>
          </cell>
          <cell r="B487" t="str">
            <v>ACRK_0008</v>
          </cell>
          <cell r="C487" t="str">
            <v>Apollo</v>
          </cell>
          <cell r="D487" t="str">
            <v>Chris Thomson</v>
          </cell>
          <cell r="F487" t="str">
            <v>Mya Kyauk Doe</v>
          </cell>
          <cell r="G487" t="str">
            <v>Si Thu Moe</v>
          </cell>
          <cell r="H487" t="str">
            <v>RED</v>
          </cell>
          <cell r="I487" t="str">
            <v>North</v>
          </cell>
          <cell r="J487" t="str">
            <v>94.3417</v>
          </cell>
          <cell r="K487" t="str">
            <v>18.3746</v>
          </cell>
          <cell r="L487" t="str">
            <v>SubUrban</v>
          </cell>
          <cell r="M487" t="str">
            <v>Rakhine</v>
          </cell>
          <cell r="N487" t="str">
            <v>Thandwe</v>
          </cell>
          <cell r="O487" t="str">
            <v>Thandwe</v>
          </cell>
          <cell r="P487" t="str">
            <v>Rakhine</v>
          </cell>
          <cell r="Q487" t="str">
            <v>12</v>
          </cell>
          <cell r="R487" t="str">
            <v>Thandwe</v>
          </cell>
          <cell r="S487" t="str">
            <v>194</v>
          </cell>
          <cell r="T487" t="str">
            <v>GSM+UMTS</v>
          </cell>
          <cell r="W487" t="str">
            <v>Ph2-Priority</v>
          </cell>
          <cell r="X487" t="str">
            <v>35</v>
          </cell>
          <cell r="Y487" t="str">
            <v>37</v>
          </cell>
          <cell r="Z487" t="str">
            <v>GBT</v>
          </cell>
          <cell r="AA487" t="str">
            <v>250</v>
          </cell>
          <cell r="AB487" t="str">
            <v>Access</v>
          </cell>
          <cell r="AC487" t="str">
            <v>Class B</v>
          </cell>
          <cell r="BE487" t="str">
            <v>Ann - Gwa</v>
          </cell>
          <cell r="BH487" t="str">
            <v>Leadcom</v>
          </cell>
          <cell r="BJ487">
            <v>42163</v>
          </cell>
          <cell r="BK487">
            <v>42166</v>
          </cell>
          <cell r="BL487">
            <v>42168</v>
          </cell>
          <cell r="BM487">
            <v>42173</v>
          </cell>
          <cell r="BT487">
            <v>56</v>
          </cell>
          <cell r="BU487">
            <v>42257</v>
          </cell>
          <cell r="BV487">
            <v>42222</v>
          </cell>
          <cell r="BW487" t="str">
            <v>94.34193</v>
          </cell>
          <cell r="BX487" t="str">
            <v>18.37263</v>
          </cell>
          <cell r="BY487" t="str">
            <v>C1</v>
          </cell>
          <cell r="CC487" t="str">
            <v>Residential</v>
          </cell>
          <cell r="CE487">
            <v>1</v>
          </cell>
          <cell r="CF487">
            <v>42258</v>
          </cell>
          <cell r="CG487">
            <v>42223</v>
          </cell>
          <cell r="CH487">
            <v>42260</v>
          </cell>
          <cell r="CN487">
            <v>10</v>
          </cell>
          <cell r="CO487">
            <v>42263</v>
          </cell>
          <cell r="CQ487" t="str">
            <v>M1: grid power + battery</v>
          </cell>
          <cell r="CR487">
            <v>0</v>
          </cell>
          <cell r="CS487">
            <v>42264</v>
          </cell>
          <cell r="CU487" t="str">
            <v>RA0134</v>
          </cell>
          <cell r="DH487">
            <v>0</v>
          </cell>
          <cell r="DI487">
            <v>42274</v>
          </cell>
          <cell r="DK487">
            <v>42271</v>
          </cell>
          <cell r="DM487">
            <v>42275</v>
          </cell>
          <cell r="DO487">
            <v>0</v>
          </cell>
          <cell r="DP487">
            <v>42274</v>
          </cell>
          <cell r="DT487">
            <v>0</v>
          </cell>
          <cell r="DU487">
            <v>42289</v>
          </cell>
          <cell r="DW487">
            <v>0</v>
          </cell>
          <cell r="DY487">
            <v>42275</v>
          </cell>
          <cell r="EA487" t="str">
            <v>Leadcom</v>
          </cell>
          <cell r="EJ487">
            <v>0</v>
          </cell>
          <cell r="EK487">
            <v>42292</v>
          </cell>
          <cell r="EM487">
            <v>42293</v>
          </cell>
          <cell r="EQ487">
            <v>42302</v>
          </cell>
          <cell r="EW487">
            <v>0</v>
          </cell>
          <cell r="EX487">
            <v>42316</v>
          </cell>
          <cell r="EZ487">
            <v>42312</v>
          </cell>
          <cell r="FB487">
            <v>42314</v>
          </cell>
          <cell r="FU487">
            <v>42316</v>
          </cell>
          <cell r="FW487">
            <v>42316</v>
          </cell>
          <cell r="GI487">
            <v>41981</v>
          </cell>
          <cell r="GJ487">
            <v>0</v>
          </cell>
          <cell r="GN487" t="str">
            <v>ERICSSON</v>
          </cell>
          <cell r="GU487" t="str">
            <v xml:space="preserve">		</v>
          </cell>
          <cell r="HD487">
            <v>1</v>
          </cell>
        </row>
        <row r="488">
          <cell r="A488" t="str">
            <v>RA0140</v>
          </cell>
          <cell r="B488" t="str">
            <v>ACRK_0009</v>
          </cell>
          <cell r="C488" t="str">
            <v>Apollo</v>
          </cell>
          <cell r="D488" t="str">
            <v>Adriaan Coetsee</v>
          </cell>
          <cell r="F488" t="str">
            <v>Mya Kyauk Doe</v>
          </cell>
          <cell r="G488" t="str">
            <v>Si Thu Moe</v>
          </cell>
          <cell r="H488" t="str">
            <v>RED</v>
          </cell>
          <cell r="I488" t="str">
            <v>North</v>
          </cell>
          <cell r="J488" t="str">
            <v>93.199959</v>
          </cell>
          <cell r="K488" t="str">
            <v>20.42614</v>
          </cell>
          <cell r="L488" t="str">
            <v>Rural</v>
          </cell>
          <cell r="M488" t="str">
            <v>Rakhine</v>
          </cell>
          <cell r="N488" t="str">
            <v>Mrauk-U</v>
          </cell>
          <cell r="O488" t="str">
            <v>Mrauk-U</v>
          </cell>
          <cell r="P488" t="str">
            <v>Rakhine</v>
          </cell>
          <cell r="Q488" t="str">
            <v>12</v>
          </cell>
          <cell r="R488" t="str">
            <v>Mrauk-U</v>
          </cell>
          <cell r="S488" t="str">
            <v>182</v>
          </cell>
          <cell r="T488" t="str">
            <v>GSM+UMTS</v>
          </cell>
          <cell r="W488" t="str">
            <v>Ph2-Priority</v>
          </cell>
          <cell r="X488" t="str">
            <v>55</v>
          </cell>
          <cell r="Y488" t="str">
            <v>57</v>
          </cell>
          <cell r="Z488" t="str">
            <v>GBT</v>
          </cell>
          <cell r="AA488" t="str">
            <v>500</v>
          </cell>
          <cell r="AB488" t="str">
            <v>Access</v>
          </cell>
          <cell r="AC488" t="str">
            <v>Class C</v>
          </cell>
          <cell r="BH488" t="str">
            <v>KTT</v>
          </cell>
          <cell r="BJ488">
            <v>42172</v>
          </cell>
          <cell r="BK488">
            <v>42167</v>
          </cell>
          <cell r="BL488">
            <v>42177</v>
          </cell>
          <cell r="BM488">
            <v>42174</v>
          </cell>
          <cell r="BT488">
            <v>26</v>
          </cell>
          <cell r="BU488">
            <v>42263</v>
          </cell>
          <cell r="BV488">
            <v>42193</v>
          </cell>
          <cell r="BW488" t="str">
            <v>93.20309</v>
          </cell>
          <cell r="BX488" t="str">
            <v>20.41461</v>
          </cell>
          <cell r="BY488" t="str">
            <v>C2</v>
          </cell>
          <cell r="BZ488" t="str">
            <v>Tha Baw Village, Maruk-U Township, Rakhine State.</v>
          </cell>
          <cell r="CA488" t="str">
            <v>Daw Aye Khin Soe</v>
          </cell>
          <cell r="CB488" t="str">
            <v>8 July 15 :C2-SAR submission + justification; (C1-rejected by TN due to LOS);7 July 15 : C1  SAR rejected(TND reject , RA0140_C01 is over 1km out of the search ring ); 1 July 15: C1-SAR Submission + justification showing the location at the closest village</v>
          </cell>
          <cell r="CC488" t="str">
            <v>Village</v>
          </cell>
          <cell r="CE488">
            <v>1</v>
          </cell>
          <cell r="CF488">
            <v>42264</v>
          </cell>
          <cell r="CG488">
            <v>42194</v>
          </cell>
          <cell r="CH488">
            <v>42266</v>
          </cell>
          <cell r="CJ488">
            <v>42203</v>
          </cell>
          <cell r="CK488" t="str">
            <v>55</v>
          </cell>
          <cell r="CL488" t="str">
            <v>57</v>
          </cell>
          <cell r="CM488" t="str">
            <v>60</v>
          </cell>
          <cell r="CN488">
            <v>11</v>
          </cell>
          <cell r="CO488">
            <v>42269</v>
          </cell>
          <cell r="CP488">
            <v>42205</v>
          </cell>
          <cell r="CQ488" t="str">
            <v>M4: solar + DG + battery</v>
          </cell>
          <cell r="CR488">
            <v>2</v>
          </cell>
          <cell r="CS488">
            <v>42270</v>
          </cell>
          <cell r="CT488">
            <v>42207</v>
          </cell>
          <cell r="CU488" t="str">
            <v>RA0140</v>
          </cell>
          <cell r="DH488">
            <v>26</v>
          </cell>
          <cell r="DI488">
            <v>42280</v>
          </cell>
          <cell r="DK488">
            <v>42277</v>
          </cell>
          <cell r="DL488">
            <v>42227</v>
          </cell>
          <cell r="DM488">
            <v>42281</v>
          </cell>
          <cell r="DO488">
            <v>0</v>
          </cell>
          <cell r="DP488">
            <v>42280</v>
          </cell>
          <cell r="DT488">
            <v>0</v>
          </cell>
          <cell r="DU488">
            <v>42295</v>
          </cell>
          <cell r="DW488">
            <v>0</v>
          </cell>
          <cell r="DY488">
            <v>42281</v>
          </cell>
          <cell r="EA488" t="str">
            <v>Leadcom</v>
          </cell>
          <cell r="EJ488">
            <v>0</v>
          </cell>
          <cell r="EK488">
            <v>42303</v>
          </cell>
          <cell r="EM488">
            <v>42304</v>
          </cell>
          <cell r="EQ488">
            <v>42316</v>
          </cell>
          <cell r="EW488">
            <v>0</v>
          </cell>
          <cell r="EX488">
            <v>42330</v>
          </cell>
          <cell r="EZ488">
            <v>42326</v>
          </cell>
          <cell r="FB488">
            <v>42328</v>
          </cell>
          <cell r="FU488">
            <v>42330</v>
          </cell>
          <cell r="FW488">
            <v>42330</v>
          </cell>
          <cell r="GI488">
            <v>41988</v>
          </cell>
          <cell r="GJ488">
            <v>0</v>
          </cell>
          <cell r="GN488" t="str">
            <v>ERICSSON</v>
          </cell>
          <cell r="GU488" t="str">
            <v xml:space="preserve">		</v>
          </cell>
          <cell r="HD488">
            <v>1</v>
          </cell>
        </row>
        <row r="489">
          <cell r="A489" t="str">
            <v>RA0149</v>
          </cell>
          <cell r="B489" t="str">
            <v>ACRK_0010</v>
          </cell>
          <cell r="C489" t="str">
            <v>Apollo</v>
          </cell>
          <cell r="D489" t="str">
            <v>Adriaan Coetsee</v>
          </cell>
          <cell r="F489" t="str">
            <v>Mya Kyauk Doe</v>
          </cell>
          <cell r="G489" t="str">
            <v>Si Thu Moe</v>
          </cell>
          <cell r="H489" t="str">
            <v>RED</v>
          </cell>
          <cell r="I489" t="str">
            <v>North</v>
          </cell>
          <cell r="J489" t="str">
            <v>93.082004</v>
          </cell>
          <cell r="K489" t="str">
            <v>20.652499</v>
          </cell>
          <cell r="L489" t="str">
            <v>Rural</v>
          </cell>
          <cell r="M489" t="str">
            <v>Rakhine</v>
          </cell>
          <cell r="N489" t="str">
            <v>Mrauk-U</v>
          </cell>
          <cell r="O489" t="str">
            <v>Mrauk-U</v>
          </cell>
          <cell r="P489" t="str">
            <v>Rakhine</v>
          </cell>
          <cell r="Q489" t="str">
            <v>12</v>
          </cell>
          <cell r="R489" t="str">
            <v>Mrauk-U</v>
          </cell>
          <cell r="S489" t="str">
            <v>182</v>
          </cell>
          <cell r="T489" t="str">
            <v>GSM+UMTS</v>
          </cell>
          <cell r="W489" t="str">
            <v>Ph2-Priority</v>
          </cell>
          <cell r="X489" t="str">
            <v>45</v>
          </cell>
          <cell r="Y489" t="str">
            <v>47</v>
          </cell>
          <cell r="Z489" t="str">
            <v>GBT</v>
          </cell>
          <cell r="AA489" t="str">
            <v>500</v>
          </cell>
          <cell r="AB489" t="str">
            <v>Access</v>
          </cell>
          <cell r="AC489" t="str">
            <v>Class C</v>
          </cell>
          <cell r="BH489" t="str">
            <v>KTT</v>
          </cell>
          <cell r="BJ489">
            <v>42172</v>
          </cell>
          <cell r="BK489">
            <v>42167</v>
          </cell>
          <cell r="BL489">
            <v>42177</v>
          </cell>
          <cell r="BM489">
            <v>42174</v>
          </cell>
          <cell r="BT489">
            <v>17</v>
          </cell>
          <cell r="BU489">
            <v>42263</v>
          </cell>
          <cell r="BV489">
            <v>42184</v>
          </cell>
          <cell r="BW489" t="str">
            <v>93.08403</v>
          </cell>
          <cell r="BX489" t="str">
            <v>20.64992</v>
          </cell>
          <cell r="BY489" t="str">
            <v>C1</v>
          </cell>
          <cell r="BZ489" t="str">
            <v>Thin Pin Kine Village, Maruk-U Township, Rakhine State.</v>
          </cell>
          <cell r="CA489" t="str">
            <v>U Kyan Maung</v>
          </cell>
          <cell r="CB489" t="str">
            <v>13 Aug 15 : C1 updated checklist given from E because of adding 1 MW antenna and changing link up sites information but the actual antenna height  didn't change;  6 Aug 15 : C1 TSSR checklist updated agin from E// due to updating routing links;21 July 15 : C1 TSSR updated checklist given from E// because of  rerouting links;20May15: C1 SAR Sub</v>
          </cell>
          <cell r="CC489" t="str">
            <v>Village</v>
          </cell>
          <cell r="CE489">
            <v>1</v>
          </cell>
          <cell r="CF489">
            <v>42264</v>
          </cell>
          <cell r="CG489">
            <v>42185</v>
          </cell>
          <cell r="CH489">
            <v>42266</v>
          </cell>
          <cell r="CJ489">
            <v>42203</v>
          </cell>
          <cell r="CK489" t="str">
            <v>45</v>
          </cell>
          <cell r="CL489" t="str">
            <v>47</v>
          </cell>
          <cell r="CM489" t="str">
            <v>50</v>
          </cell>
          <cell r="CN489">
            <v>20</v>
          </cell>
          <cell r="CO489">
            <v>42269</v>
          </cell>
          <cell r="CP489">
            <v>42205</v>
          </cell>
          <cell r="CQ489" t="str">
            <v>M4: solar + DG + battery</v>
          </cell>
          <cell r="CR489">
            <v>2</v>
          </cell>
          <cell r="CS489">
            <v>42270</v>
          </cell>
          <cell r="CT489">
            <v>42207</v>
          </cell>
          <cell r="CU489" t="str">
            <v>RA0149</v>
          </cell>
          <cell r="DH489">
            <v>26</v>
          </cell>
          <cell r="DI489">
            <v>42280</v>
          </cell>
          <cell r="DJ489">
            <v>42165</v>
          </cell>
          <cell r="DK489">
            <v>42277</v>
          </cell>
          <cell r="DL489">
            <v>42242</v>
          </cell>
          <cell r="DM489">
            <v>42281</v>
          </cell>
          <cell r="DN489">
            <v>42172</v>
          </cell>
          <cell r="DO489">
            <v>0</v>
          </cell>
          <cell r="DP489">
            <v>42280</v>
          </cell>
          <cell r="DQ489">
            <v>42165</v>
          </cell>
          <cell r="DT489">
            <v>0</v>
          </cell>
          <cell r="DU489">
            <v>42295</v>
          </cell>
          <cell r="DW489">
            <v>0</v>
          </cell>
          <cell r="DY489">
            <v>42281</v>
          </cell>
          <cell r="DZ489">
            <v>42172</v>
          </cell>
          <cell r="EA489" t="str">
            <v>Leadcom</v>
          </cell>
          <cell r="ED489" t="str">
            <v>30Jul15 :ChoYee.Thaung: 23/7/15 : Backfilling on going (50%), tower on site (18/7/15)_x000D_
14/7/15 : Pedestal will cast tomorrow
14Jul15 :ChoYee.Thaung: 10/7/15 : Footing done, Anchor bolt, nut and template will arrive today_x000D_
2/7/15 : bottom bar done, column layout done _x000D_
1/7/15 : Lean done (28/6/15), prepare to do rebar work and leveling excavated wall
24Jun15 :ChoYee.Thaung: Excavation on going (80%), tomorrow will done</v>
          </cell>
          <cell r="EE489" t="str">
            <v xml:space="preserve">10 Aug 15:Rain affected_Progress affected; 4-Aug-15:for AMB installation								</v>
          </cell>
          <cell r="EJ489">
            <v>0</v>
          </cell>
          <cell r="EK489">
            <v>42298</v>
          </cell>
          <cell r="EL489">
            <v>42204</v>
          </cell>
          <cell r="EM489">
            <v>42299</v>
          </cell>
          <cell r="EN489">
            <v>42203</v>
          </cell>
          <cell r="EQ489">
            <v>42308</v>
          </cell>
          <cell r="ER489">
            <v>42227</v>
          </cell>
          <cell r="ES489">
            <v>42222</v>
          </cell>
          <cell r="ET489">
            <v>42227</v>
          </cell>
          <cell r="EU489">
            <v>42227</v>
          </cell>
          <cell r="EW489">
            <v>0</v>
          </cell>
          <cell r="EX489">
            <v>42322</v>
          </cell>
          <cell r="EZ489">
            <v>42318</v>
          </cell>
          <cell r="FA489">
            <v>42229</v>
          </cell>
          <cell r="FB489">
            <v>42320</v>
          </cell>
          <cell r="FC489">
            <v>42231</v>
          </cell>
          <cell r="FE489">
            <v>42193</v>
          </cell>
          <cell r="FU489">
            <v>42322</v>
          </cell>
          <cell r="FW489">
            <v>42322</v>
          </cell>
          <cell r="FX489">
            <v>42232</v>
          </cell>
          <cell r="FY489" t="str">
            <v>TN</v>
          </cell>
          <cell r="FZ489">
            <v>42206</v>
          </cell>
          <cell r="GA489">
            <v>42208</v>
          </cell>
          <cell r="GB489">
            <v>42223</v>
          </cell>
          <cell r="GC489">
            <v>42233</v>
          </cell>
          <cell r="GD489">
            <v>42233</v>
          </cell>
          <cell r="GE489">
            <v>42223</v>
          </cell>
          <cell r="GF489">
            <v>42223</v>
          </cell>
          <cell r="GG489">
            <v>42234</v>
          </cell>
          <cell r="GH489">
            <v>42234</v>
          </cell>
          <cell r="GI489">
            <v>41986</v>
          </cell>
          <cell r="GJ489">
            <v>0</v>
          </cell>
          <cell r="GK489">
            <v>42234</v>
          </cell>
          <cell r="GL489" t="str">
            <v>AZM to TN</v>
          </cell>
          <cell r="GN489" t="str">
            <v>ERICSSON</v>
          </cell>
          <cell r="GP489">
            <v>42198</v>
          </cell>
          <cell r="GQ489">
            <v>0</v>
          </cell>
          <cell r="GU489" t="str">
            <v xml:space="preserve">		</v>
          </cell>
          <cell r="HD489">
            <v>1</v>
          </cell>
        </row>
        <row r="490">
          <cell r="A490" t="str">
            <v>RA0158</v>
          </cell>
          <cell r="B490" t="str">
            <v>ACRK_0011</v>
          </cell>
          <cell r="C490" t="str">
            <v>Apollo</v>
          </cell>
          <cell r="D490" t="str">
            <v>Chris Thomson</v>
          </cell>
          <cell r="F490" t="str">
            <v>Mya Kyauk Doe</v>
          </cell>
          <cell r="G490" t="str">
            <v>Si Thu Moe</v>
          </cell>
          <cell r="H490" t="str">
            <v>RED</v>
          </cell>
          <cell r="I490" t="str">
            <v>North</v>
          </cell>
          <cell r="J490" t="str">
            <v>93.82642235</v>
          </cell>
          <cell r="K490" t="str">
            <v>19.75541708</v>
          </cell>
          <cell r="L490" t="str">
            <v>Rural</v>
          </cell>
          <cell r="M490" t="str">
            <v>Rakhine</v>
          </cell>
          <cell r="N490" t="str">
            <v>Ann</v>
          </cell>
          <cell r="O490" t="str">
            <v>Ann</v>
          </cell>
          <cell r="P490" t="str">
            <v>Rakhine</v>
          </cell>
          <cell r="Q490" t="str">
            <v>12</v>
          </cell>
          <cell r="R490" t="str">
            <v>Ann</v>
          </cell>
          <cell r="S490" t="str">
            <v>193</v>
          </cell>
          <cell r="T490" t="str">
            <v>GSM+UMTS</v>
          </cell>
          <cell r="W490" t="str">
            <v>Ph2-Priority</v>
          </cell>
          <cell r="X490" t="str">
            <v>55</v>
          </cell>
          <cell r="Y490" t="str">
            <v>57</v>
          </cell>
          <cell r="Z490" t="str">
            <v>GBT</v>
          </cell>
          <cell r="AA490" t="str">
            <v>500</v>
          </cell>
          <cell r="AB490" t="str">
            <v>Access</v>
          </cell>
          <cell r="AC490" t="str">
            <v>Class C</v>
          </cell>
          <cell r="BH490" t="str">
            <v>Leadcom</v>
          </cell>
          <cell r="BJ490">
            <v>42163</v>
          </cell>
          <cell r="BK490">
            <v>42167</v>
          </cell>
          <cell r="BL490">
            <v>42168</v>
          </cell>
          <cell r="BM490">
            <v>42174</v>
          </cell>
          <cell r="BT490">
            <v>55</v>
          </cell>
          <cell r="BU490">
            <v>42263</v>
          </cell>
          <cell r="BV490">
            <v>42222</v>
          </cell>
          <cell r="BW490" t="str">
            <v>93.82825</v>
          </cell>
          <cell r="BX490" t="str">
            <v>19.75468</v>
          </cell>
          <cell r="BY490" t="str">
            <v>C1</v>
          </cell>
          <cell r="BZ490" t="str">
            <v>Hsel Gyi Village, Taung Twin Gyi Township, Magway Division.</v>
          </cell>
          <cell r="CA490" t="str">
            <v>U Kyaw Soe Moe</v>
          </cell>
          <cell r="CB490" t="str">
            <v>12 Aug 15 : C1 SAR approved  as an option 1(This site is approved as VSAT)</v>
          </cell>
          <cell r="CC490" t="str">
            <v>Cultivated land</v>
          </cell>
          <cell r="CE490">
            <v>6</v>
          </cell>
          <cell r="CF490">
            <v>42264</v>
          </cell>
          <cell r="CG490">
            <v>42228</v>
          </cell>
          <cell r="CH490">
            <v>42266</v>
          </cell>
          <cell r="CJ490">
            <v>42233</v>
          </cell>
          <cell r="CN490">
            <v>5</v>
          </cell>
          <cell r="CO490">
            <v>42269</v>
          </cell>
          <cell r="CP490">
            <v>42235</v>
          </cell>
          <cell r="CQ490" t="str">
            <v>M4: solar + DG + battery</v>
          </cell>
          <cell r="CR490">
            <v>0</v>
          </cell>
          <cell r="CS490">
            <v>42270</v>
          </cell>
          <cell r="CU490" t="str">
            <v>RA0158</v>
          </cell>
          <cell r="DH490">
            <v>0</v>
          </cell>
          <cell r="DI490">
            <v>42280</v>
          </cell>
          <cell r="DK490">
            <v>42277</v>
          </cell>
          <cell r="DM490">
            <v>42281</v>
          </cell>
          <cell r="DO490">
            <v>0</v>
          </cell>
          <cell r="DP490">
            <v>42280</v>
          </cell>
          <cell r="DT490">
            <v>0</v>
          </cell>
          <cell r="DU490">
            <v>42295</v>
          </cell>
          <cell r="DW490">
            <v>0</v>
          </cell>
          <cell r="DY490">
            <v>42281</v>
          </cell>
          <cell r="EA490" t="str">
            <v>Leadcom</v>
          </cell>
          <cell r="EJ490">
            <v>0</v>
          </cell>
          <cell r="EK490">
            <v>42303</v>
          </cell>
          <cell r="EM490">
            <v>42304</v>
          </cell>
          <cell r="EQ490">
            <v>42316</v>
          </cell>
          <cell r="EW490">
            <v>0</v>
          </cell>
          <cell r="EX490">
            <v>42330</v>
          </cell>
          <cell r="EZ490">
            <v>42326</v>
          </cell>
          <cell r="FB490">
            <v>42328</v>
          </cell>
          <cell r="FU490">
            <v>42330</v>
          </cell>
          <cell r="FW490">
            <v>42330</v>
          </cell>
          <cell r="GI490">
            <v>41972</v>
          </cell>
          <cell r="GJ490">
            <v>0</v>
          </cell>
          <cell r="GN490" t="str">
            <v>ERICSSON</v>
          </cell>
          <cell r="HD490">
            <v>1</v>
          </cell>
        </row>
        <row r="491">
          <cell r="A491" t="str">
            <v>RA0160</v>
          </cell>
          <cell r="B491" t="str">
            <v>ACRK_0012</v>
          </cell>
          <cell r="C491" t="str">
            <v>Apollo</v>
          </cell>
          <cell r="D491" t="str">
            <v>Adriaan Coetsee</v>
          </cell>
          <cell r="F491" t="str">
            <v>Mya Kyauk Doe</v>
          </cell>
          <cell r="G491" t="str">
            <v>Si Thu Moe</v>
          </cell>
          <cell r="H491" t="str">
            <v>RED</v>
          </cell>
          <cell r="I491" t="str">
            <v>North</v>
          </cell>
          <cell r="J491" t="str">
            <v>92.884317</v>
          </cell>
          <cell r="K491" t="str">
            <v>20.204551</v>
          </cell>
          <cell r="L491" t="str">
            <v>Rural</v>
          </cell>
          <cell r="M491" t="str">
            <v>Rakhine</v>
          </cell>
          <cell r="N491" t="str">
            <v>Sittwe</v>
          </cell>
          <cell r="O491" t="str">
            <v>Sittwe</v>
          </cell>
          <cell r="P491" t="str">
            <v>Rakhine</v>
          </cell>
          <cell r="Q491" t="str">
            <v>12</v>
          </cell>
          <cell r="R491" t="str">
            <v>Sittwe</v>
          </cell>
          <cell r="S491" t="str">
            <v>180</v>
          </cell>
          <cell r="T491" t="str">
            <v>GSM+UMTS</v>
          </cell>
          <cell r="W491" t="str">
            <v>Ph2-Priority</v>
          </cell>
          <cell r="X491" t="str">
            <v>45</v>
          </cell>
          <cell r="Y491" t="str">
            <v>47</v>
          </cell>
          <cell r="Z491" t="str">
            <v>GBT</v>
          </cell>
          <cell r="AA491" t="str">
            <v>500</v>
          </cell>
          <cell r="AB491" t="str">
            <v>Access</v>
          </cell>
          <cell r="AC491" t="str">
            <v>Class C</v>
          </cell>
          <cell r="BE491" t="str">
            <v>Route 13 Mawlamyine-Dawei</v>
          </cell>
          <cell r="BH491" t="str">
            <v>KTT</v>
          </cell>
          <cell r="BJ491">
            <v>42172</v>
          </cell>
          <cell r="BK491">
            <v>42167</v>
          </cell>
          <cell r="BL491">
            <v>42177</v>
          </cell>
          <cell r="BM491">
            <v>42174</v>
          </cell>
          <cell r="BT491">
            <v>40</v>
          </cell>
          <cell r="BU491">
            <v>42263</v>
          </cell>
          <cell r="BV491">
            <v>42207</v>
          </cell>
          <cell r="BW491" t="str">
            <v>92.88258</v>
          </cell>
          <cell r="BX491" t="str">
            <v>20.20963</v>
          </cell>
          <cell r="BY491" t="str">
            <v>C1</v>
          </cell>
          <cell r="BZ491" t="str">
            <v>Kamarwat Kwin,Kwin No.872 ka,Kamarwat Village,Kamarwat Town,Mudone Tsp,Mon State.</v>
          </cell>
          <cell r="CA491" t="str">
            <v>U Khaing Tun, 09-973404705</v>
          </cell>
          <cell r="CB491" t="str">
            <v>22 July 15: C1-SAR submission</v>
          </cell>
          <cell r="CC491" t="str">
            <v>GARDEN LAND</v>
          </cell>
          <cell r="CE491">
            <v>1</v>
          </cell>
          <cell r="CF491">
            <v>42264</v>
          </cell>
          <cell r="CG491">
            <v>42208</v>
          </cell>
          <cell r="CH491">
            <v>42266</v>
          </cell>
          <cell r="CJ491">
            <v>42219</v>
          </cell>
          <cell r="CK491" t="str">
            <v>45</v>
          </cell>
          <cell r="CL491" t="str">
            <v>47</v>
          </cell>
          <cell r="CM491" t="str">
            <v>50</v>
          </cell>
          <cell r="CN491">
            <v>13</v>
          </cell>
          <cell r="CO491">
            <v>42269</v>
          </cell>
          <cell r="CP491">
            <v>42221</v>
          </cell>
          <cell r="CQ491" t="str">
            <v>M4: solar + DG + battery</v>
          </cell>
          <cell r="CR491">
            <v>6</v>
          </cell>
          <cell r="CS491">
            <v>42270</v>
          </cell>
          <cell r="CT491">
            <v>42227</v>
          </cell>
          <cell r="CU491" t="str">
            <v>RA0160</v>
          </cell>
          <cell r="DH491">
            <v>6</v>
          </cell>
          <cell r="DI491">
            <v>42280</v>
          </cell>
          <cell r="DK491">
            <v>42277</v>
          </cell>
          <cell r="DM491">
            <v>42281</v>
          </cell>
          <cell r="DO491">
            <v>0</v>
          </cell>
          <cell r="DP491">
            <v>42280</v>
          </cell>
          <cell r="DT491">
            <v>0</v>
          </cell>
          <cell r="DU491">
            <v>42295</v>
          </cell>
          <cell r="DW491">
            <v>0</v>
          </cell>
          <cell r="DY491">
            <v>42281</v>
          </cell>
          <cell r="EA491" t="str">
            <v>Leadcom</v>
          </cell>
          <cell r="EJ491">
            <v>0</v>
          </cell>
          <cell r="EK491">
            <v>42298</v>
          </cell>
          <cell r="EM491">
            <v>42299</v>
          </cell>
          <cell r="EQ491">
            <v>42308</v>
          </cell>
          <cell r="EW491">
            <v>0</v>
          </cell>
          <cell r="EX491">
            <v>42322</v>
          </cell>
          <cell r="EZ491">
            <v>42318</v>
          </cell>
          <cell r="FB491">
            <v>42320</v>
          </cell>
          <cell r="FU491">
            <v>42322</v>
          </cell>
          <cell r="FW491">
            <v>42322</v>
          </cell>
          <cell r="GI491">
            <v>41975</v>
          </cell>
          <cell r="GJ491">
            <v>0</v>
          </cell>
          <cell r="GN491" t="str">
            <v>ERICSSON</v>
          </cell>
          <cell r="GQ491" t="str">
            <v>Fiber Dep.</v>
          </cell>
          <cell r="GS491" t="str">
            <v>4/4/4</v>
          </cell>
          <cell r="GU491" t="str">
            <v xml:space="preserve">		</v>
          </cell>
          <cell r="HD491">
            <v>1</v>
          </cell>
        </row>
        <row r="492">
          <cell r="A492" t="str">
            <v>RA0163</v>
          </cell>
          <cell r="B492" t="str">
            <v>ACRK_0013</v>
          </cell>
          <cell r="C492" t="str">
            <v>Apollo</v>
          </cell>
          <cell r="D492" t="str">
            <v>Chris Thomson</v>
          </cell>
          <cell r="F492" t="str">
            <v>Mya Kyauk Doe</v>
          </cell>
          <cell r="G492" t="str">
            <v>Si Thu Moe</v>
          </cell>
          <cell r="H492" t="str">
            <v>RED</v>
          </cell>
          <cell r="I492" t="str">
            <v>North</v>
          </cell>
          <cell r="J492" t="str">
            <v>94.151082</v>
          </cell>
          <cell r="K492" t="str">
            <v>19.139199</v>
          </cell>
          <cell r="L492" t="str">
            <v>Rural</v>
          </cell>
          <cell r="M492" t="str">
            <v>Rakhine</v>
          </cell>
          <cell r="N492" t="str">
            <v>Toungup</v>
          </cell>
          <cell r="O492" t="str">
            <v>Toungup</v>
          </cell>
          <cell r="P492" t="str">
            <v>Rakhine</v>
          </cell>
          <cell r="Q492" t="str">
            <v>12</v>
          </cell>
          <cell r="R492" t="str">
            <v>Toungup</v>
          </cell>
          <cell r="S492" t="str">
            <v>195</v>
          </cell>
          <cell r="T492" t="str">
            <v>GSM+UMTS</v>
          </cell>
          <cell r="W492" t="str">
            <v>Ph2-Priority</v>
          </cell>
          <cell r="X492" t="str">
            <v>55</v>
          </cell>
          <cell r="Y492" t="str">
            <v>57</v>
          </cell>
          <cell r="Z492" t="str">
            <v>GBT</v>
          </cell>
          <cell r="AA492" t="str">
            <v>500</v>
          </cell>
          <cell r="AB492" t="str">
            <v>Access</v>
          </cell>
          <cell r="AC492" t="str">
            <v>Class C</v>
          </cell>
          <cell r="BH492" t="str">
            <v>Leadcom</v>
          </cell>
          <cell r="BJ492">
            <v>42163</v>
          </cell>
          <cell r="BK492">
            <v>42167</v>
          </cell>
          <cell r="BL492">
            <v>42168</v>
          </cell>
          <cell r="BM492">
            <v>42174</v>
          </cell>
          <cell r="BT492">
            <v>66</v>
          </cell>
          <cell r="BU492">
            <v>42263</v>
          </cell>
          <cell r="BV492">
            <v>42242</v>
          </cell>
          <cell r="BW492" t="str">
            <v>94.16962</v>
          </cell>
          <cell r="BX492" t="str">
            <v>19.14686</v>
          </cell>
          <cell r="BY492" t="str">
            <v>C3</v>
          </cell>
          <cell r="BZ492" t="str">
            <v>No. (50), Sa Khon Gyi Village, Tha Htone Tsp, Mon State.</v>
          </cell>
          <cell r="CA492" t="str">
            <v>U Mg Mg,09 7916778341</v>
          </cell>
          <cell r="CB492" t="str">
            <v>28 Aug 15 : C3 SAR app as option1(28 Aug 15 : C3 SAR app as option1);26 Aug 15: C3 SAR sub</v>
          </cell>
          <cell r="CC492" t="str">
            <v>Garden Land</v>
          </cell>
          <cell r="CE492">
            <v>0</v>
          </cell>
          <cell r="CF492">
            <v>42264</v>
          </cell>
          <cell r="CG492">
            <v>42244</v>
          </cell>
          <cell r="CH492">
            <v>42266</v>
          </cell>
          <cell r="CJ492">
            <v>42206</v>
          </cell>
          <cell r="CK492" t="str">
            <v>45</v>
          </cell>
          <cell r="CL492" t="str">
            <v>47</v>
          </cell>
          <cell r="CM492" t="str">
            <v>50</v>
          </cell>
          <cell r="CN492">
            <v>0</v>
          </cell>
          <cell r="CO492">
            <v>42269</v>
          </cell>
          <cell r="CP492">
            <v>42208</v>
          </cell>
          <cell r="CQ492" t="str">
            <v>M4: solar + DG + battery</v>
          </cell>
          <cell r="CR492">
            <v>0</v>
          </cell>
          <cell r="CS492">
            <v>42270</v>
          </cell>
          <cell r="CT492">
            <v>42209</v>
          </cell>
          <cell r="CU492" t="str">
            <v>RA0163</v>
          </cell>
          <cell r="DH492">
            <v>0</v>
          </cell>
          <cell r="DI492">
            <v>42280</v>
          </cell>
          <cell r="DJ492">
            <v>42209</v>
          </cell>
          <cell r="DK492">
            <v>42277</v>
          </cell>
          <cell r="DM492">
            <v>42281</v>
          </cell>
          <cell r="DO492">
            <v>0</v>
          </cell>
          <cell r="DP492">
            <v>42280</v>
          </cell>
          <cell r="DQ492">
            <v>42209</v>
          </cell>
          <cell r="DT492">
            <v>0</v>
          </cell>
          <cell r="DU492">
            <v>42295</v>
          </cell>
          <cell r="DW492">
            <v>0</v>
          </cell>
          <cell r="DY492">
            <v>42281</v>
          </cell>
          <cell r="DZ492">
            <v>42213</v>
          </cell>
          <cell r="EA492" t="str">
            <v>Leadcom</v>
          </cell>
          <cell r="EJ492">
            <v>0</v>
          </cell>
          <cell r="EK492">
            <v>42303</v>
          </cell>
          <cell r="EM492">
            <v>42304</v>
          </cell>
          <cell r="EQ492">
            <v>42316</v>
          </cell>
          <cell r="EW492">
            <v>0</v>
          </cell>
          <cell r="EX492">
            <v>42330</v>
          </cell>
          <cell r="EZ492">
            <v>42326</v>
          </cell>
          <cell r="FB492">
            <v>42328</v>
          </cell>
          <cell r="FU492">
            <v>42330</v>
          </cell>
          <cell r="FW492">
            <v>42330</v>
          </cell>
          <cell r="GI492">
            <v>42017</v>
          </cell>
          <cell r="GJ492">
            <v>0</v>
          </cell>
          <cell r="GN492" t="str">
            <v>ERICSSON</v>
          </cell>
          <cell r="GU492" t="str">
            <v xml:space="preserve">		</v>
          </cell>
          <cell r="HD492">
            <v>1</v>
          </cell>
        </row>
        <row r="493">
          <cell r="A493" t="str">
            <v>RA0165</v>
          </cell>
          <cell r="B493" t="str">
            <v>ACRK_0014</v>
          </cell>
          <cell r="C493" t="str">
            <v>Apollo</v>
          </cell>
          <cell r="D493" t="str">
            <v>Chris Thomson</v>
          </cell>
          <cell r="F493" t="str">
            <v>Mya Kyauk Doe</v>
          </cell>
          <cell r="G493" t="str">
            <v>Si Thu Moe</v>
          </cell>
          <cell r="H493" t="str">
            <v>RED</v>
          </cell>
          <cell r="I493" t="str">
            <v>North</v>
          </cell>
          <cell r="J493" t="str">
            <v>94.200136</v>
          </cell>
          <cell r="K493" t="str">
            <v>18.993409</v>
          </cell>
          <cell r="L493" t="str">
            <v>Rural</v>
          </cell>
          <cell r="M493" t="str">
            <v>Rakhine</v>
          </cell>
          <cell r="N493" t="str">
            <v>Toungup</v>
          </cell>
          <cell r="O493" t="str">
            <v>Toungup</v>
          </cell>
          <cell r="P493" t="str">
            <v>Rakhine</v>
          </cell>
          <cell r="Q493" t="str">
            <v>12</v>
          </cell>
          <cell r="R493" t="str">
            <v>Toungup</v>
          </cell>
          <cell r="S493" t="str">
            <v>195</v>
          </cell>
          <cell r="T493" t="str">
            <v>GSM+UMTS</v>
          </cell>
          <cell r="W493" t="str">
            <v>Ph2-Priority</v>
          </cell>
          <cell r="X493" t="str">
            <v>55</v>
          </cell>
          <cell r="Y493" t="str">
            <v>57</v>
          </cell>
          <cell r="Z493" t="str">
            <v>GBT</v>
          </cell>
          <cell r="AA493" t="str">
            <v>500</v>
          </cell>
          <cell r="AB493" t="str">
            <v>Access</v>
          </cell>
          <cell r="AC493" t="str">
            <v>Class C</v>
          </cell>
          <cell r="BH493" t="str">
            <v>Leadcom</v>
          </cell>
          <cell r="BJ493">
            <v>42163</v>
          </cell>
          <cell r="BK493">
            <v>42167</v>
          </cell>
          <cell r="BL493">
            <v>42168</v>
          </cell>
          <cell r="BM493">
            <v>42174</v>
          </cell>
          <cell r="BT493">
            <v>66</v>
          </cell>
          <cell r="BU493">
            <v>42263</v>
          </cell>
          <cell r="BV493">
            <v>42242</v>
          </cell>
          <cell r="BW493" t="str">
            <v>94.20033</v>
          </cell>
          <cell r="BX493" t="str">
            <v>18.99469</v>
          </cell>
          <cell r="BY493" t="str">
            <v>C3</v>
          </cell>
          <cell r="CB493" t="str">
            <v>28 Aug 15 : C3 SAR app as option1( VSAT transmission 6000 plan);26 Aug 15: C3 SAR sub</v>
          </cell>
          <cell r="CC493" t="str">
            <v>Garden Land</v>
          </cell>
          <cell r="CE493">
            <v>0</v>
          </cell>
          <cell r="CF493">
            <v>42264</v>
          </cell>
          <cell r="CG493">
            <v>42244</v>
          </cell>
          <cell r="CH493">
            <v>42266</v>
          </cell>
          <cell r="CN493">
            <v>0</v>
          </cell>
          <cell r="CO493">
            <v>42269</v>
          </cell>
          <cell r="CQ493" t="str">
            <v>M1: grid power + battery</v>
          </cell>
          <cell r="CR493">
            <v>0</v>
          </cell>
          <cell r="CS493">
            <v>42270</v>
          </cell>
          <cell r="CU493" t="str">
            <v>RA0165</v>
          </cell>
          <cell r="DH493">
            <v>0</v>
          </cell>
          <cell r="DI493">
            <v>42280</v>
          </cell>
          <cell r="DK493">
            <v>42277</v>
          </cell>
          <cell r="DM493">
            <v>42281</v>
          </cell>
          <cell r="DO493">
            <v>0</v>
          </cell>
          <cell r="DP493">
            <v>42280</v>
          </cell>
          <cell r="DT493">
            <v>0</v>
          </cell>
          <cell r="DU493">
            <v>42295</v>
          </cell>
          <cell r="DW493">
            <v>0</v>
          </cell>
          <cell r="DY493">
            <v>42281</v>
          </cell>
          <cell r="EA493" t="str">
            <v>Leadcom</v>
          </cell>
          <cell r="EJ493">
            <v>0</v>
          </cell>
          <cell r="EK493">
            <v>42303</v>
          </cell>
          <cell r="EM493">
            <v>42304</v>
          </cell>
          <cell r="EQ493">
            <v>42316</v>
          </cell>
          <cell r="EW493">
            <v>0</v>
          </cell>
          <cell r="EX493">
            <v>42330</v>
          </cell>
          <cell r="EZ493">
            <v>42326</v>
          </cell>
          <cell r="FB493">
            <v>42328</v>
          </cell>
          <cell r="FU493">
            <v>42330</v>
          </cell>
          <cell r="FW493">
            <v>42330</v>
          </cell>
          <cell r="GI493">
            <v>41975</v>
          </cell>
          <cell r="GJ493">
            <v>0</v>
          </cell>
          <cell r="GN493" t="str">
            <v>ERICSSON</v>
          </cell>
          <cell r="GU493" t="str">
            <v xml:space="preserve">		</v>
          </cell>
          <cell r="HD493">
            <v>1</v>
          </cell>
        </row>
        <row r="494">
          <cell r="A494" t="str">
            <v>RA0167</v>
          </cell>
          <cell r="B494" t="str">
            <v>ACRK_0015</v>
          </cell>
          <cell r="C494" t="str">
            <v>Apollo</v>
          </cell>
          <cell r="D494" t="str">
            <v>Chris Thomson</v>
          </cell>
          <cell r="F494" t="str">
            <v>Mya Kyauk Doe</v>
          </cell>
          <cell r="G494" t="str">
            <v>Si Thu Moe</v>
          </cell>
          <cell r="H494" t="str">
            <v>RED</v>
          </cell>
          <cell r="I494" t="str">
            <v>North</v>
          </cell>
          <cell r="J494" t="str">
            <v>94.295067</v>
          </cell>
          <cell r="K494" t="str">
            <v>18.684848</v>
          </cell>
          <cell r="L494" t="str">
            <v>Rural</v>
          </cell>
          <cell r="M494" t="str">
            <v>Rakhine</v>
          </cell>
          <cell r="N494" t="str">
            <v>Toungup</v>
          </cell>
          <cell r="O494" t="str">
            <v>Toungup</v>
          </cell>
          <cell r="P494" t="str">
            <v>Rakhine</v>
          </cell>
          <cell r="Q494" t="str">
            <v>12</v>
          </cell>
          <cell r="R494" t="str">
            <v>Toungup</v>
          </cell>
          <cell r="S494" t="str">
            <v>195</v>
          </cell>
          <cell r="T494" t="str">
            <v>GSM+UMTS</v>
          </cell>
          <cell r="U494" t="str">
            <v>NAY_N002</v>
          </cell>
          <cell r="V494" t="str">
            <v>3</v>
          </cell>
          <cell r="W494" t="str">
            <v>Ph2-Priority</v>
          </cell>
          <cell r="X494" t="str">
            <v>45</v>
          </cell>
          <cell r="Y494" t="str">
            <v>47</v>
          </cell>
          <cell r="Z494" t="str">
            <v>GBT</v>
          </cell>
          <cell r="AA494" t="str">
            <v>500</v>
          </cell>
          <cell r="AB494" t="str">
            <v>Access</v>
          </cell>
          <cell r="AC494" t="str">
            <v>Class C</v>
          </cell>
          <cell r="AD494" t="str">
            <v>1323</v>
          </cell>
          <cell r="AE494" t="str">
            <v>1588</v>
          </cell>
          <cell r="AF494" t="str">
            <v>1</v>
          </cell>
          <cell r="AG494" t="str">
            <v>NP0072</v>
          </cell>
          <cell r="AH494" t="str">
            <v>NP0071</v>
          </cell>
          <cell r="BC494" t="str">
            <v>NP0071</v>
          </cell>
          <cell r="BD494" t="str">
            <v>7</v>
          </cell>
          <cell r="BE494" t="str">
            <v>Route 7 Bago - Pyawbwe</v>
          </cell>
          <cell r="BF494">
            <v>41760</v>
          </cell>
          <cell r="BG494">
            <v>41898</v>
          </cell>
          <cell r="BH494" t="str">
            <v>KTT</v>
          </cell>
          <cell r="BJ494">
            <v>42163</v>
          </cell>
          <cell r="BK494">
            <v>42170</v>
          </cell>
          <cell r="BL494">
            <v>42168</v>
          </cell>
          <cell r="BM494">
            <v>42177</v>
          </cell>
          <cell r="BO494">
            <v>41718</v>
          </cell>
          <cell r="BR494" t="str">
            <v>The search ring is inside Yadanar Theingha Hotel &amp; Golden Myanmar Hotel compounds.</v>
          </cell>
          <cell r="BT494">
            <v>63</v>
          </cell>
          <cell r="BU494">
            <v>42263</v>
          </cell>
          <cell r="BV494">
            <v>42058</v>
          </cell>
          <cell r="BW494" t="str">
            <v>96.110504</v>
          </cell>
          <cell r="BX494" t="str">
            <v>19.707199</v>
          </cell>
          <cell r="BY494" t="str">
            <v>C1</v>
          </cell>
          <cell r="BZ494" t="str">
            <v>At the back of ILBC school, Near Zabu Thiri Hotel,Zabu Thiri Township, Nay Pyi Taw.</v>
          </cell>
          <cell r="CA494" t="str">
            <v>U Aung Win(NCDC Officer);( Owner information and phone number: None );(NCDC approved location without SAR pdf)</v>
          </cell>
          <cell r="CB494" t="str">
            <v>03 Mar 15 : C1 TSSR has been approved(RND approved with 44m / 45m GBT. This site is 24m far from the SAR's Lat Long.);24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 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;18 Feb 15 : C1 location rejected(This candidate is 950m far from the nominal we cannot accept for NP0009.);18 Feb 15 : C1 Coordinate sent by mailing  from Apollo since this site is NCDC approved location without SAR pdf.</v>
          </cell>
          <cell r="CE494">
            <v>0</v>
          </cell>
          <cell r="CF494">
            <v>42264</v>
          </cell>
          <cell r="CG494">
            <v>42059</v>
          </cell>
          <cell r="CH494">
            <v>42266</v>
          </cell>
          <cell r="CJ494">
            <v>42060</v>
          </cell>
          <cell r="CK494" t="str">
            <v>44</v>
          </cell>
          <cell r="CL494" t="str">
            <v>47</v>
          </cell>
          <cell r="CM494" t="str">
            <v>45</v>
          </cell>
          <cell r="CN494">
            <v>0</v>
          </cell>
          <cell r="CO494">
            <v>42269</v>
          </cell>
          <cell r="CP494">
            <v>42062</v>
          </cell>
          <cell r="CQ494" t="str">
            <v>M1: grid power + battery</v>
          </cell>
          <cell r="CR494">
            <v>0</v>
          </cell>
          <cell r="CS494">
            <v>42270</v>
          </cell>
          <cell r="CT494">
            <v>42066</v>
          </cell>
          <cell r="CU494" t="str">
            <v>RA0167</v>
          </cell>
          <cell r="DH494">
            <v>0</v>
          </cell>
          <cell r="DI494">
            <v>42280</v>
          </cell>
          <cell r="DJ494">
            <v>42153</v>
          </cell>
          <cell r="DK494">
            <v>42277</v>
          </cell>
          <cell r="DM494">
            <v>42281</v>
          </cell>
          <cell r="DO494">
            <v>0</v>
          </cell>
          <cell r="DP494">
            <v>42280</v>
          </cell>
          <cell r="DQ494">
            <v>42153</v>
          </cell>
          <cell r="DR494" t="str">
            <v>NCDC</v>
          </cell>
          <cell r="DT494">
            <v>0</v>
          </cell>
          <cell r="DU494">
            <v>42295</v>
          </cell>
          <cell r="DW494">
            <v>0</v>
          </cell>
          <cell r="DY494">
            <v>42281</v>
          </cell>
          <cell r="DZ494">
            <v>42132</v>
          </cell>
          <cell r="EA494" t="str">
            <v>Leadcom</v>
          </cell>
          <cell r="EI494" t="str">
            <v>M5: grid power + DG + battery      </v>
          </cell>
          <cell r="EJ494">
            <v>0</v>
          </cell>
          <cell r="EK494">
            <v>42298</v>
          </cell>
          <cell r="EL494">
            <v>42147</v>
          </cell>
          <cell r="EM494">
            <v>42299</v>
          </cell>
          <cell r="EN494">
            <v>42150</v>
          </cell>
          <cell r="EQ494">
            <v>42308</v>
          </cell>
          <cell r="ER494">
            <v>42155</v>
          </cell>
          <cell r="ES494">
            <v>42159</v>
          </cell>
          <cell r="ET494">
            <v>42159</v>
          </cell>
          <cell r="EU494">
            <v>42159</v>
          </cell>
          <cell r="EW494">
            <v>0</v>
          </cell>
          <cell r="EX494">
            <v>42322</v>
          </cell>
          <cell r="EY494">
            <v>42172</v>
          </cell>
          <cell r="EZ494">
            <v>42318</v>
          </cell>
          <cell r="FA494">
            <v>42163</v>
          </cell>
          <cell r="FB494">
            <v>42320</v>
          </cell>
          <cell r="FC494">
            <v>42163</v>
          </cell>
          <cell r="FD494">
            <v>41931</v>
          </cell>
          <cell r="FE494">
            <v>42179</v>
          </cell>
          <cell r="FF494">
            <v>41938</v>
          </cell>
          <cell r="FH494">
            <v>41940</v>
          </cell>
          <cell r="FJ494">
            <v>41943</v>
          </cell>
          <cell r="FN494">
            <v>41947</v>
          </cell>
          <cell r="FP494">
            <v>41949</v>
          </cell>
          <cell r="FR494">
            <v>41963</v>
          </cell>
          <cell r="FU494">
            <v>42322</v>
          </cell>
          <cell r="FV494">
            <v>42172</v>
          </cell>
          <cell r="FW494">
            <v>42322</v>
          </cell>
          <cell r="FX494">
            <v>42165</v>
          </cell>
          <cell r="FY494" t="str">
            <v>CFVL</v>
          </cell>
          <cell r="FZ494">
            <v>42164</v>
          </cell>
          <cell r="GA494">
            <v>42166</v>
          </cell>
          <cell r="GB494">
            <v>42166</v>
          </cell>
          <cell r="GC494">
            <v>42166</v>
          </cell>
          <cell r="GD494">
            <v>42167</v>
          </cell>
          <cell r="GE494">
            <v>42167</v>
          </cell>
          <cell r="GF494">
            <v>42143</v>
          </cell>
          <cell r="GG494">
            <v>42169</v>
          </cell>
          <cell r="GH494">
            <v>42169</v>
          </cell>
          <cell r="GI494">
            <v>42030</v>
          </cell>
          <cell r="GJ494">
            <v>0</v>
          </cell>
          <cell r="GK494">
            <v>42169</v>
          </cell>
          <cell r="GN494" t="str">
            <v>ERICSSON</v>
          </cell>
          <cell r="HD494">
            <v>1</v>
          </cell>
        </row>
        <row r="495">
          <cell r="A495" t="str">
            <v>RA0171</v>
          </cell>
          <cell r="B495" t="str">
            <v>ACRK_0016</v>
          </cell>
          <cell r="C495" t="str">
            <v>Apollo</v>
          </cell>
          <cell r="D495" t="str">
            <v>Adriaan Coetsee</v>
          </cell>
          <cell r="F495" t="str">
            <v>Mya Kyauk Doe</v>
          </cell>
          <cell r="G495" t="str">
            <v>Si Thu Moe</v>
          </cell>
          <cell r="H495" t="str">
            <v>RED</v>
          </cell>
          <cell r="I495" t="str">
            <v>North</v>
          </cell>
          <cell r="J495" t="str">
            <v>93.1600199999999</v>
          </cell>
          <cell r="K495" t="str">
            <v>20.500463</v>
          </cell>
          <cell r="L495" t="str">
            <v>Rural</v>
          </cell>
          <cell r="M495" t="str">
            <v>Rakhine</v>
          </cell>
          <cell r="N495" t="str">
            <v>Mrauk-U</v>
          </cell>
          <cell r="O495" t="str">
            <v>Mrauk-U</v>
          </cell>
          <cell r="P495" t="str">
            <v>Rakhine</v>
          </cell>
          <cell r="Q495" t="str">
            <v>12</v>
          </cell>
          <cell r="R495" t="str">
            <v>Mrauk-U</v>
          </cell>
          <cell r="S495" t="str">
            <v>182</v>
          </cell>
          <cell r="T495" t="str">
            <v>GSM+UMTS</v>
          </cell>
          <cell r="W495" t="str">
            <v>Ph2-Priority</v>
          </cell>
          <cell r="X495" t="str">
            <v>45</v>
          </cell>
          <cell r="Y495" t="str">
            <v>47</v>
          </cell>
          <cell r="Z495" t="str">
            <v>GBT</v>
          </cell>
          <cell r="AA495" t="str">
            <v>500</v>
          </cell>
          <cell r="AB495" t="str">
            <v>Access</v>
          </cell>
          <cell r="AC495" t="str">
            <v>Class C</v>
          </cell>
          <cell r="BE495" t="str">
            <v>Kyauktaw-Kyaukpadaung</v>
          </cell>
          <cell r="BH495" t="str">
            <v>KTT</v>
          </cell>
          <cell r="BJ495">
            <v>42172</v>
          </cell>
          <cell r="BK495">
            <v>42167</v>
          </cell>
          <cell r="BL495">
            <v>42177</v>
          </cell>
          <cell r="BM495">
            <v>42174</v>
          </cell>
          <cell r="BT495">
            <v>17</v>
          </cell>
          <cell r="BU495">
            <v>42263</v>
          </cell>
          <cell r="BV495">
            <v>42184</v>
          </cell>
          <cell r="BW495" t="str">
            <v>93.15867</v>
          </cell>
          <cell r="BX495" t="str">
            <v>20.50912</v>
          </cell>
          <cell r="BY495" t="str">
            <v>C1</v>
          </cell>
          <cell r="BZ495" t="str">
            <v>Su Yet Chaung Village, Maruk-U Township, Rakhine State.</v>
          </cell>
          <cell r="CA495" t="str">
            <v>U Phyu Down</v>
          </cell>
          <cell r="CB495" t="str">
            <v>29 June 15 : C1- SAR submission with justification</v>
          </cell>
          <cell r="CC495" t="str">
            <v>Village</v>
          </cell>
          <cell r="CE495">
            <v>1</v>
          </cell>
          <cell r="CF495">
            <v>42264</v>
          </cell>
          <cell r="CG495">
            <v>42185</v>
          </cell>
          <cell r="CH495">
            <v>42266</v>
          </cell>
          <cell r="CJ495">
            <v>42203</v>
          </cell>
          <cell r="CK495" t="str">
            <v>45</v>
          </cell>
          <cell r="CL495" t="str">
            <v>47</v>
          </cell>
          <cell r="CM495" t="str">
            <v>50</v>
          </cell>
          <cell r="CN495">
            <v>20</v>
          </cell>
          <cell r="CO495">
            <v>42269</v>
          </cell>
          <cell r="CP495">
            <v>42205</v>
          </cell>
          <cell r="CQ495" t="str">
            <v>M4: solar + DG + battery</v>
          </cell>
          <cell r="CR495">
            <v>2</v>
          </cell>
          <cell r="CS495">
            <v>42270</v>
          </cell>
          <cell r="CT495">
            <v>42207</v>
          </cell>
          <cell r="CU495" t="str">
            <v>RA0171</v>
          </cell>
          <cell r="DH495">
            <v>26</v>
          </cell>
          <cell r="DI495">
            <v>42280</v>
          </cell>
          <cell r="DK495">
            <v>42277</v>
          </cell>
          <cell r="DL495">
            <v>42242</v>
          </cell>
          <cell r="DM495">
            <v>42281</v>
          </cell>
          <cell r="DO495">
            <v>0</v>
          </cell>
          <cell r="DP495">
            <v>42280</v>
          </cell>
          <cell r="DT495">
            <v>0</v>
          </cell>
          <cell r="DU495">
            <v>42295</v>
          </cell>
          <cell r="DW495">
            <v>0</v>
          </cell>
          <cell r="DY495">
            <v>42281</v>
          </cell>
          <cell r="EA495" t="str">
            <v>Leadcom</v>
          </cell>
          <cell r="ED495" t="str">
            <v xml:space="preserve">17Aug15 :SiThu.Moe: 4/8/15:Excavation is done. Nobody at site.
</v>
          </cell>
          <cell r="EJ495">
            <v>0</v>
          </cell>
          <cell r="EK495">
            <v>42298</v>
          </cell>
          <cell r="EM495">
            <v>42299</v>
          </cell>
          <cell r="EQ495">
            <v>42308</v>
          </cell>
          <cell r="EW495">
            <v>0</v>
          </cell>
          <cell r="EX495">
            <v>42322</v>
          </cell>
          <cell r="EZ495">
            <v>42318</v>
          </cell>
          <cell r="FB495">
            <v>42320</v>
          </cell>
          <cell r="FU495">
            <v>42322</v>
          </cell>
          <cell r="FW495">
            <v>42322</v>
          </cell>
          <cell r="GI495">
            <v>42000</v>
          </cell>
          <cell r="GJ495">
            <v>0</v>
          </cell>
          <cell r="GN495" t="str">
            <v>ERICSSON</v>
          </cell>
          <cell r="HD495">
            <v>1</v>
          </cell>
        </row>
        <row r="496">
          <cell r="A496" t="str">
            <v>RA0193</v>
          </cell>
          <cell r="B496" t="str">
            <v>ACRK_0017</v>
          </cell>
          <cell r="C496" t="str">
            <v>Apollo</v>
          </cell>
          <cell r="D496" t="str">
            <v>Chris Thomson</v>
          </cell>
          <cell r="F496" t="str">
            <v>Mya Kyauk Doe</v>
          </cell>
          <cell r="G496" t="str">
            <v>Si Thu Moe</v>
          </cell>
          <cell r="H496" t="str">
            <v>RED</v>
          </cell>
          <cell r="I496" t="str">
            <v>North</v>
          </cell>
          <cell r="J496" t="str">
            <v>94.570068997176</v>
          </cell>
          <cell r="K496" t="str">
            <v>17.592149534517</v>
          </cell>
          <cell r="L496" t="str">
            <v>Suburban</v>
          </cell>
          <cell r="M496" t="str">
            <v>Rakhine</v>
          </cell>
          <cell r="N496" t="str">
            <v>Gwa</v>
          </cell>
          <cell r="O496" t="str">
            <v>Gwa</v>
          </cell>
          <cell r="P496" t="str">
            <v>Rakhine</v>
          </cell>
          <cell r="Q496" t="str">
            <v>12</v>
          </cell>
          <cell r="R496" t="str">
            <v>Gwa</v>
          </cell>
          <cell r="S496" t="str">
            <v>196</v>
          </cell>
          <cell r="T496" t="str">
            <v>GSM+UMTS</v>
          </cell>
          <cell r="W496" t="str">
            <v>Ph2-Priority</v>
          </cell>
          <cell r="X496" t="str">
            <v>35</v>
          </cell>
          <cell r="Y496" t="str">
            <v>37</v>
          </cell>
          <cell r="Z496" t="str">
            <v>GBT</v>
          </cell>
          <cell r="AA496" t="str">
            <v>250</v>
          </cell>
          <cell r="AB496" t="str">
            <v>Access</v>
          </cell>
          <cell r="AC496" t="str">
            <v>Class B</v>
          </cell>
          <cell r="BE496" t="str">
            <v>Route 8 Mandalay - Magwe</v>
          </cell>
          <cell r="BH496" t="str">
            <v>Leadcom</v>
          </cell>
          <cell r="BJ496">
            <v>42163</v>
          </cell>
          <cell r="BK496">
            <v>42167</v>
          </cell>
          <cell r="BL496">
            <v>42168</v>
          </cell>
          <cell r="BM496">
            <v>42174</v>
          </cell>
          <cell r="BT496">
            <v>51</v>
          </cell>
          <cell r="BU496">
            <v>42256</v>
          </cell>
          <cell r="BV496">
            <v>42218</v>
          </cell>
          <cell r="BW496" t="str">
            <v>94.57032</v>
          </cell>
          <cell r="BX496" t="str">
            <v>17.59191</v>
          </cell>
          <cell r="BY496" t="str">
            <v>C1</v>
          </cell>
          <cell r="BZ496" t="str">
            <v>No(1037) Shwe Pauk Pin Quarter, Pauk Town, Pakkoku Township.</v>
          </cell>
          <cell r="CA496" t="str">
            <v>Daw Saw Thandar Htway;Shwe Pauk Pin Quarter, Pauk Town, Pakkoku Township, Magway Division;09-793346167</v>
          </cell>
          <cell r="CB496" t="str">
            <v>02 Aug 15 : C1 SAR sub</v>
          </cell>
          <cell r="CE496">
            <v>2</v>
          </cell>
          <cell r="CF496">
            <v>42257</v>
          </cell>
          <cell r="CG496">
            <v>42220</v>
          </cell>
          <cell r="CH496">
            <v>42259</v>
          </cell>
          <cell r="CJ496">
            <v>42158</v>
          </cell>
          <cell r="CK496" t="str">
            <v>25</v>
          </cell>
          <cell r="CL496" t="str">
            <v>25</v>
          </cell>
          <cell r="CM496" t="str">
            <v>25.6</v>
          </cell>
          <cell r="CN496">
            <v>13</v>
          </cell>
          <cell r="CO496">
            <v>42262</v>
          </cell>
          <cell r="CP496">
            <v>42160</v>
          </cell>
          <cell r="CQ496" t="str">
            <v>M1: grid power + battery</v>
          </cell>
          <cell r="CR496">
            <v>0</v>
          </cell>
          <cell r="CS496">
            <v>42263</v>
          </cell>
          <cell r="CT496">
            <v>42165</v>
          </cell>
          <cell r="CU496" t="str">
            <v>RA0193</v>
          </cell>
          <cell r="DH496">
            <v>0</v>
          </cell>
          <cell r="DI496">
            <v>42273</v>
          </cell>
          <cell r="DJ496">
            <v>42202</v>
          </cell>
          <cell r="DK496">
            <v>42270</v>
          </cell>
          <cell r="DL496">
            <v>42172</v>
          </cell>
          <cell r="DM496">
            <v>42274</v>
          </cell>
          <cell r="DN496">
            <v>42177</v>
          </cell>
          <cell r="DO496">
            <v>0</v>
          </cell>
          <cell r="DP496">
            <v>42273</v>
          </cell>
          <cell r="DQ496">
            <v>42201</v>
          </cell>
          <cell r="DT496">
            <v>0</v>
          </cell>
          <cell r="DU496">
            <v>42288</v>
          </cell>
          <cell r="DW496">
            <v>0</v>
          </cell>
          <cell r="DY496">
            <v>42274</v>
          </cell>
          <cell r="DZ496">
            <v>42177</v>
          </cell>
          <cell r="EA496" t="str">
            <v>Leadcom</v>
          </cell>
          <cell r="EI496" t="str">
            <v>M5: grid power + DG + battery      </v>
          </cell>
          <cell r="EJ496">
            <v>0</v>
          </cell>
          <cell r="EK496">
            <v>42289</v>
          </cell>
          <cell r="EL496">
            <v>42193</v>
          </cell>
          <cell r="EM496">
            <v>42290</v>
          </cell>
          <cell r="EN496">
            <v>42186</v>
          </cell>
          <cell r="EQ496">
            <v>42297</v>
          </cell>
          <cell r="ER496">
            <v>42198</v>
          </cell>
          <cell r="ES496">
            <v>42198</v>
          </cell>
          <cell r="ET496">
            <v>42198</v>
          </cell>
          <cell r="EU496">
            <v>42198</v>
          </cell>
          <cell r="EW496">
            <v>0</v>
          </cell>
          <cell r="EX496">
            <v>42311</v>
          </cell>
          <cell r="EZ496">
            <v>42307</v>
          </cell>
          <cell r="FA496">
            <v>42201</v>
          </cell>
          <cell r="FB496">
            <v>42309</v>
          </cell>
          <cell r="FC496">
            <v>42203</v>
          </cell>
          <cell r="FU496">
            <v>42311</v>
          </cell>
          <cell r="FV496">
            <v>42210</v>
          </cell>
          <cell r="FW496">
            <v>42311</v>
          </cell>
          <cell r="FX496">
            <v>42203</v>
          </cell>
          <cell r="FY496" t="str">
            <v>CFVL</v>
          </cell>
          <cell r="FZ496">
            <v>42205</v>
          </cell>
          <cell r="GA496">
            <v>42209</v>
          </cell>
          <cell r="GB496">
            <v>42211</v>
          </cell>
          <cell r="GC496">
            <v>42217</v>
          </cell>
          <cell r="GD496">
            <v>42217</v>
          </cell>
          <cell r="GE496">
            <v>42219</v>
          </cell>
          <cell r="GG496">
            <v>42219</v>
          </cell>
          <cell r="GH496">
            <v>42219</v>
          </cell>
          <cell r="GI496">
            <v>42034</v>
          </cell>
          <cell r="GJ496">
            <v>0</v>
          </cell>
          <cell r="GK496">
            <v>42219</v>
          </cell>
          <cell r="GN496" t="str">
            <v>ERICSSON</v>
          </cell>
          <cell r="HD496">
            <v>1</v>
          </cell>
        </row>
        <row r="497">
          <cell r="A497" t="str">
            <v>RA0195</v>
          </cell>
          <cell r="B497" t="str">
            <v>ACRK_0018</v>
          </cell>
          <cell r="C497" t="str">
            <v>Apollo</v>
          </cell>
          <cell r="D497" t="str">
            <v>Chris Thomson</v>
          </cell>
          <cell r="F497" t="str">
            <v>Mya Kyauk Doe</v>
          </cell>
          <cell r="G497" t="str">
            <v>Si Thu Moe</v>
          </cell>
          <cell r="H497" t="str">
            <v>RED</v>
          </cell>
          <cell r="I497" t="str">
            <v>North</v>
          </cell>
          <cell r="J497" t="str">
            <v>93.7348831017383</v>
          </cell>
          <cell r="K497" t="str">
            <v>19.2177564135161</v>
          </cell>
          <cell r="L497" t="str">
            <v>Rural</v>
          </cell>
          <cell r="M497" t="str">
            <v>Rakhine</v>
          </cell>
          <cell r="N497" t="str">
            <v>Kyaukpyu</v>
          </cell>
          <cell r="O497" t="str">
            <v>Kyaukpyu</v>
          </cell>
          <cell r="P497" t="str">
            <v>Rakhine</v>
          </cell>
          <cell r="Q497" t="str">
            <v>12</v>
          </cell>
          <cell r="R497" t="str">
            <v>Kyaukpyu</v>
          </cell>
          <cell r="S497" t="str">
            <v>190</v>
          </cell>
          <cell r="T497" t="str">
            <v>GSM+UMTS</v>
          </cell>
          <cell r="W497" t="str">
            <v>Ph2-Priority</v>
          </cell>
          <cell r="X497" t="str">
            <v>45</v>
          </cell>
          <cell r="Y497" t="str">
            <v>47</v>
          </cell>
          <cell r="Z497" t="str">
            <v>GBT</v>
          </cell>
          <cell r="AA497" t="str">
            <v>500</v>
          </cell>
          <cell r="AB497" t="str">
            <v>Access</v>
          </cell>
          <cell r="AC497" t="str">
            <v>Class C</v>
          </cell>
          <cell r="BE497" t="str">
            <v>Kyauktaw-Kyaukpadaung</v>
          </cell>
          <cell r="BH497" t="str">
            <v>Leadcom</v>
          </cell>
          <cell r="BJ497">
            <v>42163</v>
          </cell>
          <cell r="BK497">
            <v>42167</v>
          </cell>
          <cell r="BL497">
            <v>42168</v>
          </cell>
          <cell r="BM497">
            <v>42174</v>
          </cell>
          <cell r="BT497">
            <v>66</v>
          </cell>
          <cell r="BU497">
            <v>42263</v>
          </cell>
          <cell r="BV497">
            <v>42242</v>
          </cell>
          <cell r="BW497" t="str">
            <v>93.73151</v>
          </cell>
          <cell r="BX497" t="str">
            <v>19.21818</v>
          </cell>
          <cell r="BY497" t="str">
            <v>C3</v>
          </cell>
          <cell r="BZ497" t="str">
            <v>Myin Kawa Village,Seik Phyu Township,Magway Division.</v>
          </cell>
          <cell r="CA497" t="str">
            <v>U HLA OO;Myin Ka Wa Village, Seik Phyu Township, Magway Division;09-5232997</v>
          </cell>
          <cell r="CB497" t="str">
            <v>26 Aug 15: C3 SAR sub</v>
          </cell>
          <cell r="CC497" t="str">
            <v>Village Land</v>
          </cell>
          <cell r="CE497">
            <v>0</v>
          </cell>
          <cell r="CF497">
            <v>42264</v>
          </cell>
          <cell r="CG497">
            <v>42244</v>
          </cell>
          <cell r="CH497">
            <v>42266</v>
          </cell>
          <cell r="CJ497">
            <v>42169</v>
          </cell>
          <cell r="CK497" t="str">
            <v>45</v>
          </cell>
          <cell r="CL497" t="str">
            <v>47</v>
          </cell>
          <cell r="CM497" t="str">
            <v>50</v>
          </cell>
          <cell r="CN497">
            <v>0</v>
          </cell>
          <cell r="CO497">
            <v>42269</v>
          </cell>
          <cell r="CP497">
            <v>42171</v>
          </cell>
          <cell r="CQ497" t="str">
            <v>M4: solar + DG + battery</v>
          </cell>
          <cell r="CR497">
            <v>0</v>
          </cell>
          <cell r="CS497">
            <v>42270</v>
          </cell>
          <cell r="CT497">
            <v>42172</v>
          </cell>
          <cell r="CU497" t="str">
            <v>RA0195</v>
          </cell>
          <cell r="DH497">
            <v>0</v>
          </cell>
          <cell r="DI497">
            <v>42280</v>
          </cell>
          <cell r="DJ497">
            <v>42194</v>
          </cell>
          <cell r="DK497">
            <v>42277</v>
          </cell>
          <cell r="DL497">
            <v>42175</v>
          </cell>
          <cell r="DM497">
            <v>42281</v>
          </cell>
          <cell r="DN497">
            <v>42191</v>
          </cell>
          <cell r="DO497">
            <v>0</v>
          </cell>
          <cell r="DP497">
            <v>42280</v>
          </cell>
          <cell r="DQ497">
            <v>42194</v>
          </cell>
          <cell r="DT497">
            <v>0</v>
          </cell>
          <cell r="DU497">
            <v>42295</v>
          </cell>
          <cell r="DW497">
            <v>0</v>
          </cell>
          <cell r="DY497">
            <v>42281</v>
          </cell>
          <cell r="DZ497">
            <v>42191</v>
          </cell>
          <cell r="EA497" t="str">
            <v>Leadcom</v>
          </cell>
          <cell r="ED497" t="str">
            <v xml:space="preserve">17Aug15 :SiThu.Moe: 4/8/15:Excavation is ongoing. Tower materials are not at site. They not wear PPE and have not Emergency Contacts No.
</v>
          </cell>
          <cell r="EE497" t="str">
            <v xml:space="preserve">10 Aug 15:Rain affected_Progress affected; 3-Aug-15: Rain affected_ Site is progressing but rain is affecting the work every day. Excavation IP								</v>
          </cell>
          <cell r="EJ497">
            <v>0</v>
          </cell>
          <cell r="EK497">
            <v>42298</v>
          </cell>
          <cell r="EM497">
            <v>42299</v>
          </cell>
          <cell r="EQ497">
            <v>42308</v>
          </cell>
          <cell r="EW497">
            <v>0</v>
          </cell>
          <cell r="EX497">
            <v>42322</v>
          </cell>
          <cell r="EZ497">
            <v>42318</v>
          </cell>
          <cell r="FB497">
            <v>42320</v>
          </cell>
          <cell r="FU497">
            <v>42322</v>
          </cell>
          <cell r="FW497">
            <v>42322</v>
          </cell>
          <cell r="GI497">
            <v>42033</v>
          </cell>
          <cell r="GJ497">
            <v>0</v>
          </cell>
          <cell r="GN497" t="str">
            <v>ERICSSON</v>
          </cell>
          <cell r="HD497">
            <v>1</v>
          </cell>
        </row>
        <row r="498">
          <cell r="A498" t="str">
            <v>RA0216</v>
          </cell>
          <cell r="B498" t="str">
            <v>ACRK_0019</v>
          </cell>
          <cell r="C498" t="str">
            <v>Apollo</v>
          </cell>
          <cell r="D498" t="str">
            <v>Adriaan Coetsee</v>
          </cell>
          <cell r="F498" t="str">
            <v>Mya Kyauk Doe</v>
          </cell>
          <cell r="G498" t="str">
            <v>Si Thu Moe</v>
          </cell>
          <cell r="H498" t="str">
            <v>RED</v>
          </cell>
          <cell r="I498" t="str">
            <v>North</v>
          </cell>
          <cell r="J498" t="str">
            <v>93.0747523578389</v>
          </cell>
          <cell r="K498" t="str">
            <v>20.8318471359763</v>
          </cell>
          <cell r="L498" t="str">
            <v>Rural</v>
          </cell>
          <cell r="M498" t="str">
            <v>Rakhine</v>
          </cell>
          <cell r="N498" t="str">
            <v>Mrauk-U</v>
          </cell>
          <cell r="O498" t="str">
            <v>Mrauk-U</v>
          </cell>
          <cell r="P498" t="str">
            <v>Rakhine</v>
          </cell>
          <cell r="Q498" t="str">
            <v>12</v>
          </cell>
          <cell r="R498" t="str">
            <v>Mrauk-U</v>
          </cell>
          <cell r="S498" t="str">
            <v>182</v>
          </cell>
          <cell r="T498" t="str">
            <v>GSM+UMTS</v>
          </cell>
          <cell r="W498" t="str">
            <v>Ph2-Priority</v>
          </cell>
          <cell r="X498" t="str">
            <v>45</v>
          </cell>
          <cell r="Y498" t="str">
            <v>47</v>
          </cell>
          <cell r="Z498" t="str">
            <v>GBT</v>
          </cell>
          <cell r="AA498" t="str">
            <v>500</v>
          </cell>
          <cell r="AB498" t="str">
            <v>Access</v>
          </cell>
          <cell r="AC498" t="str">
            <v>Class C</v>
          </cell>
          <cell r="BH498" t="str">
            <v>KTT</v>
          </cell>
          <cell r="BJ498">
            <v>42172</v>
          </cell>
          <cell r="BK498">
            <v>42167</v>
          </cell>
          <cell r="BL498">
            <v>42177</v>
          </cell>
          <cell r="BM498">
            <v>42174</v>
          </cell>
          <cell r="BT498">
            <v>14</v>
          </cell>
          <cell r="BU498">
            <v>42263</v>
          </cell>
          <cell r="BV498">
            <v>42181</v>
          </cell>
          <cell r="BW498" t="str">
            <v>93.07223</v>
          </cell>
          <cell r="BX498" t="str">
            <v>20.82956</v>
          </cell>
          <cell r="BY498" t="str">
            <v>C1</v>
          </cell>
          <cell r="BZ498" t="str">
            <v>Mar Ti Taung Ywar Thit Village, Maruk-U Township, Rakhine State.</v>
          </cell>
          <cell r="CA498" t="str">
            <v>U Tun Aung Kyaw</v>
          </cell>
          <cell r="CB498" t="str">
            <v>18Jun15: C1 SAR Sub</v>
          </cell>
          <cell r="CC498" t="str">
            <v>Village</v>
          </cell>
          <cell r="CE498">
            <v>6</v>
          </cell>
          <cell r="CF498">
            <v>42264</v>
          </cell>
          <cell r="CG498">
            <v>42187</v>
          </cell>
          <cell r="CH498">
            <v>42266</v>
          </cell>
          <cell r="CJ498">
            <v>42203</v>
          </cell>
          <cell r="CK498" t="str">
            <v>45</v>
          </cell>
          <cell r="CL498" t="str">
            <v>47</v>
          </cell>
          <cell r="CM498" t="str">
            <v>50</v>
          </cell>
          <cell r="CN498">
            <v>18</v>
          </cell>
          <cell r="CO498">
            <v>42269</v>
          </cell>
          <cell r="CP498">
            <v>42205</v>
          </cell>
          <cell r="CQ498" t="str">
            <v>M4: solar + DG + battery</v>
          </cell>
          <cell r="CR498">
            <v>2</v>
          </cell>
          <cell r="CS498">
            <v>42270</v>
          </cell>
          <cell r="CT498">
            <v>42207</v>
          </cell>
          <cell r="CU498" t="str">
            <v>RA0216</v>
          </cell>
          <cell r="DH498">
            <v>26</v>
          </cell>
          <cell r="DI498">
            <v>42280</v>
          </cell>
          <cell r="DJ498">
            <v>42217</v>
          </cell>
          <cell r="DK498">
            <v>42277</v>
          </cell>
          <cell r="DL498">
            <v>42242</v>
          </cell>
          <cell r="DM498">
            <v>42281</v>
          </cell>
          <cell r="DN498">
            <v>42198</v>
          </cell>
          <cell r="DO498">
            <v>0</v>
          </cell>
          <cell r="DP498">
            <v>42280</v>
          </cell>
          <cell r="DQ498">
            <v>42217</v>
          </cell>
          <cell r="DT498">
            <v>0</v>
          </cell>
          <cell r="DU498">
            <v>42295</v>
          </cell>
          <cell r="DW498">
            <v>0</v>
          </cell>
          <cell r="DY498">
            <v>42281</v>
          </cell>
          <cell r="DZ498">
            <v>42214</v>
          </cell>
          <cell r="EA498" t="str">
            <v>Leadcom</v>
          </cell>
          <cell r="EE498" t="str">
            <v xml:space="preserve">10 Aug 15:Rain affected_Progress affected; 3-Aug-15: Rain affected_ Site is progressing but rain is affecting the work every day. Excavation to start								</v>
          </cell>
          <cell r="EJ498">
            <v>0</v>
          </cell>
          <cell r="EK498">
            <v>42298</v>
          </cell>
          <cell r="EM498">
            <v>42299</v>
          </cell>
          <cell r="EQ498">
            <v>42308</v>
          </cell>
          <cell r="EW498">
            <v>0</v>
          </cell>
          <cell r="EX498">
            <v>42322</v>
          </cell>
          <cell r="EZ498">
            <v>42318</v>
          </cell>
          <cell r="FB498">
            <v>42320</v>
          </cell>
          <cell r="FU498">
            <v>42322</v>
          </cell>
          <cell r="FW498">
            <v>42322</v>
          </cell>
          <cell r="GI498">
            <v>41981</v>
          </cell>
          <cell r="GJ498">
            <v>0</v>
          </cell>
          <cell r="GN498" t="str">
            <v>ERICSSON</v>
          </cell>
          <cell r="HD498">
            <v>1</v>
          </cell>
        </row>
        <row r="499">
          <cell r="A499" t="str">
            <v>RA0237</v>
          </cell>
          <cell r="B499" t="str">
            <v>ACRK_0020</v>
          </cell>
          <cell r="C499" t="str">
            <v>Apollo</v>
          </cell>
          <cell r="D499" t="str">
            <v>Adriaan Coetsee</v>
          </cell>
          <cell r="F499" t="str">
            <v>Mya Kyauk Doe</v>
          </cell>
          <cell r="G499" t="str">
            <v>Si Thu Moe</v>
          </cell>
          <cell r="H499" t="str">
            <v>RED</v>
          </cell>
          <cell r="I499" t="str">
            <v>North</v>
          </cell>
          <cell r="J499" t="str">
            <v>93.157676</v>
          </cell>
          <cell r="K499" t="str">
            <v>20.653301</v>
          </cell>
          <cell r="L499" t="str">
            <v>Rural</v>
          </cell>
          <cell r="M499" t="str">
            <v>Rakhine</v>
          </cell>
          <cell r="N499" t="str">
            <v>Mrauk-U</v>
          </cell>
          <cell r="O499" t="str">
            <v>Mrauk-U</v>
          </cell>
          <cell r="P499" t="str">
            <v>Rakhine</v>
          </cell>
          <cell r="Q499" t="str">
            <v>12</v>
          </cell>
          <cell r="R499" t="str">
            <v>Mrauk-U</v>
          </cell>
          <cell r="S499" t="str">
            <v>182</v>
          </cell>
          <cell r="T499" t="str">
            <v>GSM+UMTS</v>
          </cell>
          <cell r="W499" t="str">
            <v>Ph2-Priority</v>
          </cell>
          <cell r="X499" t="str">
            <v>45</v>
          </cell>
          <cell r="Y499" t="str">
            <v>47</v>
          </cell>
          <cell r="Z499" t="str">
            <v>GBT</v>
          </cell>
          <cell r="AA499" t="str">
            <v>500</v>
          </cell>
          <cell r="AB499" t="str">
            <v>Access</v>
          </cell>
          <cell r="AC499" t="str">
            <v>Class C</v>
          </cell>
          <cell r="BE499" t="str">
            <v>Ann - Gwa</v>
          </cell>
          <cell r="BH499" t="str">
            <v>KTT</v>
          </cell>
          <cell r="BJ499">
            <v>42172</v>
          </cell>
          <cell r="BK499">
            <v>42167</v>
          </cell>
          <cell r="BL499">
            <v>42177</v>
          </cell>
          <cell r="BM499">
            <v>42174</v>
          </cell>
          <cell r="BT499">
            <v>13</v>
          </cell>
          <cell r="BU499">
            <v>42263</v>
          </cell>
          <cell r="BV499">
            <v>42180</v>
          </cell>
          <cell r="BW499" t="str">
            <v>93.15786</v>
          </cell>
          <cell r="BX499" t="str">
            <v>20.65655</v>
          </cell>
          <cell r="BY499" t="str">
            <v>C1</v>
          </cell>
          <cell r="BZ499" t="str">
            <v>Paut Taw Ryin Village, Maruk-U Township, Rakhine State.</v>
          </cell>
          <cell r="CA499" t="str">
            <v>U Kyaw Win (Delegate)</v>
          </cell>
          <cell r="CC499" t="str">
            <v>Village</v>
          </cell>
          <cell r="CE499">
            <v>1</v>
          </cell>
          <cell r="CF499">
            <v>42264</v>
          </cell>
          <cell r="CG499">
            <v>42181</v>
          </cell>
          <cell r="CH499">
            <v>42266</v>
          </cell>
          <cell r="CJ499">
            <v>42203</v>
          </cell>
          <cell r="CK499" t="str">
            <v>45</v>
          </cell>
          <cell r="CL499" t="str">
            <v>47</v>
          </cell>
          <cell r="CM499" t="str">
            <v>50</v>
          </cell>
          <cell r="CN499">
            <v>24</v>
          </cell>
          <cell r="CO499">
            <v>42269</v>
          </cell>
          <cell r="CP499">
            <v>42205</v>
          </cell>
          <cell r="CQ499" t="str">
            <v>M4: solar + DG + battery</v>
          </cell>
          <cell r="CR499">
            <v>1</v>
          </cell>
          <cell r="CS499">
            <v>42270</v>
          </cell>
          <cell r="CT499">
            <v>42206</v>
          </cell>
          <cell r="CU499" t="str">
            <v>RA0237</v>
          </cell>
          <cell r="DH499">
            <v>27</v>
          </cell>
          <cell r="DI499">
            <v>42280</v>
          </cell>
          <cell r="DK499">
            <v>42277</v>
          </cell>
          <cell r="DL499">
            <v>42242</v>
          </cell>
          <cell r="DM499">
            <v>42281</v>
          </cell>
          <cell r="DO499">
            <v>0</v>
          </cell>
          <cell r="DP499">
            <v>42280</v>
          </cell>
          <cell r="DT499">
            <v>0</v>
          </cell>
          <cell r="DU499">
            <v>42295</v>
          </cell>
          <cell r="DW499">
            <v>0</v>
          </cell>
          <cell r="DY499">
            <v>42281</v>
          </cell>
          <cell r="EA499" t="str">
            <v>Leadcom</v>
          </cell>
          <cell r="EJ499">
            <v>0</v>
          </cell>
          <cell r="EK499">
            <v>42298</v>
          </cell>
          <cell r="EM499">
            <v>42299</v>
          </cell>
          <cell r="EQ499">
            <v>42308</v>
          </cell>
          <cell r="EW499">
            <v>0</v>
          </cell>
          <cell r="EX499">
            <v>42322</v>
          </cell>
          <cell r="EZ499">
            <v>42318</v>
          </cell>
          <cell r="FB499">
            <v>42320</v>
          </cell>
          <cell r="FU499">
            <v>42322</v>
          </cell>
          <cell r="FW499">
            <v>42322</v>
          </cell>
          <cell r="GI499">
            <v>42027</v>
          </cell>
          <cell r="GJ499">
            <v>0</v>
          </cell>
          <cell r="GN499" t="str">
            <v>ERICSSON</v>
          </cell>
          <cell r="HD499">
            <v>1</v>
          </cell>
        </row>
        <row r="500">
          <cell r="A500" t="str">
            <v>RA0239</v>
          </cell>
          <cell r="B500" t="str">
            <v>ACRK_0021</v>
          </cell>
          <cell r="C500" t="str">
            <v>Apollo</v>
          </cell>
          <cell r="D500" t="str">
            <v>Adriaan Coetsee</v>
          </cell>
          <cell r="F500" t="str">
            <v>Mya Kyauk Doe</v>
          </cell>
          <cell r="G500" t="str">
            <v>Si Thu Moe</v>
          </cell>
          <cell r="H500" t="str">
            <v>RED</v>
          </cell>
          <cell r="I500" t="str">
            <v>North</v>
          </cell>
          <cell r="J500" t="str">
            <v>93.1147197680935</v>
          </cell>
          <cell r="K500" t="str">
            <v>20.7118159520723</v>
          </cell>
          <cell r="L500" t="str">
            <v>Rural</v>
          </cell>
          <cell r="M500" t="str">
            <v>Rakhine</v>
          </cell>
          <cell r="N500" t="str">
            <v>Mrauk-U</v>
          </cell>
          <cell r="O500" t="str">
            <v>Mrauk-U</v>
          </cell>
          <cell r="P500" t="str">
            <v>Rakhine</v>
          </cell>
          <cell r="Q500" t="str">
            <v>12</v>
          </cell>
          <cell r="R500" t="str">
            <v>Mrauk-U</v>
          </cell>
          <cell r="S500" t="str">
            <v>182</v>
          </cell>
          <cell r="T500" t="str">
            <v>GSM+UMTS</v>
          </cell>
          <cell r="W500" t="str">
            <v>Ph2-Priority</v>
          </cell>
          <cell r="X500" t="str">
            <v>45</v>
          </cell>
          <cell r="Y500" t="str">
            <v>47</v>
          </cell>
          <cell r="Z500" t="str">
            <v>GBT</v>
          </cell>
          <cell r="AA500" t="str">
            <v>500</v>
          </cell>
          <cell r="AB500" t="str">
            <v>Access</v>
          </cell>
          <cell r="AC500" t="str">
            <v>Class C</v>
          </cell>
          <cell r="BH500" t="str">
            <v>KTT</v>
          </cell>
          <cell r="BJ500">
            <v>42172</v>
          </cell>
          <cell r="BK500">
            <v>42167</v>
          </cell>
          <cell r="BL500">
            <v>42177</v>
          </cell>
          <cell r="BM500">
            <v>42174</v>
          </cell>
          <cell r="BT500">
            <v>14</v>
          </cell>
          <cell r="BU500">
            <v>42263</v>
          </cell>
          <cell r="BV500">
            <v>42181</v>
          </cell>
          <cell r="BW500" t="str">
            <v>93.11623</v>
          </cell>
          <cell r="BX500" t="str">
            <v>20.71245</v>
          </cell>
          <cell r="BY500" t="str">
            <v>C1</v>
          </cell>
          <cell r="BZ500" t="str">
            <v>Tain Nyo Ywar Thit Village, Maruk-U Township, Rakhine State.</v>
          </cell>
          <cell r="CA500" t="str">
            <v>U Aung Kyaw Mya</v>
          </cell>
          <cell r="CC500" t="str">
            <v>Village</v>
          </cell>
          <cell r="CE500">
            <v>6</v>
          </cell>
          <cell r="CF500">
            <v>42264</v>
          </cell>
          <cell r="CG500">
            <v>42187</v>
          </cell>
          <cell r="CH500">
            <v>42266</v>
          </cell>
          <cell r="CJ500">
            <v>42203</v>
          </cell>
          <cell r="CK500" t="str">
            <v>45</v>
          </cell>
          <cell r="CL500" t="str">
            <v>47</v>
          </cell>
          <cell r="CM500" t="str">
            <v>50</v>
          </cell>
          <cell r="CN500">
            <v>18</v>
          </cell>
          <cell r="CO500">
            <v>42269</v>
          </cell>
          <cell r="CP500">
            <v>42205</v>
          </cell>
          <cell r="CQ500" t="str">
            <v>M4: solar + DG + battery</v>
          </cell>
          <cell r="CR500">
            <v>1</v>
          </cell>
          <cell r="CS500">
            <v>42270</v>
          </cell>
          <cell r="CT500">
            <v>42206</v>
          </cell>
          <cell r="CU500" t="str">
            <v>RA0239</v>
          </cell>
          <cell r="DH500">
            <v>27</v>
          </cell>
          <cell r="DI500">
            <v>42280</v>
          </cell>
          <cell r="DK500">
            <v>42277</v>
          </cell>
          <cell r="DL500">
            <v>42203</v>
          </cell>
          <cell r="DM500">
            <v>42281</v>
          </cell>
          <cell r="DO500">
            <v>0</v>
          </cell>
          <cell r="DP500">
            <v>42280</v>
          </cell>
          <cell r="DT500">
            <v>0</v>
          </cell>
          <cell r="DU500">
            <v>42295</v>
          </cell>
          <cell r="DW500">
            <v>0</v>
          </cell>
          <cell r="DY500">
            <v>42281</v>
          </cell>
          <cell r="EA500" t="str">
            <v>Leadcom</v>
          </cell>
          <cell r="EJ500">
            <v>0</v>
          </cell>
          <cell r="EK500">
            <v>42298</v>
          </cell>
          <cell r="EM500">
            <v>42299</v>
          </cell>
          <cell r="EQ500">
            <v>42308</v>
          </cell>
          <cell r="EW500">
            <v>0</v>
          </cell>
          <cell r="EX500">
            <v>42322</v>
          </cell>
          <cell r="EZ500">
            <v>42318</v>
          </cell>
          <cell r="FB500">
            <v>42320</v>
          </cell>
          <cell r="FU500">
            <v>42322</v>
          </cell>
          <cell r="FW500">
            <v>42322</v>
          </cell>
          <cell r="GI500">
            <v>42000</v>
          </cell>
          <cell r="GJ500">
            <v>0</v>
          </cell>
          <cell r="GN500" t="str">
            <v>ERICSSON</v>
          </cell>
          <cell r="HD500">
            <v>1</v>
          </cell>
        </row>
        <row r="501">
          <cell r="A501" t="str">
            <v>RA0240</v>
          </cell>
          <cell r="B501" t="str">
            <v>ACRK_0022</v>
          </cell>
          <cell r="C501" t="str">
            <v>Apollo</v>
          </cell>
          <cell r="D501" t="str">
            <v>Adriaan Coetsee</v>
          </cell>
          <cell r="F501" t="str">
            <v>Mya Kyauk Doe</v>
          </cell>
          <cell r="G501" t="str">
            <v>Si Thu Moe</v>
          </cell>
          <cell r="H501" t="str">
            <v>RED</v>
          </cell>
          <cell r="I501" t="str">
            <v>North</v>
          </cell>
          <cell r="J501" t="str">
            <v>93.0924174600998</v>
          </cell>
          <cell r="K501" t="str">
            <v>20.7739795489292</v>
          </cell>
          <cell r="L501" t="str">
            <v>Rural</v>
          </cell>
          <cell r="M501" t="str">
            <v>Rakhine</v>
          </cell>
          <cell r="N501" t="str">
            <v>Mrauk-U</v>
          </cell>
          <cell r="O501" t="str">
            <v>Mrauk-U</v>
          </cell>
          <cell r="P501" t="str">
            <v>Rakhine</v>
          </cell>
          <cell r="Q501" t="str">
            <v>12</v>
          </cell>
          <cell r="R501" t="str">
            <v>Mrauk-U</v>
          </cell>
          <cell r="S501" t="str">
            <v>182</v>
          </cell>
          <cell r="T501" t="str">
            <v>GSM+UMTS</v>
          </cell>
          <cell r="W501" t="str">
            <v>Ph2-Priority</v>
          </cell>
          <cell r="X501" t="str">
            <v>45</v>
          </cell>
          <cell r="Y501" t="str">
            <v>47</v>
          </cell>
          <cell r="Z501" t="str">
            <v>GBT</v>
          </cell>
          <cell r="AA501" t="str">
            <v>500</v>
          </cell>
          <cell r="AB501" t="str">
            <v>Access</v>
          </cell>
          <cell r="AC501" t="str">
            <v>Class C</v>
          </cell>
          <cell r="BH501" t="str">
            <v>KTT</v>
          </cell>
          <cell r="BJ501">
            <v>42172</v>
          </cell>
          <cell r="BK501">
            <v>42167</v>
          </cell>
          <cell r="BL501">
            <v>42177</v>
          </cell>
          <cell r="BM501">
            <v>42174</v>
          </cell>
          <cell r="BT501">
            <v>16</v>
          </cell>
          <cell r="BU501">
            <v>42219</v>
          </cell>
          <cell r="BV501">
            <v>42183</v>
          </cell>
          <cell r="BW501" t="str">
            <v>93.09517</v>
          </cell>
          <cell r="BX501" t="str">
            <v>20.77306</v>
          </cell>
          <cell r="BY501" t="str">
            <v>C1</v>
          </cell>
          <cell r="BZ501" t="str">
            <v>Pout Pin Kwin Village, Maruk-U Township, Rakhine State.</v>
          </cell>
          <cell r="CA501" t="str">
            <v>U Tun Shwe Oo</v>
          </cell>
          <cell r="CB501" t="str">
            <v>29 July 15:C1-SAR submission with justification</v>
          </cell>
          <cell r="CC501" t="str">
            <v>Village</v>
          </cell>
          <cell r="CE501">
            <v>3</v>
          </cell>
          <cell r="CF501">
            <v>42220</v>
          </cell>
          <cell r="CG501">
            <v>42186</v>
          </cell>
          <cell r="CH501">
            <v>42222</v>
          </cell>
          <cell r="CJ501">
            <v>42203</v>
          </cell>
          <cell r="CK501" t="str">
            <v>45</v>
          </cell>
          <cell r="CL501" t="str">
            <v>47</v>
          </cell>
          <cell r="CM501" t="str">
            <v>50</v>
          </cell>
          <cell r="CN501">
            <v>19</v>
          </cell>
          <cell r="CO501">
            <v>42225</v>
          </cell>
          <cell r="CP501">
            <v>42205</v>
          </cell>
          <cell r="CQ501" t="str">
            <v>M4: solar + DG + battery</v>
          </cell>
          <cell r="CR501">
            <v>2</v>
          </cell>
          <cell r="CS501">
            <v>42226</v>
          </cell>
          <cell r="CT501">
            <v>42207</v>
          </cell>
          <cell r="CU501" t="str">
            <v>RA0240</v>
          </cell>
          <cell r="DH501">
            <v>26</v>
          </cell>
          <cell r="DI501">
            <v>42236</v>
          </cell>
          <cell r="DK501">
            <v>42233</v>
          </cell>
          <cell r="DL501">
            <v>42242</v>
          </cell>
          <cell r="DM501">
            <v>42237</v>
          </cell>
          <cell r="DO501">
            <v>0</v>
          </cell>
          <cell r="DP501">
            <v>42236</v>
          </cell>
          <cell r="DT501">
            <v>0</v>
          </cell>
          <cell r="DU501">
            <v>42251</v>
          </cell>
          <cell r="DW501">
            <v>0</v>
          </cell>
          <cell r="DY501">
            <v>42237</v>
          </cell>
          <cell r="EA501" t="str">
            <v>Leadcom</v>
          </cell>
          <cell r="EJ501">
            <v>0</v>
          </cell>
          <cell r="EK501">
            <v>42254</v>
          </cell>
          <cell r="EM501">
            <v>42255</v>
          </cell>
          <cell r="EQ501">
            <v>42264</v>
          </cell>
          <cell r="EW501">
            <v>0</v>
          </cell>
          <cell r="EX501">
            <v>42278</v>
          </cell>
          <cell r="EZ501">
            <v>42274</v>
          </cell>
          <cell r="FB501">
            <v>42276</v>
          </cell>
          <cell r="FU501">
            <v>42278</v>
          </cell>
          <cell r="FW501">
            <v>42278</v>
          </cell>
          <cell r="GF501">
            <v>41981</v>
          </cell>
          <cell r="GI501">
            <v>42000</v>
          </cell>
          <cell r="GJ501">
            <v>0</v>
          </cell>
          <cell r="GN501" t="str">
            <v>ERICSSON</v>
          </cell>
          <cell r="HD501">
            <v>1</v>
          </cell>
        </row>
        <row r="502">
          <cell r="A502" t="str">
            <v>RA0241</v>
          </cell>
          <cell r="B502" t="str">
            <v>ACRK_0023</v>
          </cell>
          <cell r="C502" t="str">
            <v>Apollo</v>
          </cell>
          <cell r="D502" t="str">
            <v>Adriaan Coetsee</v>
          </cell>
          <cell r="F502" t="str">
            <v>Mya Kyauk Doe</v>
          </cell>
          <cell r="G502" t="str">
            <v>Si Thu Moe</v>
          </cell>
          <cell r="H502" t="str">
            <v>RED</v>
          </cell>
          <cell r="I502" t="str">
            <v>North</v>
          </cell>
          <cell r="J502" t="str">
            <v>93.2394272663829</v>
          </cell>
          <cell r="K502" t="str">
            <v>20.5394258866463</v>
          </cell>
          <cell r="L502" t="str">
            <v>Rural</v>
          </cell>
          <cell r="M502" t="str">
            <v>Rakhine</v>
          </cell>
          <cell r="N502" t="str">
            <v>Mrauk-U</v>
          </cell>
          <cell r="O502" t="str">
            <v>Mrauk-U</v>
          </cell>
          <cell r="P502" t="str">
            <v>Rakhine</v>
          </cell>
          <cell r="Q502" t="str">
            <v>12</v>
          </cell>
          <cell r="R502" t="str">
            <v>Mrauk-U</v>
          </cell>
          <cell r="S502" t="str">
            <v>182</v>
          </cell>
          <cell r="T502" t="str">
            <v>GSM+UMTS</v>
          </cell>
          <cell r="W502" t="str">
            <v>Ph2-Priority</v>
          </cell>
          <cell r="X502" t="str">
            <v>45</v>
          </cell>
          <cell r="Y502" t="str">
            <v>47</v>
          </cell>
          <cell r="Z502" t="str">
            <v>GBT</v>
          </cell>
          <cell r="AA502" t="str">
            <v>500</v>
          </cell>
          <cell r="AB502" t="str">
            <v>Access</v>
          </cell>
          <cell r="AC502" t="str">
            <v>Class C</v>
          </cell>
          <cell r="BE502" t="str">
            <v>Route 9 Mandalay - Muse</v>
          </cell>
          <cell r="BH502" t="str">
            <v>KTT</v>
          </cell>
          <cell r="BJ502">
            <v>42172</v>
          </cell>
          <cell r="BK502">
            <v>42167</v>
          </cell>
          <cell r="BL502">
            <v>42177</v>
          </cell>
          <cell r="BM502">
            <v>42174</v>
          </cell>
          <cell r="BT502">
            <v>13</v>
          </cell>
          <cell r="BU502">
            <v>42219</v>
          </cell>
          <cell r="BV502">
            <v>42180</v>
          </cell>
          <cell r="BW502" t="str">
            <v>93.23837</v>
          </cell>
          <cell r="BX502" t="str">
            <v>20.54342</v>
          </cell>
          <cell r="BY502" t="str">
            <v>C1</v>
          </cell>
          <cell r="BZ502" t="str">
            <v>No(190), Maruk-U Township, Laung Kyat Village, Rachine State.</v>
          </cell>
          <cell r="CA502" t="str">
            <v>U Aung Tun Kyaw</v>
          </cell>
          <cell r="CB502" t="str">
            <v>14 June 15:C1-SAR submission</v>
          </cell>
          <cell r="CC502" t="str">
            <v>Village</v>
          </cell>
          <cell r="CE502">
            <v>1</v>
          </cell>
          <cell r="CF502">
            <v>42220</v>
          </cell>
          <cell r="CG502">
            <v>42181</v>
          </cell>
          <cell r="CH502">
            <v>42222</v>
          </cell>
          <cell r="CJ502">
            <v>42203</v>
          </cell>
          <cell r="CK502" t="str">
            <v>45</v>
          </cell>
          <cell r="CL502" t="str">
            <v>47</v>
          </cell>
          <cell r="CM502" t="str">
            <v>50</v>
          </cell>
          <cell r="CN502">
            <v>24</v>
          </cell>
          <cell r="CO502">
            <v>42225</v>
          </cell>
          <cell r="CP502">
            <v>42205</v>
          </cell>
          <cell r="CQ502" t="str">
            <v>M4: solar + DG + battery</v>
          </cell>
          <cell r="CR502">
            <v>2</v>
          </cell>
          <cell r="CS502">
            <v>42226</v>
          </cell>
          <cell r="CT502">
            <v>42207</v>
          </cell>
          <cell r="CU502" t="str">
            <v>RA0241</v>
          </cell>
          <cell r="DH502">
            <v>26</v>
          </cell>
          <cell r="DI502">
            <v>42236</v>
          </cell>
          <cell r="DK502">
            <v>42233</v>
          </cell>
          <cell r="DL502">
            <v>42242</v>
          </cell>
          <cell r="DM502">
            <v>42237</v>
          </cell>
          <cell r="DO502">
            <v>0</v>
          </cell>
          <cell r="DP502">
            <v>42236</v>
          </cell>
          <cell r="DT502">
            <v>0</v>
          </cell>
          <cell r="DU502">
            <v>42251</v>
          </cell>
          <cell r="DW502">
            <v>0</v>
          </cell>
          <cell r="DY502">
            <v>42237</v>
          </cell>
          <cell r="EA502" t="str">
            <v>Leadcom</v>
          </cell>
          <cell r="EJ502">
            <v>0</v>
          </cell>
          <cell r="EK502">
            <v>42254</v>
          </cell>
          <cell r="EM502">
            <v>42255</v>
          </cell>
          <cell r="EQ502">
            <v>42264</v>
          </cell>
          <cell r="EW502">
            <v>0</v>
          </cell>
          <cell r="EX502">
            <v>42278</v>
          </cell>
          <cell r="EZ502">
            <v>42274</v>
          </cell>
          <cell r="FB502">
            <v>42276</v>
          </cell>
          <cell r="FU502">
            <v>42278</v>
          </cell>
          <cell r="FW502">
            <v>42278</v>
          </cell>
          <cell r="GI502">
            <v>42001</v>
          </cell>
          <cell r="GJ502">
            <v>0</v>
          </cell>
          <cell r="GN502" t="str">
            <v>ERICSSON</v>
          </cell>
          <cell r="HD502">
            <v>1</v>
          </cell>
        </row>
        <row r="503">
          <cell r="A503" t="str">
            <v>RA0247</v>
          </cell>
          <cell r="B503" t="str">
            <v>ACRK_0024</v>
          </cell>
          <cell r="C503" t="str">
            <v>Apollo</v>
          </cell>
          <cell r="D503" t="str">
            <v>Adriaan Coetsee</v>
          </cell>
          <cell r="F503" t="str">
            <v>Mya Kyauk Doe</v>
          </cell>
          <cell r="G503" t="str">
            <v>Si Thu Moe</v>
          </cell>
          <cell r="H503" t="str">
            <v>RED</v>
          </cell>
          <cell r="I503" t="str">
            <v>North</v>
          </cell>
          <cell r="J503" t="str">
            <v>92.5303741012746</v>
          </cell>
          <cell r="K503" t="str">
            <v>20.8782521140202</v>
          </cell>
          <cell r="L503" t="str">
            <v>Suburban</v>
          </cell>
          <cell r="M503" t="str">
            <v>Rakhine</v>
          </cell>
          <cell r="N503" t="str">
            <v>Buthidaung</v>
          </cell>
          <cell r="O503" t="str">
            <v>Buthidaung</v>
          </cell>
          <cell r="P503" t="str">
            <v>Rakhine</v>
          </cell>
          <cell r="Q503" t="str">
            <v>12</v>
          </cell>
          <cell r="R503" t="str">
            <v>Buthidaung</v>
          </cell>
          <cell r="S503" t="str">
            <v>189</v>
          </cell>
          <cell r="T503" t="str">
            <v>GSM+UMTS</v>
          </cell>
          <cell r="W503" t="str">
            <v>Ph2-Priority</v>
          </cell>
          <cell r="X503" t="str">
            <v>35</v>
          </cell>
          <cell r="Y503" t="str">
            <v>37</v>
          </cell>
          <cell r="Z503" t="str">
            <v>GBT</v>
          </cell>
          <cell r="AA503" t="str">
            <v>250</v>
          </cell>
          <cell r="AB503" t="str">
            <v>Access</v>
          </cell>
          <cell r="AC503" t="str">
            <v>Class B</v>
          </cell>
          <cell r="BH503" t="str">
            <v>KTT</v>
          </cell>
          <cell r="BJ503">
            <v>42172</v>
          </cell>
          <cell r="BK503">
            <v>42167</v>
          </cell>
          <cell r="BL503">
            <v>42177</v>
          </cell>
          <cell r="BM503">
            <v>42174</v>
          </cell>
          <cell r="BT503">
            <v>18</v>
          </cell>
          <cell r="BU503">
            <v>42257</v>
          </cell>
          <cell r="BV503">
            <v>42185</v>
          </cell>
          <cell r="BW503" t="str">
            <v>92.53104</v>
          </cell>
          <cell r="BX503" t="str">
            <v>20.87997</v>
          </cell>
          <cell r="BY503" t="str">
            <v>C1</v>
          </cell>
          <cell r="BZ503" t="str">
            <v>No(3) Quarter, Min Bar Gyi Street, Bu Thi Taung Township, Rakhine State.</v>
          </cell>
          <cell r="CA503" t="str">
            <v>U Aung Than Htun</v>
          </cell>
          <cell r="CB503" t="str">
            <v>17 July 15 : C1 SAR approved as an option 1( TND approved.  Tower height is 50m, Clearance is about 18m, Cofirmed with customers. it is Ok.);14 June 15:C1-SAR submission</v>
          </cell>
          <cell r="CC503" t="str">
            <v>Village</v>
          </cell>
          <cell r="CE503">
            <v>2</v>
          </cell>
          <cell r="CF503">
            <v>42258</v>
          </cell>
          <cell r="CG503">
            <v>42187</v>
          </cell>
          <cell r="CH503">
            <v>42260</v>
          </cell>
          <cell r="CJ503">
            <v>42203</v>
          </cell>
          <cell r="CK503" t="str">
            <v>35</v>
          </cell>
          <cell r="CL503" t="str">
            <v>37</v>
          </cell>
          <cell r="CM503" t="str">
            <v>40</v>
          </cell>
          <cell r="CN503">
            <v>18</v>
          </cell>
          <cell r="CO503">
            <v>42263</v>
          </cell>
          <cell r="CP503">
            <v>42205</v>
          </cell>
          <cell r="CQ503" t="str">
            <v>M1: grid power + battery</v>
          </cell>
          <cell r="CR503">
            <v>2</v>
          </cell>
          <cell r="CS503">
            <v>42264</v>
          </cell>
          <cell r="CT503">
            <v>42207</v>
          </cell>
          <cell r="CU503" t="str">
            <v>RA0247</v>
          </cell>
          <cell r="DH503">
            <v>26</v>
          </cell>
          <cell r="DI503">
            <v>42274</v>
          </cell>
          <cell r="DK503">
            <v>42271</v>
          </cell>
          <cell r="DL503">
            <v>42242</v>
          </cell>
          <cell r="DM503">
            <v>42275</v>
          </cell>
          <cell r="DO503">
            <v>0</v>
          </cell>
          <cell r="DP503">
            <v>42274</v>
          </cell>
          <cell r="DT503">
            <v>0</v>
          </cell>
          <cell r="DU503">
            <v>42289</v>
          </cell>
          <cell r="DW503">
            <v>0</v>
          </cell>
          <cell r="DY503">
            <v>42275</v>
          </cell>
          <cell r="EA503" t="str">
            <v>Leadcom</v>
          </cell>
          <cell r="EJ503">
            <v>0</v>
          </cell>
          <cell r="EK503">
            <v>42290</v>
          </cell>
          <cell r="EM503">
            <v>42291</v>
          </cell>
          <cell r="EQ503">
            <v>42298</v>
          </cell>
          <cell r="EW503">
            <v>0</v>
          </cell>
          <cell r="EX503">
            <v>42312</v>
          </cell>
          <cell r="EZ503">
            <v>42308</v>
          </cell>
          <cell r="FB503">
            <v>42310</v>
          </cell>
          <cell r="FU503">
            <v>42312</v>
          </cell>
          <cell r="FW503">
            <v>42312</v>
          </cell>
          <cell r="GI503">
            <v>41981</v>
          </cell>
          <cell r="GJ503">
            <v>0</v>
          </cell>
          <cell r="GN503" t="str">
            <v>ERICSSON</v>
          </cell>
          <cell r="HD503">
            <v>1</v>
          </cell>
        </row>
        <row r="504">
          <cell r="A504" t="str">
            <v>RA0248</v>
          </cell>
          <cell r="B504" t="str">
            <v>ACRK_0025</v>
          </cell>
          <cell r="C504" t="str">
            <v>Apollo</v>
          </cell>
          <cell r="D504" t="str">
            <v>Chris Thomson</v>
          </cell>
          <cell r="F504" t="str">
            <v>Mya Kyauk Doe</v>
          </cell>
          <cell r="G504" t="str">
            <v>Si Thu Moe</v>
          </cell>
          <cell r="H504" t="str">
            <v>RED</v>
          </cell>
          <cell r="I504" t="str">
            <v>North</v>
          </cell>
          <cell r="J504" t="str">
            <v>93.3734568290812</v>
          </cell>
          <cell r="K504" t="str">
            <v>20.05286059722</v>
          </cell>
          <cell r="L504" t="str">
            <v>Suburban</v>
          </cell>
          <cell r="M504" t="str">
            <v>Rakhine</v>
          </cell>
          <cell r="N504" t="str">
            <v>Myebon</v>
          </cell>
          <cell r="O504" t="str">
            <v>Myebon</v>
          </cell>
          <cell r="P504" t="str">
            <v>Rakhine</v>
          </cell>
          <cell r="Q504" t="str">
            <v>12</v>
          </cell>
          <cell r="R504" t="str">
            <v>Myebon</v>
          </cell>
          <cell r="S504" t="str">
            <v>185</v>
          </cell>
          <cell r="T504" t="str">
            <v>GSM+UMTS</v>
          </cell>
          <cell r="W504" t="str">
            <v>Ph2-Priority</v>
          </cell>
          <cell r="X504" t="str">
            <v>40</v>
          </cell>
          <cell r="Y504" t="str">
            <v>42</v>
          </cell>
          <cell r="Z504" t="str">
            <v>GBT</v>
          </cell>
          <cell r="AA504" t="str">
            <v>250</v>
          </cell>
          <cell r="AB504" t="str">
            <v>Access</v>
          </cell>
          <cell r="AC504" t="str">
            <v>Class B</v>
          </cell>
          <cell r="BE504" t="str">
            <v>Route 13 Mawlamyine-Dawei</v>
          </cell>
          <cell r="BH504" t="str">
            <v>Leadcom</v>
          </cell>
          <cell r="BJ504">
            <v>42163</v>
          </cell>
          <cell r="BK504">
            <v>42167</v>
          </cell>
          <cell r="BL504">
            <v>42168</v>
          </cell>
          <cell r="BM504">
            <v>42174</v>
          </cell>
          <cell r="BT504">
            <v>51</v>
          </cell>
          <cell r="BU504">
            <v>42256</v>
          </cell>
          <cell r="BV504">
            <v>42218</v>
          </cell>
          <cell r="BW504" t="str">
            <v>93.3745</v>
          </cell>
          <cell r="BX504" t="str">
            <v>20.05219</v>
          </cell>
          <cell r="BY504" t="str">
            <v>C1</v>
          </cell>
          <cell r="CB504" t="str">
            <v>02 Aug 15 : C1 SAR sub</v>
          </cell>
          <cell r="CE504">
            <v>9</v>
          </cell>
          <cell r="CF504">
            <v>42257</v>
          </cell>
          <cell r="CG504">
            <v>42227</v>
          </cell>
          <cell r="CH504">
            <v>42259</v>
          </cell>
          <cell r="CN504">
            <v>6</v>
          </cell>
          <cell r="CO504">
            <v>42262</v>
          </cell>
          <cell r="CR504">
            <v>0</v>
          </cell>
          <cell r="CS504">
            <v>42263</v>
          </cell>
          <cell r="CU504" t="str">
            <v>RA0248</v>
          </cell>
          <cell r="DH504">
            <v>0</v>
          </cell>
          <cell r="DI504">
            <v>42273</v>
          </cell>
          <cell r="DK504">
            <v>42270</v>
          </cell>
          <cell r="DM504">
            <v>42274</v>
          </cell>
          <cell r="DO504">
            <v>0</v>
          </cell>
          <cell r="DP504">
            <v>42273</v>
          </cell>
          <cell r="DT504">
            <v>0</v>
          </cell>
          <cell r="DU504">
            <v>42288</v>
          </cell>
          <cell r="DW504">
            <v>0</v>
          </cell>
          <cell r="DY504">
            <v>42274</v>
          </cell>
          <cell r="EA504" t="str">
            <v>Leadcom</v>
          </cell>
          <cell r="EJ504">
            <v>0</v>
          </cell>
          <cell r="EK504">
            <v>42291</v>
          </cell>
          <cell r="EM504">
            <v>42292</v>
          </cell>
          <cell r="EQ504">
            <v>42301</v>
          </cell>
          <cell r="EW504">
            <v>0</v>
          </cell>
          <cell r="EX504">
            <v>42315</v>
          </cell>
          <cell r="EZ504">
            <v>42311</v>
          </cell>
          <cell r="FB504">
            <v>42313</v>
          </cell>
          <cell r="FU504">
            <v>42315</v>
          </cell>
          <cell r="FW504">
            <v>42315</v>
          </cell>
          <cell r="GI504">
            <v>41979</v>
          </cell>
          <cell r="GJ504">
            <v>0</v>
          </cell>
          <cell r="GN504" t="str">
            <v>ERICSSON</v>
          </cell>
          <cell r="GS504" t="str">
            <v>4/4/4</v>
          </cell>
          <cell r="GU504" t="str">
            <v xml:space="preserve">		</v>
          </cell>
          <cell r="HD504">
            <v>1</v>
          </cell>
        </row>
        <row r="505">
          <cell r="A505" t="str">
            <v>RA0249</v>
          </cell>
          <cell r="B505" t="str">
            <v>ACRK_0026</v>
          </cell>
          <cell r="C505" t="str">
            <v>Apollo</v>
          </cell>
          <cell r="D505" t="str">
            <v>Adriaan Coetsee</v>
          </cell>
          <cell r="F505" t="str">
            <v>Mya Kyauk Doe</v>
          </cell>
          <cell r="G505" t="str">
            <v>Si Thu Moe</v>
          </cell>
          <cell r="H505" t="str">
            <v>RED</v>
          </cell>
          <cell r="I505" t="str">
            <v>North</v>
          </cell>
          <cell r="J505" t="str">
            <v>92.5357198885199</v>
          </cell>
          <cell r="K505" t="str">
            <v>20.8648041834489</v>
          </cell>
          <cell r="L505" t="str">
            <v>Suburban</v>
          </cell>
          <cell r="M505" t="str">
            <v>Rakhine</v>
          </cell>
          <cell r="N505" t="str">
            <v>Buthidaung</v>
          </cell>
          <cell r="O505" t="str">
            <v>Buthidaung</v>
          </cell>
          <cell r="P505" t="str">
            <v>Rakhine</v>
          </cell>
          <cell r="Q505" t="str">
            <v>12</v>
          </cell>
          <cell r="R505" t="str">
            <v>Buthidaung</v>
          </cell>
          <cell r="S505" t="str">
            <v>189</v>
          </cell>
          <cell r="T505" t="str">
            <v>GSM+UMTS</v>
          </cell>
          <cell r="W505" t="str">
            <v>Ph2-Priority</v>
          </cell>
          <cell r="X505" t="str">
            <v>40</v>
          </cell>
          <cell r="Y505" t="str">
            <v>42</v>
          </cell>
          <cell r="Z505" t="str">
            <v>GBT</v>
          </cell>
          <cell r="AA505" t="str">
            <v>250</v>
          </cell>
          <cell r="AB505" t="str">
            <v>Access</v>
          </cell>
          <cell r="AC505" t="str">
            <v>Class B</v>
          </cell>
          <cell r="BH505" t="str">
            <v>KTT</v>
          </cell>
          <cell r="BJ505">
            <v>42172</v>
          </cell>
          <cell r="BK505">
            <v>42167</v>
          </cell>
          <cell r="BL505">
            <v>42177</v>
          </cell>
          <cell r="BM505">
            <v>42174</v>
          </cell>
          <cell r="BT505">
            <v>17</v>
          </cell>
          <cell r="BU505">
            <v>42257</v>
          </cell>
          <cell r="BV505">
            <v>42184</v>
          </cell>
          <cell r="BW505" t="str">
            <v>92.53436</v>
          </cell>
          <cell r="BX505" t="str">
            <v>20.86519</v>
          </cell>
          <cell r="BY505" t="str">
            <v>C1</v>
          </cell>
          <cell r="BZ505" t="str">
            <v>No (7) Quarter, Myoema Zayti Taung Road, Buthidaung Township, Rakhine.</v>
          </cell>
          <cell r="CA505" t="str">
            <v>Daw Nyein Nyunt</v>
          </cell>
          <cell r="CB505" t="str">
            <v>20May15: C1 SAR Sub</v>
          </cell>
          <cell r="CC505" t="str">
            <v>Village</v>
          </cell>
          <cell r="CE505">
            <v>1</v>
          </cell>
          <cell r="CF505">
            <v>42258</v>
          </cell>
          <cell r="CG505">
            <v>42185</v>
          </cell>
          <cell r="CH505">
            <v>42260</v>
          </cell>
          <cell r="CJ505">
            <v>42203</v>
          </cell>
          <cell r="CK505" t="str">
            <v>40</v>
          </cell>
          <cell r="CL505" t="str">
            <v>42</v>
          </cell>
          <cell r="CM505" t="str">
            <v>50</v>
          </cell>
          <cell r="CN505">
            <v>20</v>
          </cell>
          <cell r="CO505">
            <v>42263</v>
          </cell>
          <cell r="CP505">
            <v>42205</v>
          </cell>
          <cell r="CQ505" t="str">
            <v>M4: solar + DG + battery</v>
          </cell>
          <cell r="CR505">
            <v>1</v>
          </cell>
          <cell r="CS505">
            <v>42264</v>
          </cell>
          <cell r="CT505">
            <v>42206</v>
          </cell>
          <cell r="CU505" t="str">
            <v>RA0249</v>
          </cell>
          <cell r="DH505">
            <v>27</v>
          </cell>
          <cell r="DI505">
            <v>42274</v>
          </cell>
          <cell r="DJ505">
            <v>42171</v>
          </cell>
          <cell r="DK505">
            <v>42271</v>
          </cell>
          <cell r="DL505">
            <v>42213</v>
          </cell>
          <cell r="DM505">
            <v>42275</v>
          </cell>
          <cell r="DN505">
            <v>42180</v>
          </cell>
          <cell r="DO505">
            <v>0</v>
          </cell>
          <cell r="DP505">
            <v>42274</v>
          </cell>
          <cell r="DQ505">
            <v>42171</v>
          </cell>
          <cell r="DT505">
            <v>0</v>
          </cell>
          <cell r="DU505">
            <v>42289</v>
          </cell>
          <cell r="DW505">
            <v>0</v>
          </cell>
          <cell r="DY505">
            <v>42275</v>
          </cell>
          <cell r="DZ505">
            <v>42180</v>
          </cell>
          <cell r="EA505" t="str">
            <v>Leadcom</v>
          </cell>
          <cell r="EB505">
            <v>42216</v>
          </cell>
          <cell r="ED505" t="str">
            <v xml:space="preserve">14Jul15 :ChoYee.Thaung: 9/7/15 : Excavation done, bottom rebar installation
</v>
          </cell>
          <cell r="EE505" t="str">
            <v xml:space="preserve">10 Aug 15:Flood affected_Hold-No access; 31-Jul-15:Tower foundation done,hauling of materials stopped due to inaccessible bridge								</v>
          </cell>
          <cell r="EJ505">
            <v>0</v>
          </cell>
          <cell r="EK505">
            <v>42292</v>
          </cell>
          <cell r="EL505">
            <v>42207</v>
          </cell>
          <cell r="EM505">
            <v>42293</v>
          </cell>
          <cell r="EN505">
            <v>42227</v>
          </cell>
          <cell r="EQ505">
            <v>42302</v>
          </cell>
          <cell r="ES505">
            <v>42234</v>
          </cell>
          <cell r="EW505">
            <v>0</v>
          </cell>
          <cell r="EX505">
            <v>42316</v>
          </cell>
          <cell r="EZ505">
            <v>42312</v>
          </cell>
          <cell r="FB505">
            <v>42314</v>
          </cell>
          <cell r="FE505">
            <v>42193</v>
          </cell>
          <cell r="FU505">
            <v>42316</v>
          </cell>
          <cell r="FW505">
            <v>42316</v>
          </cell>
          <cell r="FY505" t="str">
            <v>TN</v>
          </cell>
          <cell r="FZ505">
            <v>42228</v>
          </cell>
          <cell r="GA505">
            <v>42232</v>
          </cell>
          <cell r="GI505">
            <v>41997</v>
          </cell>
          <cell r="GJ505">
            <v>0</v>
          </cell>
          <cell r="GN505" t="str">
            <v xml:space="preserve">ERICSSON </v>
          </cell>
          <cell r="GP505">
            <v>42198</v>
          </cell>
          <cell r="GS505" t="str">
            <v>4/4/4</v>
          </cell>
          <cell r="GU505" t="str">
            <v xml:space="preserve">		</v>
          </cell>
          <cell r="HD505">
            <v>1</v>
          </cell>
        </row>
        <row r="506">
          <cell r="A506" t="str">
            <v>RA0250</v>
          </cell>
          <cell r="B506" t="str">
            <v>ACRK_0027</v>
          </cell>
          <cell r="C506" t="str">
            <v>Apollo</v>
          </cell>
          <cell r="D506" t="str">
            <v>Adriaan Coetsee</v>
          </cell>
          <cell r="F506" t="str">
            <v>Mya Kyauk Doe</v>
          </cell>
          <cell r="G506" t="str">
            <v>Si Thu Moe</v>
          </cell>
          <cell r="H506" t="str">
            <v>RED</v>
          </cell>
          <cell r="I506" t="str">
            <v>North</v>
          </cell>
          <cell r="J506" t="str">
            <v>92.370871</v>
          </cell>
          <cell r="K506" t="str">
            <v>20.822721</v>
          </cell>
          <cell r="L506" t="str">
            <v>Suburban</v>
          </cell>
          <cell r="M506" t="str">
            <v>Rakhine</v>
          </cell>
          <cell r="N506" t="str">
            <v>Maungdaw</v>
          </cell>
          <cell r="O506" t="str">
            <v>Maungdaw</v>
          </cell>
          <cell r="P506" t="str">
            <v>Rakhine</v>
          </cell>
          <cell r="Q506" t="str">
            <v>12</v>
          </cell>
          <cell r="R506" t="str">
            <v>Maungdaw</v>
          </cell>
          <cell r="S506" t="str">
            <v>188</v>
          </cell>
          <cell r="T506" t="str">
            <v>GSM+UMTS</v>
          </cell>
          <cell r="W506" t="str">
            <v>Ph2-Priority</v>
          </cell>
          <cell r="X506" t="str">
            <v>35</v>
          </cell>
          <cell r="Y506" t="str">
            <v>37</v>
          </cell>
          <cell r="Z506" t="str">
            <v>GBT</v>
          </cell>
          <cell r="AA506" t="str">
            <v>250</v>
          </cell>
          <cell r="AB506" t="str">
            <v>Access</v>
          </cell>
          <cell r="AC506" t="str">
            <v>Class B</v>
          </cell>
          <cell r="BE506" t="str">
            <v>Route 3 Thaton-Myawaddy</v>
          </cell>
          <cell r="BH506" t="str">
            <v>KTT</v>
          </cell>
          <cell r="BJ506">
            <v>42172</v>
          </cell>
          <cell r="BK506">
            <v>42167</v>
          </cell>
          <cell r="BL506">
            <v>42177</v>
          </cell>
          <cell r="BM506">
            <v>42174</v>
          </cell>
          <cell r="BT506">
            <v>18</v>
          </cell>
          <cell r="BU506">
            <v>42257</v>
          </cell>
          <cell r="BV506">
            <v>42185</v>
          </cell>
          <cell r="BW506" t="str">
            <v>92.37337</v>
          </cell>
          <cell r="BX506" t="str">
            <v>20.82247</v>
          </cell>
          <cell r="BY506" t="str">
            <v>C1</v>
          </cell>
          <cell r="BZ506" t="str">
            <v>Ah Lal Ywar, Myoe Ma West Quarter, Maungdaw Township, Rakhine.</v>
          </cell>
          <cell r="CA506" t="str">
            <v>Daw Nyunt Sein</v>
          </cell>
          <cell r="CB506" t="str">
            <v>7 July 15 : C1 TSSR updated checklist released again from Ericsson because of changing Link up site and MW antenna height also; 15 May 15 :C1 SAR  approved as an option1(RND approved with 45m/60m GBT as priority 1 and this site is 290m far from the nominal point ;TND approved 15M clearance with 60M tower height for KA0268 and KA0296)and  Apollo confirmed that they can support 60 M Tower ; 14May15: Query (For 50m for KA0349 &amp; KA0268). 13May15: C1 SAR Sub</v>
          </cell>
          <cell r="CC506" t="str">
            <v>Village</v>
          </cell>
          <cell r="CE506">
            <v>2</v>
          </cell>
          <cell r="CF506">
            <v>42258</v>
          </cell>
          <cell r="CG506">
            <v>42187</v>
          </cell>
          <cell r="CH506">
            <v>42260</v>
          </cell>
          <cell r="CJ506">
            <v>42203</v>
          </cell>
          <cell r="CK506" t="str">
            <v>35</v>
          </cell>
          <cell r="CL506" t="str">
            <v>37</v>
          </cell>
          <cell r="CM506" t="str">
            <v>40</v>
          </cell>
          <cell r="CN506">
            <v>18</v>
          </cell>
          <cell r="CO506">
            <v>42263</v>
          </cell>
          <cell r="CP506">
            <v>42205</v>
          </cell>
          <cell r="CQ506" t="str">
            <v>M1: grid power + battery</v>
          </cell>
          <cell r="CR506">
            <v>2</v>
          </cell>
          <cell r="CS506">
            <v>42264</v>
          </cell>
          <cell r="CT506">
            <v>42207</v>
          </cell>
          <cell r="CU506" t="str">
            <v>RA0250</v>
          </cell>
          <cell r="DH506">
            <v>26</v>
          </cell>
          <cell r="DI506">
            <v>42274</v>
          </cell>
          <cell r="DJ506">
            <v>42171</v>
          </cell>
          <cell r="DK506">
            <v>42271</v>
          </cell>
          <cell r="DL506">
            <v>42242</v>
          </cell>
          <cell r="DM506">
            <v>42275</v>
          </cell>
          <cell r="DN506">
            <v>42178</v>
          </cell>
          <cell r="DO506">
            <v>0</v>
          </cell>
          <cell r="DP506">
            <v>42274</v>
          </cell>
          <cell r="DQ506">
            <v>42172</v>
          </cell>
          <cell r="DT506">
            <v>0</v>
          </cell>
          <cell r="DU506">
            <v>42289</v>
          </cell>
          <cell r="DW506">
            <v>0</v>
          </cell>
          <cell r="DY506">
            <v>42275</v>
          </cell>
          <cell r="DZ506">
            <v>42168</v>
          </cell>
          <cell r="EA506" t="str">
            <v>Leadcom</v>
          </cell>
          <cell r="EB506">
            <v>42214</v>
          </cell>
          <cell r="ED506" t="str">
            <v>10Aug15 :PaingThu.Soe: 7-8-15 Tower erection making in progress.Equipment pad done.
03Aug15 :PaingThu.Soe: 29-7-15 Tower erection making in progress.Equipment pad done.</v>
          </cell>
          <cell r="EE506" t="str">
            <v xml:space="preserve">10 Aug 15:Flood affected_Hold-No access; 29-Jul-15:No acces to site, Road blocked due to acces, water upto 5 feet.								</v>
          </cell>
          <cell r="EJ506">
            <v>0</v>
          </cell>
          <cell r="EK506">
            <v>42290</v>
          </cell>
          <cell r="EL506">
            <v>42193</v>
          </cell>
          <cell r="EM506">
            <v>42291</v>
          </cell>
          <cell r="EN506">
            <v>42201</v>
          </cell>
          <cell r="EQ506">
            <v>42298</v>
          </cell>
          <cell r="ER506">
            <v>42232</v>
          </cell>
          <cell r="ES506">
            <v>42209</v>
          </cell>
          <cell r="ET506">
            <v>42235</v>
          </cell>
          <cell r="EU506">
            <v>42235</v>
          </cell>
          <cell r="EW506">
            <v>0</v>
          </cell>
          <cell r="EX506">
            <v>42312</v>
          </cell>
          <cell r="EZ506">
            <v>42308</v>
          </cell>
          <cell r="FA506">
            <v>42225</v>
          </cell>
          <cell r="FB506">
            <v>42310</v>
          </cell>
          <cell r="FC506">
            <v>42235</v>
          </cell>
          <cell r="FE506">
            <v>42193</v>
          </cell>
          <cell r="FU506">
            <v>42312</v>
          </cell>
          <cell r="FW506">
            <v>42312</v>
          </cell>
          <cell r="FX506">
            <v>42235</v>
          </cell>
          <cell r="GF506">
            <v>41974</v>
          </cell>
          <cell r="GI506">
            <v>42246</v>
          </cell>
          <cell r="GJ506">
            <v>0</v>
          </cell>
          <cell r="GL506" t="str">
            <v>Upstream Dependency :: LoS not OK, Isolated site</v>
          </cell>
          <cell r="GN506" t="str">
            <v xml:space="preserve">ERICSSON </v>
          </cell>
          <cell r="GP506">
            <v>42207</v>
          </cell>
          <cell r="GQ506" t="str">
            <v xml:space="preserve">Upstream Dependency; </v>
          </cell>
          <cell r="GS506" t="str">
            <v>4/4/4</v>
          </cell>
          <cell r="GU506" t="str">
            <v xml:space="preserve">		</v>
          </cell>
          <cell r="HD506">
            <v>1</v>
          </cell>
        </row>
        <row r="507">
          <cell r="A507" t="str">
            <v>RA0251</v>
          </cell>
          <cell r="B507" t="str">
            <v>ACRK_0028</v>
          </cell>
          <cell r="C507" t="str">
            <v>Apollo</v>
          </cell>
          <cell r="D507" t="str">
            <v>Adriaan Coetsee</v>
          </cell>
          <cell r="F507" t="str">
            <v>Mya Kyauk Doe</v>
          </cell>
          <cell r="G507" t="str">
            <v>Si Thu Moe</v>
          </cell>
          <cell r="H507" t="str">
            <v>RED</v>
          </cell>
          <cell r="I507" t="str">
            <v>North</v>
          </cell>
          <cell r="J507" t="str">
            <v>92.3663526112432</v>
          </cell>
          <cell r="K507" t="str">
            <v>20.8113976205453</v>
          </cell>
          <cell r="L507" t="str">
            <v>Suburban</v>
          </cell>
          <cell r="M507" t="str">
            <v>Rakhine</v>
          </cell>
          <cell r="N507" t="str">
            <v>Maungdaw</v>
          </cell>
          <cell r="O507" t="str">
            <v>Maungdaw</v>
          </cell>
          <cell r="P507" t="str">
            <v>Rakhine</v>
          </cell>
          <cell r="Q507" t="str">
            <v>12</v>
          </cell>
          <cell r="R507" t="str">
            <v>Maungdaw</v>
          </cell>
          <cell r="S507" t="str">
            <v>188</v>
          </cell>
          <cell r="T507" t="str">
            <v>GSM+UMTS</v>
          </cell>
          <cell r="W507" t="str">
            <v>Ph2-Priority</v>
          </cell>
          <cell r="X507" t="str">
            <v>40</v>
          </cell>
          <cell r="Y507" t="str">
            <v>42</v>
          </cell>
          <cell r="Z507" t="str">
            <v>GBT</v>
          </cell>
          <cell r="AA507" t="str">
            <v>250</v>
          </cell>
          <cell r="AB507" t="str">
            <v>Access</v>
          </cell>
          <cell r="AC507" t="str">
            <v>Class B</v>
          </cell>
          <cell r="BE507" t="str">
            <v>Yangon Ring 5</v>
          </cell>
          <cell r="BH507" t="str">
            <v>KTT</v>
          </cell>
          <cell r="BJ507">
            <v>42172</v>
          </cell>
          <cell r="BK507">
            <v>42167</v>
          </cell>
          <cell r="BL507">
            <v>42177</v>
          </cell>
          <cell r="BM507">
            <v>42174</v>
          </cell>
          <cell r="BT507">
            <v>47</v>
          </cell>
          <cell r="BU507">
            <v>42257</v>
          </cell>
          <cell r="BV507">
            <v>42214</v>
          </cell>
          <cell r="BW507" t="str">
            <v>92.3656</v>
          </cell>
          <cell r="BX507" t="str">
            <v>20.81955</v>
          </cell>
          <cell r="BY507" t="str">
            <v>C1</v>
          </cell>
          <cell r="BZ507" t="str">
            <v>Bolt Thapyay kone village,Thanlyin Township,Yangon Division.</v>
          </cell>
          <cell r="CA507" t="str">
            <v>U Aye Lwin;No.246, Tusday Street, Bolt Thapyay KoneVillage, Thanlyin Township, Yangon Division;09-799460397, 09-793440131</v>
          </cell>
          <cell r="CB507" t="str">
            <v>29 July 15:C1-SAR submission with justification</v>
          </cell>
          <cell r="CC507" t="str">
            <v>Town</v>
          </cell>
          <cell r="CE507">
            <v>5</v>
          </cell>
          <cell r="CF507">
            <v>42258</v>
          </cell>
          <cell r="CG507">
            <v>42219</v>
          </cell>
          <cell r="CH507">
            <v>42260</v>
          </cell>
          <cell r="CJ507">
            <v>42158</v>
          </cell>
          <cell r="CK507" t="str">
            <v>45</v>
          </cell>
          <cell r="CL507" t="str">
            <v>47</v>
          </cell>
          <cell r="CM507" t="str">
            <v>45</v>
          </cell>
          <cell r="CN507">
            <v>14</v>
          </cell>
          <cell r="CO507">
            <v>42263</v>
          </cell>
          <cell r="CP507">
            <v>42160</v>
          </cell>
          <cell r="CQ507" t="str">
            <v>M4: solar + DG + battery</v>
          </cell>
          <cell r="CR507">
            <v>0</v>
          </cell>
          <cell r="CS507">
            <v>42264</v>
          </cell>
          <cell r="CT507">
            <v>42165</v>
          </cell>
          <cell r="CU507" t="str">
            <v>RA0251</v>
          </cell>
          <cell r="DH507">
            <v>0</v>
          </cell>
          <cell r="DI507">
            <v>42274</v>
          </cell>
          <cell r="DJ507">
            <v>42166</v>
          </cell>
          <cell r="DK507">
            <v>42271</v>
          </cell>
          <cell r="DL507">
            <v>42174</v>
          </cell>
          <cell r="DM507">
            <v>42275</v>
          </cell>
          <cell r="DN507">
            <v>42174</v>
          </cell>
          <cell r="DO507">
            <v>0</v>
          </cell>
          <cell r="DP507">
            <v>42274</v>
          </cell>
          <cell r="DQ507">
            <v>42166</v>
          </cell>
          <cell r="DT507">
            <v>0</v>
          </cell>
          <cell r="DU507">
            <v>42289</v>
          </cell>
          <cell r="DW507">
            <v>0</v>
          </cell>
          <cell r="DY507">
            <v>42275</v>
          </cell>
          <cell r="DZ507">
            <v>42181</v>
          </cell>
          <cell r="EA507" t="str">
            <v>Leadcom</v>
          </cell>
          <cell r="ED507" t="str">
            <v xml:space="preserve">29Jul15 :HanSoe.Aung: Excavation work is ongoing and it facing with land slide due to heavy raining and need to do soil cleaning.For one column, footing casting done and rebars installation is ongoing.
</v>
          </cell>
          <cell r="EE507" t="str">
            <v xml:space="preserve">10 Aug 15:Rain affected_Progress affected; 4-Aug-15:Site is affected by heavy rain								</v>
          </cell>
          <cell r="EJ507">
            <v>0</v>
          </cell>
          <cell r="EK507">
            <v>42292</v>
          </cell>
          <cell r="EM507">
            <v>42293</v>
          </cell>
          <cell r="EQ507">
            <v>42302</v>
          </cell>
          <cell r="EW507">
            <v>0</v>
          </cell>
          <cell r="EX507">
            <v>42316</v>
          </cell>
          <cell r="EZ507">
            <v>42312</v>
          </cell>
          <cell r="FB507">
            <v>42314</v>
          </cell>
          <cell r="FE507">
            <v>42193</v>
          </cell>
          <cell r="FU507">
            <v>42316</v>
          </cell>
          <cell r="FW507">
            <v>42316</v>
          </cell>
          <cell r="GF507">
            <v>41981</v>
          </cell>
          <cell r="GI507">
            <v>42017</v>
          </cell>
          <cell r="GJ507">
            <v>0</v>
          </cell>
          <cell r="GN507" t="str">
            <v>ERICSSON</v>
          </cell>
          <cell r="GP507">
            <v>42205</v>
          </cell>
          <cell r="GU507" t="str">
            <v xml:space="preserve">		</v>
          </cell>
          <cell r="HD507">
            <v>1</v>
          </cell>
        </row>
        <row r="508">
          <cell r="A508" t="str">
            <v>SG0161</v>
          </cell>
          <cell r="B508" t="str">
            <v>ANSG_0421</v>
          </cell>
          <cell r="C508" t="str">
            <v>Apollo</v>
          </cell>
          <cell r="D508" t="str">
            <v>Adriaan Coetsee</v>
          </cell>
          <cell r="F508" t="str">
            <v>Aung Thu Win</v>
          </cell>
          <cell r="G508" t="str">
            <v>Kyaw Zay Yar</v>
          </cell>
          <cell r="H508" t="str">
            <v>RED</v>
          </cell>
          <cell r="I508" t="str">
            <v>North</v>
          </cell>
          <cell r="J508" t="str">
            <v>94.11858</v>
          </cell>
          <cell r="K508" t="str">
            <v>23.527797</v>
          </cell>
          <cell r="L508" t="str">
            <v>Highway</v>
          </cell>
          <cell r="M508" t="str">
            <v>Sagaing</v>
          </cell>
          <cell r="N508" t="str">
            <v>Kale</v>
          </cell>
          <cell r="O508" t="str">
            <v>Kale</v>
          </cell>
          <cell r="P508" t="str">
            <v>Sagaing</v>
          </cell>
          <cell r="Q508" t="str">
            <v>11</v>
          </cell>
          <cell r="R508" t="str">
            <v>Kale</v>
          </cell>
          <cell r="S508" t="str">
            <v>68</v>
          </cell>
          <cell r="T508" t="str">
            <v>GSM+UMTS</v>
          </cell>
          <cell r="W508" t="str">
            <v>Ph2-Priority</v>
          </cell>
          <cell r="X508" t="str">
            <v>45</v>
          </cell>
          <cell r="Y508" t="str">
            <v>47</v>
          </cell>
          <cell r="Z508" t="str">
            <v>GBT</v>
          </cell>
          <cell r="AA508" t="str">
            <v>500</v>
          </cell>
          <cell r="AB508" t="str">
            <v>Access</v>
          </cell>
          <cell r="AC508" t="str">
            <v>Class C</v>
          </cell>
          <cell r="BE508" t="str">
            <v>Route 17 Monywa - Tamu</v>
          </cell>
          <cell r="BH508" t="str">
            <v>Camusat</v>
          </cell>
          <cell r="BJ508">
            <v>42167</v>
          </cell>
          <cell r="BK508">
            <v>42150</v>
          </cell>
          <cell r="BL508">
            <v>42172</v>
          </cell>
          <cell r="BM508">
            <v>42157</v>
          </cell>
          <cell r="BT508">
            <v>17</v>
          </cell>
          <cell r="BU508">
            <v>42185</v>
          </cell>
          <cell r="BV508">
            <v>42167</v>
          </cell>
          <cell r="BW508" t="str">
            <v>94.1174</v>
          </cell>
          <cell r="BX508" t="str">
            <v>23.53058</v>
          </cell>
          <cell r="BY508" t="str">
            <v>C1</v>
          </cell>
          <cell r="BZ508" t="str">
            <v>Nan Kyat Lhaw Village , YarZarJo Village Group,KaLay Township,Sagaing .</v>
          </cell>
          <cell r="CA508" t="str">
            <v>U Cho Mwae;09-47073047</v>
          </cell>
          <cell r="CB508" t="str">
            <v>12Jun15: C1 SAR Sub</v>
          </cell>
          <cell r="CE508">
            <v>3</v>
          </cell>
          <cell r="CF508">
            <v>42186</v>
          </cell>
          <cell r="CG508">
            <v>42170</v>
          </cell>
          <cell r="CH508">
            <v>42188</v>
          </cell>
          <cell r="CJ508">
            <v>42184</v>
          </cell>
          <cell r="CK508" t="str">
            <v>45</v>
          </cell>
          <cell r="CL508" t="str">
            <v>47</v>
          </cell>
          <cell r="CM508" t="str">
            <v>50</v>
          </cell>
          <cell r="CN508">
            <v>16</v>
          </cell>
          <cell r="CO508">
            <v>42191</v>
          </cell>
          <cell r="CP508">
            <v>42186</v>
          </cell>
          <cell r="CQ508" t="str">
            <v>M4: solar + DG + battery</v>
          </cell>
          <cell r="CR508">
            <v>1</v>
          </cell>
          <cell r="CS508">
            <v>42192</v>
          </cell>
          <cell r="CT508">
            <v>42187</v>
          </cell>
          <cell r="CU508" t="str">
            <v>SG0161</v>
          </cell>
          <cell r="DH508">
            <v>46</v>
          </cell>
          <cell r="DI508">
            <v>42202</v>
          </cell>
          <cell r="DK508">
            <v>42199</v>
          </cell>
          <cell r="DL508">
            <v>42187</v>
          </cell>
          <cell r="DM508">
            <v>42203</v>
          </cell>
          <cell r="DO508">
            <v>0</v>
          </cell>
          <cell r="DP508">
            <v>42202</v>
          </cell>
          <cell r="DT508">
            <v>0</v>
          </cell>
          <cell r="DU508">
            <v>42217</v>
          </cell>
          <cell r="DW508">
            <v>0</v>
          </cell>
          <cell r="DY508">
            <v>42203</v>
          </cell>
          <cell r="DZ508">
            <v>42234</v>
          </cell>
          <cell r="EA508" t="str">
            <v>Camusat</v>
          </cell>
          <cell r="EB508">
            <v>42220</v>
          </cell>
          <cell r="EE508" t="str">
            <v xml:space="preserve">10 Aug 15:Flood affected_Hold-No access; 4-Aug-15:Lessor canÆt contact for confirmation about the flooding								</v>
          </cell>
          <cell r="EJ508">
            <v>0</v>
          </cell>
          <cell r="EK508">
            <v>42220</v>
          </cell>
          <cell r="EM508">
            <v>42221</v>
          </cell>
          <cell r="EQ508">
            <v>42230</v>
          </cell>
          <cell r="EW508">
            <v>0</v>
          </cell>
          <cell r="EX508">
            <v>42244</v>
          </cell>
          <cell r="EZ508">
            <v>42240</v>
          </cell>
          <cell r="FB508">
            <v>42242</v>
          </cell>
          <cell r="FU508">
            <v>42244</v>
          </cell>
          <cell r="FW508">
            <v>42244</v>
          </cell>
          <cell r="FY508" t="str">
            <v>GTL</v>
          </cell>
          <cell r="GF508">
            <v>42144</v>
          </cell>
          <cell r="GI508">
            <v>42081</v>
          </cell>
          <cell r="GJ508">
            <v>0</v>
          </cell>
          <cell r="GN508" t="str">
            <v>ERICSSON</v>
          </cell>
          <cell r="GU508" t="str">
            <v xml:space="preserve">		</v>
          </cell>
          <cell r="HD508">
            <v>1</v>
          </cell>
        </row>
        <row r="509">
          <cell r="A509" t="str">
            <v>SG0344</v>
          </cell>
          <cell r="B509" t="str">
            <v>ANSG_0422</v>
          </cell>
          <cell r="C509" t="str">
            <v>Apollo</v>
          </cell>
          <cell r="D509" t="str">
            <v>Adriaan Coetsee</v>
          </cell>
          <cell r="F509" t="str">
            <v>Aung Thu Win</v>
          </cell>
          <cell r="G509" t="str">
            <v>Kyaw Zay Yar</v>
          </cell>
          <cell r="H509" t="str">
            <v>RED</v>
          </cell>
          <cell r="I509" t="str">
            <v>North</v>
          </cell>
          <cell r="J509" t="str">
            <v>95.08588</v>
          </cell>
          <cell r="K509" t="str">
            <v>22.06099</v>
          </cell>
          <cell r="L509" t="str">
            <v>Rural</v>
          </cell>
          <cell r="M509" t="str">
            <v>Sagaing</v>
          </cell>
          <cell r="N509" t="str">
            <v>Salingyi</v>
          </cell>
          <cell r="O509" t="str">
            <v>Salingyi</v>
          </cell>
          <cell r="P509" t="str">
            <v>Sagaing</v>
          </cell>
          <cell r="Q509" t="str">
            <v>11</v>
          </cell>
          <cell r="R509" t="str">
            <v>Salingyi</v>
          </cell>
          <cell r="S509" t="str">
            <v>59</v>
          </cell>
          <cell r="T509" t="str">
            <v>GSM+UMTS</v>
          </cell>
          <cell r="U509" t="str">
            <v>NAY_N001</v>
          </cell>
          <cell r="V509" t="str">
            <v>3</v>
          </cell>
          <cell r="W509" t="str">
            <v>Ph2-Priority</v>
          </cell>
          <cell r="X509" t="str">
            <v>45</v>
          </cell>
          <cell r="Y509" t="str">
            <v>47</v>
          </cell>
          <cell r="Z509" t="str">
            <v>GBT</v>
          </cell>
          <cell r="AA509" t="str">
            <v>500</v>
          </cell>
          <cell r="AB509" t="str">
            <v>Access</v>
          </cell>
          <cell r="AC509" t="str">
            <v>Class C</v>
          </cell>
          <cell r="AD509" t="str">
            <v>1590</v>
          </cell>
          <cell r="AE509" t="str">
            <v>1955</v>
          </cell>
          <cell r="AF509" t="str">
            <v>2</v>
          </cell>
          <cell r="AG509" t="str">
            <v>NP0046</v>
          </cell>
          <cell r="AH509" t="str">
            <v>NP0070</v>
          </cell>
          <cell r="AI509" t="str">
            <v>NP0062</v>
          </cell>
          <cell r="BC509" t="str">
            <v>NP0062</v>
          </cell>
          <cell r="BD509" t="str">
            <v>7</v>
          </cell>
          <cell r="BE509" t="str">
            <v>Route 6 Mandalay - Monywa</v>
          </cell>
          <cell r="BF509">
            <v>41760</v>
          </cell>
          <cell r="BG509">
            <v>41895</v>
          </cell>
          <cell r="BH509" t="str">
            <v>Camusat</v>
          </cell>
          <cell r="BJ509">
            <v>42153</v>
          </cell>
          <cell r="BK509">
            <v>42169</v>
          </cell>
          <cell r="BL509">
            <v>42158</v>
          </cell>
          <cell r="BM509">
            <v>42177</v>
          </cell>
          <cell r="BN509" t="str">
            <v>Govt. Land</v>
          </cell>
          <cell r="BO509">
            <v>41720</v>
          </cell>
          <cell r="BP509" t="str">
            <v>Submit to MCIT</v>
          </cell>
          <cell r="BQ509" t="str">
            <v>NayPyiTaw International Airport</v>
          </cell>
          <cell r="BT509">
            <v>64</v>
          </cell>
          <cell r="BU509">
            <v>42177</v>
          </cell>
          <cell r="BV509">
            <v>42148</v>
          </cell>
          <cell r="BW509">
            <v>95.270139999999998</v>
          </cell>
          <cell r="BX509">
            <v>21.94866</v>
          </cell>
          <cell r="BY509" t="str">
            <v>Reject</v>
          </cell>
          <cell r="BZ509" t="str">
            <v>Chaung Oo Taung Ye Hlay Quarter,Sagaing Division.</v>
          </cell>
          <cell r="CA509" t="str">
            <v>Daw Yi Tint;Chaung Oo Taung Ye Hlay Quarter, Chaung Oo Township,Sagaing Division;09-256160668</v>
          </cell>
          <cell r="CB509" t="str">
            <v>04 Aug 15 : C1 SAR rejected( RND rejected because this site is 3.64km far from the nominal point and then the candidate (22.02879,95.09303) is close to SG0451 which is already approved TSSR. We would like to request  Tower co to search new candidate between 90 degree and 110 degree from nominal point); 30 July 15 : C1 SAR +justification sub</v>
          </cell>
          <cell r="CC509" t="str">
            <v>Residential</v>
          </cell>
          <cell r="CE509">
            <v>0</v>
          </cell>
          <cell r="CF509">
            <v>42178</v>
          </cell>
          <cell r="CG509">
            <v>42150</v>
          </cell>
          <cell r="CH509">
            <v>42180</v>
          </cell>
          <cell r="CN509">
            <v>0</v>
          </cell>
          <cell r="CO509">
            <v>42183</v>
          </cell>
          <cell r="CQ509" t="str">
            <v>M1: grid power + battery</v>
          </cell>
          <cell r="CR509">
            <v>0</v>
          </cell>
          <cell r="CS509">
            <v>42184</v>
          </cell>
          <cell r="CU509" t="str">
            <v>SG0344</v>
          </cell>
          <cell r="DH509">
            <v>0</v>
          </cell>
          <cell r="DI509">
            <v>42194</v>
          </cell>
          <cell r="DK509">
            <v>42191</v>
          </cell>
          <cell r="DM509">
            <v>42195</v>
          </cell>
          <cell r="DO509">
            <v>0</v>
          </cell>
          <cell r="DP509">
            <v>42194</v>
          </cell>
          <cell r="DR509" t="str">
            <v>NCDC</v>
          </cell>
          <cell r="DT509">
            <v>0</v>
          </cell>
          <cell r="DU509">
            <v>42209</v>
          </cell>
          <cell r="DW509">
            <v>0</v>
          </cell>
          <cell r="DY509">
            <v>42195</v>
          </cell>
          <cell r="EA509" t="str">
            <v>Camusat</v>
          </cell>
          <cell r="EJ509">
            <v>0</v>
          </cell>
          <cell r="EK509">
            <v>42212</v>
          </cell>
          <cell r="EM509">
            <v>42213</v>
          </cell>
          <cell r="EQ509">
            <v>42222</v>
          </cell>
          <cell r="EW509">
            <v>0</v>
          </cell>
          <cell r="EX509">
            <v>42260</v>
          </cell>
          <cell r="EZ509">
            <v>42232</v>
          </cell>
          <cell r="FB509">
            <v>42234</v>
          </cell>
          <cell r="FD509">
            <v>41934</v>
          </cell>
          <cell r="FF509">
            <v>41941</v>
          </cell>
          <cell r="FH509">
            <v>41943</v>
          </cell>
          <cell r="FJ509">
            <v>41946</v>
          </cell>
          <cell r="FN509">
            <v>41950</v>
          </cell>
          <cell r="FP509">
            <v>41952</v>
          </cell>
          <cell r="FR509">
            <v>41966</v>
          </cell>
          <cell r="FU509">
            <v>42236</v>
          </cell>
          <cell r="FW509">
            <v>42236</v>
          </cell>
          <cell r="FY509" t="str">
            <v>EM</v>
          </cell>
          <cell r="GF509">
            <v>41899</v>
          </cell>
          <cell r="GI509">
            <v>41895</v>
          </cell>
          <cell r="GJ509">
            <v>0</v>
          </cell>
          <cell r="GN509" t="str">
            <v>ERICSSON</v>
          </cell>
          <cell r="HD509">
            <v>1</v>
          </cell>
        </row>
        <row r="510">
          <cell r="A510" t="str">
            <v>SG0360</v>
          </cell>
          <cell r="B510" t="str">
            <v>ANSG_0423</v>
          </cell>
          <cell r="C510" t="str">
            <v>Apollo</v>
          </cell>
          <cell r="D510" t="str">
            <v>Adriaan Coetsee</v>
          </cell>
          <cell r="F510" t="str">
            <v>Aung Thu Win</v>
          </cell>
          <cell r="G510" t="str">
            <v>Kyaw Zay Yar</v>
          </cell>
          <cell r="H510" t="str">
            <v>AMBER</v>
          </cell>
          <cell r="I510" t="str">
            <v>North</v>
          </cell>
          <cell r="J510" t="str">
            <v>95.6776436629315</v>
          </cell>
          <cell r="K510" t="str">
            <v>23.9001950808493</v>
          </cell>
          <cell r="L510" t="str">
            <v>SubUrban</v>
          </cell>
          <cell r="M510" t="str">
            <v>Sagaing</v>
          </cell>
          <cell r="N510" t="str">
            <v>Wuntho</v>
          </cell>
          <cell r="O510" t="str">
            <v>Wuntho</v>
          </cell>
          <cell r="P510" t="str">
            <v>Sagaing</v>
          </cell>
          <cell r="Q510" t="str">
            <v>11</v>
          </cell>
          <cell r="R510" t="str">
            <v>Wuntho</v>
          </cell>
          <cell r="S510" t="str">
            <v>66</v>
          </cell>
          <cell r="T510" t="str">
            <v>GSM+UMTS</v>
          </cell>
          <cell r="W510" t="str">
            <v>Ph2-Priority</v>
          </cell>
          <cell r="X510" t="str">
            <v>35</v>
          </cell>
          <cell r="Y510" t="str">
            <v>37</v>
          </cell>
          <cell r="Z510" t="str">
            <v>GBT</v>
          </cell>
          <cell r="AA510" t="str">
            <v>250</v>
          </cell>
          <cell r="AB510" t="str">
            <v>Access</v>
          </cell>
          <cell r="AC510" t="str">
            <v>Class B</v>
          </cell>
          <cell r="BE510" t="str">
            <v>Route 10 Mandalay - Myitkyina</v>
          </cell>
          <cell r="BH510" t="str">
            <v>Camusat</v>
          </cell>
          <cell r="BJ510">
            <v>42128</v>
          </cell>
          <cell r="BK510">
            <v>42130</v>
          </cell>
          <cell r="BL510">
            <v>42133</v>
          </cell>
          <cell r="BM510">
            <v>42160</v>
          </cell>
          <cell r="BT510">
            <v>40</v>
          </cell>
          <cell r="BU510">
            <v>42167</v>
          </cell>
          <cell r="BV510">
            <v>42170</v>
          </cell>
          <cell r="BW510" t="str">
            <v>95.67978</v>
          </cell>
          <cell r="BX510" t="str">
            <v>23.90049</v>
          </cell>
          <cell r="BY510" t="str">
            <v>C2</v>
          </cell>
          <cell r="BZ510" t="str">
            <v>Sitkegyi Quarter, Wintho Township, Sagaing Division</v>
          </cell>
          <cell r="CA510" t="str">
            <v>Daw Chit Yee</v>
          </cell>
          <cell r="CB510" t="str">
            <v>15Jun15: C2-SAR submission; C1-failed during TSS due to neighbor's issue27May15: C1 SAR Sub</v>
          </cell>
          <cell r="CC510" t="str">
            <v>Town</v>
          </cell>
          <cell r="CE510">
            <v>2</v>
          </cell>
          <cell r="CF510">
            <v>42168</v>
          </cell>
          <cell r="CG510">
            <v>42172</v>
          </cell>
          <cell r="CH510">
            <v>42170</v>
          </cell>
          <cell r="CJ510">
            <v>42193</v>
          </cell>
          <cell r="CK510" t="str">
            <v>35</v>
          </cell>
          <cell r="CL510" t="str">
            <v>37</v>
          </cell>
          <cell r="CM510" t="str">
            <v>40</v>
          </cell>
          <cell r="CN510">
            <v>23</v>
          </cell>
          <cell r="CO510">
            <v>42173</v>
          </cell>
          <cell r="CP510">
            <v>42195</v>
          </cell>
          <cell r="CQ510" t="str">
            <v>M1: grid power + battery</v>
          </cell>
          <cell r="CR510">
            <v>4</v>
          </cell>
          <cell r="CS510">
            <v>42174</v>
          </cell>
          <cell r="CT510">
            <v>42199</v>
          </cell>
          <cell r="CU510" t="str">
            <v>SG0360</v>
          </cell>
          <cell r="DH510">
            <v>34</v>
          </cell>
          <cell r="DI510">
            <v>42184</v>
          </cell>
          <cell r="DJ510">
            <v>42248</v>
          </cell>
          <cell r="DK510">
            <v>42181</v>
          </cell>
          <cell r="DL510">
            <v>42198</v>
          </cell>
          <cell r="DM510">
            <v>42185</v>
          </cell>
          <cell r="DO510">
            <v>0</v>
          </cell>
          <cell r="DP510">
            <v>42184</v>
          </cell>
          <cell r="DQ510">
            <v>42248</v>
          </cell>
          <cell r="DT510">
            <v>0</v>
          </cell>
          <cell r="DU510">
            <v>42199</v>
          </cell>
          <cell r="DW510">
            <v>0</v>
          </cell>
          <cell r="DY510">
            <v>42185</v>
          </cell>
          <cell r="DZ510">
            <v>42208</v>
          </cell>
          <cell r="EA510" t="str">
            <v>Camusat</v>
          </cell>
          <cell r="EB510">
            <v>42210</v>
          </cell>
          <cell r="EE510" t="str">
            <v xml:space="preserve">10 Aug 15:Flood affected_Hold-No access; 25-Jul-15: Flooded access or site is flooded_ we canÆt proceed to this site for now								</v>
          </cell>
          <cell r="EJ510">
            <v>25</v>
          </cell>
          <cell r="EK510">
            <v>42200</v>
          </cell>
          <cell r="EL510">
            <v>42240</v>
          </cell>
          <cell r="EM510">
            <v>42201</v>
          </cell>
          <cell r="EN510">
            <v>42238</v>
          </cell>
          <cell r="EQ510">
            <v>42208</v>
          </cell>
          <cell r="ER510">
            <v>42250</v>
          </cell>
          <cell r="ES510">
            <v>42245</v>
          </cell>
          <cell r="ET510">
            <v>42250</v>
          </cell>
          <cell r="EU510">
            <v>42250</v>
          </cell>
          <cell r="EW510">
            <v>25</v>
          </cell>
          <cell r="EX510">
            <v>42222</v>
          </cell>
          <cell r="EZ510">
            <v>42218</v>
          </cell>
          <cell r="FB510">
            <v>42220</v>
          </cell>
          <cell r="FU510">
            <v>42222</v>
          </cell>
          <cell r="FW510">
            <v>42222</v>
          </cell>
          <cell r="FY510" t="str">
            <v>AZM</v>
          </cell>
          <cell r="FZ510">
            <v>42249</v>
          </cell>
          <cell r="GI510">
            <v>42246</v>
          </cell>
          <cell r="GJ510" t="str">
            <v>44-2015</v>
          </cell>
          <cell r="GN510" t="str">
            <v>ERICSSON</v>
          </cell>
          <cell r="GO510">
            <v>42197</v>
          </cell>
          <cell r="HD510">
            <v>1</v>
          </cell>
        </row>
        <row r="511">
          <cell r="A511" t="str">
            <v>SG0361</v>
          </cell>
          <cell r="B511" t="str">
            <v>ANSG_0424</v>
          </cell>
          <cell r="C511" t="str">
            <v>Apollo</v>
          </cell>
          <cell r="D511" t="str">
            <v>Adriaan Coetsee</v>
          </cell>
          <cell r="F511" t="str">
            <v>Aung Thu Win</v>
          </cell>
          <cell r="G511" t="str">
            <v>Kyaw Zay Yar</v>
          </cell>
          <cell r="H511" t="str">
            <v>YELLOW</v>
          </cell>
          <cell r="I511" t="str">
            <v>North</v>
          </cell>
          <cell r="J511" t="str">
            <v>95.2700523654101</v>
          </cell>
          <cell r="K511" t="str">
            <v>21.9502619873157</v>
          </cell>
          <cell r="L511" t="str">
            <v>SubUrban</v>
          </cell>
          <cell r="M511" t="str">
            <v>Sagaing</v>
          </cell>
          <cell r="N511" t="str">
            <v>Chaung-U</v>
          </cell>
          <cell r="O511" t="str">
            <v>Chaung-U</v>
          </cell>
          <cell r="P511" t="str">
            <v>Sagaing</v>
          </cell>
          <cell r="Q511" t="str">
            <v>11</v>
          </cell>
          <cell r="R511" t="str">
            <v>Chaung-U</v>
          </cell>
          <cell r="S511" t="str">
            <v>56</v>
          </cell>
          <cell r="T511" t="str">
            <v>GSM+UMTS</v>
          </cell>
          <cell r="U511" t="str">
            <v>YAN-N018</v>
          </cell>
          <cell r="V511" t="str">
            <v>1</v>
          </cell>
          <cell r="W511" t="str">
            <v>Ph2-Priority</v>
          </cell>
          <cell r="X511" t="str">
            <v>35</v>
          </cell>
          <cell r="Y511" t="str">
            <v>37</v>
          </cell>
          <cell r="Z511" t="str">
            <v>GBT</v>
          </cell>
          <cell r="AA511" t="str">
            <v>250</v>
          </cell>
          <cell r="AB511" t="str">
            <v>Access</v>
          </cell>
          <cell r="AC511" t="str">
            <v>Class B</v>
          </cell>
          <cell r="AD511" t="str">
            <v>1590</v>
          </cell>
          <cell r="AE511" t="str">
            <v>1955</v>
          </cell>
          <cell r="AF511" t="str">
            <v>3</v>
          </cell>
          <cell r="AG511" t="str">
            <v>YN0298</v>
          </cell>
          <cell r="BC511" t="str">
            <v>YN0298</v>
          </cell>
          <cell r="BE511" t="str">
            <v>Route 6 Mandalay - Monywa</v>
          </cell>
          <cell r="BF511">
            <v>41760</v>
          </cell>
          <cell r="BG511">
            <v>41891</v>
          </cell>
          <cell r="BH511" t="str">
            <v>Camusat</v>
          </cell>
          <cell r="BJ511">
            <v>42131</v>
          </cell>
          <cell r="BK511">
            <v>42130</v>
          </cell>
          <cell r="BL511">
            <v>42136</v>
          </cell>
          <cell r="BM511">
            <v>42138</v>
          </cell>
          <cell r="BO511">
            <v>41701</v>
          </cell>
          <cell r="BR511" t="str">
            <v>Nominal Point</v>
          </cell>
          <cell r="BS511">
            <v>41730</v>
          </cell>
          <cell r="BT511">
            <v>18</v>
          </cell>
          <cell r="BU511">
            <v>42143</v>
          </cell>
          <cell r="BV511">
            <v>42148</v>
          </cell>
          <cell r="BW511" t="str">
            <v>95.26996</v>
          </cell>
          <cell r="BX511" t="str">
            <v>21.9487</v>
          </cell>
          <cell r="BY511" t="str">
            <v>C1</v>
          </cell>
          <cell r="BZ511" t="str">
            <v>Chaung Oo Taung Ye Hlay Quarter, Chaung Oo Township,Sagaing Division.</v>
          </cell>
          <cell r="CA511" t="str">
            <v>Daw Yi Tint;Chaung Oo Taung Ye Hlay Quarter, Chaung Oo Township,Sagaing Division;09-256160668</v>
          </cell>
          <cell r="CB511" t="str">
            <v>24May15: C1 SAR Sub.</v>
          </cell>
          <cell r="CE511">
            <v>2</v>
          </cell>
          <cell r="CF511">
            <v>42144</v>
          </cell>
          <cell r="CG511">
            <v>42150</v>
          </cell>
          <cell r="CH511">
            <v>42159</v>
          </cell>
          <cell r="CJ511">
            <v>42157</v>
          </cell>
          <cell r="CK511" t="str">
            <v>35</v>
          </cell>
          <cell r="CL511" t="str">
            <v>37</v>
          </cell>
          <cell r="CM511" t="str">
            <v>40</v>
          </cell>
          <cell r="CN511">
            <v>9</v>
          </cell>
          <cell r="CO511">
            <v>42162</v>
          </cell>
          <cell r="CP511">
            <v>42159</v>
          </cell>
          <cell r="CQ511" t="str">
            <v>M1: grid power + battery</v>
          </cell>
          <cell r="CR511">
            <v>1</v>
          </cell>
          <cell r="CS511">
            <v>42163</v>
          </cell>
          <cell r="CT511">
            <v>42160</v>
          </cell>
          <cell r="CU511" t="str">
            <v>SG0361</v>
          </cell>
          <cell r="DH511">
            <v>10</v>
          </cell>
          <cell r="DI511">
            <v>42173</v>
          </cell>
          <cell r="DJ511">
            <v>42170</v>
          </cell>
          <cell r="DK511">
            <v>42170</v>
          </cell>
          <cell r="DL511">
            <v>42168</v>
          </cell>
          <cell r="DM511">
            <v>42174</v>
          </cell>
          <cell r="DN511">
            <v>42174</v>
          </cell>
          <cell r="DO511">
            <v>0</v>
          </cell>
          <cell r="DP511">
            <v>42173</v>
          </cell>
          <cell r="DQ511">
            <v>42170</v>
          </cell>
          <cell r="DR511" t="str">
            <v>YCDC</v>
          </cell>
          <cell r="DT511">
            <v>7</v>
          </cell>
          <cell r="DU511">
            <v>42188</v>
          </cell>
          <cell r="DV511">
            <v>42177</v>
          </cell>
          <cell r="DW511">
            <v>-3</v>
          </cell>
          <cell r="DY511">
            <v>42174</v>
          </cell>
          <cell r="DZ511">
            <v>42174</v>
          </cell>
          <cell r="EA511" t="str">
            <v>Camusat</v>
          </cell>
          <cell r="ED511" t="str">
            <v xml:space="preserve">25Jul15 :KyawZay.Yar: Pedestal done.Back filling ongoing.No tower parts on site.
</v>
          </cell>
          <cell r="EJ511">
            <v>31</v>
          </cell>
          <cell r="EK511">
            <v>42189</v>
          </cell>
          <cell r="EL511">
            <v>42205</v>
          </cell>
          <cell r="EM511">
            <v>42190</v>
          </cell>
          <cell r="EN511">
            <v>42233</v>
          </cell>
          <cell r="EQ511">
            <v>42197</v>
          </cell>
          <cell r="ER511">
            <v>42240</v>
          </cell>
          <cell r="ES511">
            <v>42234</v>
          </cell>
          <cell r="ET511">
            <v>42243</v>
          </cell>
          <cell r="EU511">
            <v>42243</v>
          </cell>
          <cell r="EW511">
            <v>59</v>
          </cell>
          <cell r="EX511">
            <v>42211</v>
          </cell>
          <cell r="EZ511">
            <v>42207</v>
          </cell>
          <cell r="FA511">
            <v>42241</v>
          </cell>
          <cell r="FB511">
            <v>42209</v>
          </cell>
          <cell r="FC511">
            <v>42246</v>
          </cell>
          <cell r="FD511">
            <v>41934</v>
          </cell>
          <cell r="FF511">
            <v>41941</v>
          </cell>
          <cell r="FH511">
            <v>41943</v>
          </cell>
          <cell r="FJ511">
            <v>41946</v>
          </cell>
          <cell r="FN511">
            <v>41950</v>
          </cell>
          <cell r="FP511">
            <v>41952</v>
          </cell>
          <cell r="FR511">
            <v>41966</v>
          </cell>
          <cell r="FU511">
            <v>42211</v>
          </cell>
          <cell r="FW511">
            <v>42211</v>
          </cell>
          <cell r="FX511">
            <v>42246</v>
          </cell>
          <cell r="FY511" t="str">
            <v>CFVL</v>
          </cell>
          <cell r="FZ511">
            <v>42236</v>
          </cell>
          <cell r="GA511">
            <v>42239</v>
          </cell>
          <cell r="GB511">
            <v>42243</v>
          </cell>
          <cell r="GC511">
            <v>42243</v>
          </cell>
          <cell r="GD511">
            <v>42243</v>
          </cell>
          <cell r="GE511">
            <v>42245</v>
          </cell>
          <cell r="GF511">
            <v>42248</v>
          </cell>
          <cell r="GG511">
            <v>42248</v>
          </cell>
          <cell r="GH511">
            <v>42248</v>
          </cell>
          <cell r="GI511">
            <v>42246</v>
          </cell>
          <cell r="GJ511" t="str">
            <v>36-2015</v>
          </cell>
          <cell r="GK511">
            <v>42248</v>
          </cell>
          <cell r="GN511" t="str">
            <v>ERICSSON</v>
          </cell>
          <cell r="GS511" t="str">
            <v>4/4/4</v>
          </cell>
          <cell r="GU511" t="str">
            <v xml:space="preserve">		</v>
          </cell>
          <cell r="HD511">
            <v>1</v>
          </cell>
        </row>
        <row r="512">
          <cell r="A512" t="str">
            <v>SG0362</v>
          </cell>
          <cell r="B512" t="str">
            <v>ANSG_0397</v>
          </cell>
          <cell r="C512" t="str">
            <v>Apollo</v>
          </cell>
          <cell r="D512" t="str">
            <v>Adriaan Coetsee</v>
          </cell>
          <cell r="F512" t="str">
            <v>Aung Thu Win</v>
          </cell>
          <cell r="G512" t="str">
            <v>Kyaw Zay Yar</v>
          </cell>
          <cell r="H512" t="str">
            <v>AMBER</v>
          </cell>
          <cell r="I512" t="str">
            <v>North</v>
          </cell>
          <cell r="J512" t="str">
            <v>95.3142403978046</v>
          </cell>
          <cell r="K512" t="str">
            <v>21.9391275209033</v>
          </cell>
          <cell r="L512" t="str">
            <v>Rural</v>
          </cell>
          <cell r="M512" t="str">
            <v>Sagaing</v>
          </cell>
          <cell r="N512" t="str">
            <v>Chaung-U</v>
          </cell>
          <cell r="O512" t="str">
            <v>Chaung-U</v>
          </cell>
          <cell r="P512" t="str">
            <v>Sagaing</v>
          </cell>
          <cell r="Q512" t="str">
            <v>11</v>
          </cell>
          <cell r="R512" t="str">
            <v>Chaung-U</v>
          </cell>
          <cell r="S512" t="str">
            <v>56</v>
          </cell>
          <cell r="T512" t="str">
            <v>GSM+UMTS</v>
          </cell>
          <cell r="W512" t="str">
            <v>Ph2-Priority</v>
          </cell>
          <cell r="X512" t="str">
            <v>45</v>
          </cell>
          <cell r="Y512" t="str">
            <v>47</v>
          </cell>
          <cell r="Z512" t="str">
            <v>GBT</v>
          </cell>
          <cell r="AA512" t="str">
            <v>500</v>
          </cell>
          <cell r="AB512" t="str">
            <v>Access</v>
          </cell>
          <cell r="AC512" t="str">
            <v>Class C</v>
          </cell>
          <cell r="BE512" t="str">
            <v>Route 6 Mandalay - Monywa</v>
          </cell>
          <cell r="BH512" t="str">
            <v>Camusat</v>
          </cell>
          <cell r="BJ512">
            <v>42167</v>
          </cell>
          <cell r="BK512">
            <v>42140</v>
          </cell>
          <cell r="BL512">
            <v>42172</v>
          </cell>
          <cell r="BM512">
            <v>42147</v>
          </cell>
          <cell r="BT512">
            <v>48</v>
          </cell>
          <cell r="BU512">
            <v>42215</v>
          </cell>
          <cell r="BV512">
            <v>42188</v>
          </cell>
          <cell r="BW512" t="str">
            <v>95.31612</v>
          </cell>
          <cell r="BX512" t="str">
            <v>21.93619</v>
          </cell>
          <cell r="BY512" t="str">
            <v>C2</v>
          </cell>
          <cell r="BZ512" t="str">
            <v>Sagaing Division, Chaung Oo Township, Nga Shan Village .</v>
          </cell>
          <cell r="CA512" t="str">
            <v>U Kyaw Win</v>
          </cell>
          <cell r="CB512" t="str">
            <v>3 July 15 : C2-SAR submission + Justification (Farmland but other use permit can be processed) C1-NOC issue;12 June 15 : C1 TSSR app;3 June 15 : C1 SAR app</v>
          </cell>
          <cell r="CC512" t="str">
            <v>Farmland</v>
          </cell>
          <cell r="CE512">
            <v>3</v>
          </cell>
          <cell r="CF512">
            <v>42216</v>
          </cell>
          <cell r="CG512">
            <v>42191</v>
          </cell>
          <cell r="CH512">
            <v>42218</v>
          </cell>
          <cell r="CJ512">
            <v>42196</v>
          </cell>
          <cell r="CK512" t="str">
            <v>45</v>
          </cell>
          <cell r="CL512" t="str">
            <v>47</v>
          </cell>
          <cell r="CM512" t="str">
            <v>50</v>
          </cell>
          <cell r="CN512">
            <v>7</v>
          </cell>
          <cell r="CO512">
            <v>42221</v>
          </cell>
          <cell r="CP512">
            <v>42198</v>
          </cell>
          <cell r="CQ512" t="str">
            <v>M1: grid power + battery</v>
          </cell>
          <cell r="CR512">
            <v>1</v>
          </cell>
          <cell r="CS512">
            <v>42222</v>
          </cell>
          <cell r="CT512">
            <v>42199</v>
          </cell>
          <cell r="CU512" t="str">
            <v>SG0362</v>
          </cell>
          <cell r="DH512">
            <v>-15</v>
          </cell>
          <cell r="DI512">
            <v>42232</v>
          </cell>
          <cell r="DJ512">
            <v>42184</v>
          </cell>
          <cell r="DK512">
            <v>42229</v>
          </cell>
          <cell r="DL512">
            <v>42172</v>
          </cell>
          <cell r="DM512">
            <v>42233</v>
          </cell>
          <cell r="DN512">
            <v>42180</v>
          </cell>
          <cell r="DO512">
            <v>0</v>
          </cell>
          <cell r="DP512">
            <v>42232</v>
          </cell>
          <cell r="DQ512">
            <v>42184</v>
          </cell>
          <cell r="DT512">
            <v>49</v>
          </cell>
          <cell r="DU512">
            <v>42247</v>
          </cell>
          <cell r="DW512">
            <v>0</v>
          </cell>
          <cell r="DY512">
            <v>42233</v>
          </cell>
          <cell r="DZ512">
            <v>42229</v>
          </cell>
          <cell r="EA512" t="str">
            <v>Camusat</v>
          </cell>
          <cell r="ED512" t="str">
            <v xml:space="preserve">25Aug15 :KyawZay.Yar: Excavation done.Pouring lean concrete done.Rebar for column will start tomorrow.Rebars on site.
</v>
          </cell>
          <cell r="EI512" t="str">
            <v>M7: 2DG + battery      </v>
          </cell>
          <cell r="EJ512">
            <v>4</v>
          </cell>
          <cell r="EK512">
            <v>42250</v>
          </cell>
          <cell r="EL512">
            <v>42191</v>
          </cell>
          <cell r="EM512">
            <v>42251</v>
          </cell>
          <cell r="EN512">
            <v>42191</v>
          </cell>
          <cell r="EQ512">
            <v>42260</v>
          </cell>
          <cell r="ER512">
            <v>42195</v>
          </cell>
          <cell r="ES512">
            <v>42194</v>
          </cell>
          <cell r="ET512">
            <v>42198</v>
          </cell>
          <cell r="EU512">
            <v>42198</v>
          </cell>
          <cell r="EW512">
            <v>4</v>
          </cell>
          <cell r="EX512">
            <v>42260</v>
          </cell>
          <cell r="EZ512">
            <v>42270</v>
          </cell>
          <cell r="FA512">
            <v>42201</v>
          </cell>
          <cell r="FB512">
            <v>42272</v>
          </cell>
          <cell r="FC512">
            <v>42205</v>
          </cell>
          <cell r="FE512">
            <v>42193</v>
          </cell>
          <cell r="FU512">
            <v>42274</v>
          </cell>
          <cell r="FV512">
            <v>42212</v>
          </cell>
          <cell r="FW512">
            <v>42274</v>
          </cell>
          <cell r="FX512">
            <v>42205</v>
          </cell>
          <cell r="FY512" t="str">
            <v>TN</v>
          </cell>
          <cell r="FZ512">
            <v>42193</v>
          </cell>
          <cell r="GA512">
            <v>42195</v>
          </cell>
          <cell r="GB512">
            <v>42197</v>
          </cell>
          <cell r="GC512">
            <v>42197</v>
          </cell>
          <cell r="GD512">
            <v>42197</v>
          </cell>
          <cell r="GE512">
            <v>42202</v>
          </cell>
          <cell r="GF512">
            <v>42202</v>
          </cell>
          <cell r="GG512">
            <v>42206</v>
          </cell>
          <cell r="GH512">
            <v>42206</v>
          </cell>
          <cell r="GI512">
            <v>42148</v>
          </cell>
          <cell r="GJ512">
            <v>0</v>
          </cell>
          <cell r="GK512">
            <v>42206</v>
          </cell>
          <cell r="GN512" t="str">
            <v>ERICSSON</v>
          </cell>
          <cell r="GS512" t="str">
            <v>4/4/4</v>
          </cell>
          <cell r="GT512" t="str">
            <v>Triple Carrier</v>
          </cell>
          <cell r="GU512" t="str">
            <v xml:space="preserve">		</v>
          </cell>
          <cell r="HD512">
            <v>1</v>
          </cell>
        </row>
        <row r="513">
          <cell r="A513" t="str">
            <v>SG0363</v>
          </cell>
          <cell r="B513" t="str">
            <v>ANSG_0398</v>
          </cell>
          <cell r="C513" t="str">
            <v>Apollo</v>
          </cell>
          <cell r="D513" t="str">
            <v>Adriaan Coetsee</v>
          </cell>
          <cell r="F513" t="str">
            <v>Aung Thu Win</v>
          </cell>
          <cell r="G513" t="str">
            <v>Kyaw Zay Yar</v>
          </cell>
          <cell r="H513" t="str">
            <v>YELLOW</v>
          </cell>
          <cell r="I513" t="str">
            <v>North</v>
          </cell>
          <cell r="J513" t="str">
            <v>95.4266155559928</v>
          </cell>
          <cell r="K513" t="str">
            <v>21.8340160962251</v>
          </cell>
          <cell r="L513" t="str">
            <v>SubUrban</v>
          </cell>
          <cell r="M513" t="str">
            <v>Sagaing</v>
          </cell>
          <cell r="N513" t="str">
            <v>Myaung</v>
          </cell>
          <cell r="O513" t="str">
            <v>Myaung</v>
          </cell>
          <cell r="P513" t="str">
            <v>Sagaing</v>
          </cell>
          <cell r="Q513" t="str">
            <v>11</v>
          </cell>
          <cell r="R513" t="str">
            <v>Myaung</v>
          </cell>
          <cell r="S513" t="str">
            <v>44</v>
          </cell>
          <cell r="T513" t="str">
            <v>GSM+UMTS</v>
          </cell>
          <cell r="W513" t="str">
            <v>Ph2-Priority</v>
          </cell>
          <cell r="X513" t="str">
            <v>35</v>
          </cell>
          <cell r="Y513" t="str">
            <v>37</v>
          </cell>
          <cell r="Z513" t="str">
            <v>GBT</v>
          </cell>
          <cell r="AA513" t="str">
            <v>250</v>
          </cell>
          <cell r="AB513" t="str">
            <v>Access</v>
          </cell>
          <cell r="AC513" t="str">
            <v>Class B</v>
          </cell>
          <cell r="BE513" t="str">
            <v>Route 6 Mandalay - Monywa</v>
          </cell>
          <cell r="BH513" t="str">
            <v>Camusat</v>
          </cell>
          <cell r="BJ513">
            <v>42167</v>
          </cell>
          <cell r="BK513">
            <v>42132</v>
          </cell>
          <cell r="BL513">
            <v>42172</v>
          </cell>
          <cell r="BM513">
            <v>42142</v>
          </cell>
          <cell r="BT513">
            <v>20</v>
          </cell>
          <cell r="BU513">
            <v>42194</v>
          </cell>
          <cell r="BV513">
            <v>42152</v>
          </cell>
          <cell r="BW513" t="str">
            <v>95.42715</v>
          </cell>
          <cell r="BX513" t="str">
            <v>21.83344</v>
          </cell>
          <cell r="BY513" t="str">
            <v>C1 Rev</v>
          </cell>
          <cell r="BZ513" t="str">
            <v>No(51),Myauk  quarter,Myaung Town,Saging Division.</v>
          </cell>
          <cell r="CA513" t="str">
            <v>U Aung Phyo;No(51),Nort quarter,Myaung Town,Saging Davision;959.256013138,797620339,259192553</v>
          </cell>
          <cell r="CB513" t="str">
            <v>28May15: C1 SAR Sub</v>
          </cell>
          <cell r="CC513" t="str">
            <v>GARDEN LAND</v>
          </cell>
          <cell r="CE513">
            <v>1</v>
          </cell>
          <cell r="CF513">
            <v>42195</v>
          </cell>
          <cell r="CG513">
            <v>42153</v>
          </cell>
          <cell r="CH513">
            <v>42197</v>
          </cell>
          <cell r="CJ513">
            <v>42160</v>
          </cell>
          <cell r="CK513" t="str">
            <v>35</v>
          </cell>
          <cell r="CL513" t="str">
            <v>37</v>
          </cell>
          <cell r="CM513" t="str">
            <v>40</v>
          </cell>
          <cell r="CN513">
            <v>8</v>
          </cell>
          <cell r="CO513">
            <v>42200</v>
          </cell>
          <cell r="CP513">
            <v>42161</v>
          </cell>
          <cell r="CQ513" t="str">
            <v>M1: grid power + battery</v>
          </cell>
          <cell r="CR513">
            <v>6</v>
          </cell>
          <cell r="CS513">
            <v>42201</v>
          </cell>
          <cell r="CT513">
            <v>42167</v>
          </cell>
          <cell r="CU513" t="str">
            <v>SG0363</v>
          </cell>
          <cell r="DH513">
            <v>6</v>
          </cell>
          <cell r="DI513">
            <v>42211</v>
          </cell>
          <cell r="DJ513">
            <v>42173</v>
          </cell>
          <cell r="DK513">
            <v>42208</v>
          </cell>
          <cell r="DL513">
            <v>42168</v>
          </cell>
          <cell r="DM513">
            <v>42212</v>
          </cell>
          <cell r="DN513">
            <v>42180</v>
          </cell>
          <cell r="DO513">
            <v>0</v>
          </cell>
          <cell r="DP513">
            <v>42211</v>
          </cell>
          <cell r="DQ513">
            <v>42173</v>
          </cell>
          <cell r="DT513">
            <v>13</v>
          </cell>
          <cell r="DU513">
            <v>42226</v>
          </cell>
          <cell r="DV513">
            <v>42186</v>
          </cell>
          <cell r="DW513">
            <v>-5</v>
          </cell>
          <cell r="DY513">
            <v>42212</v>
          </cell>
          <cell r="DZ513">
            <v>42181</v>
          </cell>
          <cell r="EA513" t="str">
            <v>Camusat</v>
          </cell>
          <cell r="ED513" t="str">
            <v>17Aug15 :KyawZay.Yar: Tower parts on site &amp; erection will start today evening.Power equip; on site &amp; connectivity ready.
27Jul15 :KyawZay.Yar: Pedestal done.Equip; pad done.Power equip; on site &amp; connectivity ready but not erected yet.
30Jun15 :KyawZay.Yar: Excavation done.Rebar for footing ongoing(Today will finish).</v>
          </cell>
          <cell r="EI513" t="str">
            <v>M5: grid power + DG + battery      </v>
          </cell>
          <cell r="EJ513">
            <v>11</v>
          </cell>
          <cell r="EK513">
            <v>42227</v>
          </cell>
          <cell r="EL513">
            <v>42192</v>
          </cell>
          <cell r="EM513">
            <v>42228</v>
          </cell>
          <cell r="EN513">
            <v>42233</v>
          </cell>
          <cell r="EQ513">
            <v>42235</v>
          </cell>
          <cell r="ER513">
            <v>42237</v>
          </cell>
          <cell r="ES513">
            <v>42201</v>
          </cell>
          <cell r="ET513">
            <v>42243</v>
          </cell>
          <cell r="EU513">
            <v>42243</v>
          </cell>
          <cell r="EW513">
            <v>52</v>
          </cell>
          <cell r="EX513">
            <v>42249</v>
          </cell>
          <cell r="EZ513">
            <v>42245</v>
          </cell>
          <cell r="FA513">
            <v>42207</v>
          </cell>
          <cell r="FB513">
            <v>42247</v>
          </cell>
          <cell r="FC513">
            <v>42220</v>
          </cell>
          <cell r="FU513">
            <v>42249</v>
          </cell>
          <cell r="FW513">
            <v>42249</v>
          </cell>
          <cell r="FX513">
            <v>42243</v>
          </cell>
          <cell r="FY513" t="str">
            <v>EM</v>
          </cell>
          <cell r="FZ513">
            <v>42209</v>
          </cell>
          <cell r="GA513">
            <v>42214</v>
          </cell>
          <cell r="GB513">
            <v>42240</v>
          </cell>
          <cell r="GC513">
            <v>42240</v>
          </cell>
          <cell r="GD513">
            <v>42241</v>
          </cell>
          <cell r="GE513">
            <v>42241</v>
          </cell>
          <cell r="GF513">
            <v>42104</v>
          </cell>
          <cell r="GG513">
            <v>42241</v>
          </cell>
          <cell r="GH513">
            <v>42241</v>
          </cell>
          <cell r="GI513">
            <v>42246</v>
          </cell>
          <cell r="GJ513" t="str">
            <v>36-2015</v>
          </cell>
          <cell r="GK513">
            <v>42242</v>
          </cell>
          <cell r="GL513" t="str">
            <v>Infra Dep.:: Tower is not ready</v>
          </cell>
          <cell r="GN513" t="str">
            <v>ERICSSON</v>
          </cell>
          <cell r="GP513">
            <v>42206</v>
          </cell>
          <cell r="GQ513" t="str">
            <v xml:space="preserve">Infra Issue; </v>
          </cell>
          <cell r="GU513" t="str">
            <v xml:space="preserve">		</v>
          </cell>
          <cell r="HD513">
            <v>1</v>
          </cell>
        </row>
        <row r="514">
          <cell r="A514" t="str">
            <v>SG0364</v>
          </cell>
          <cell r="B514" t="str">
            <v>ANSG_0425</v>
          </cell>
          <cell r="C514" t="str">
            <v>Apollo</v>
          </cell>
          <cell r="D514" t="str">
            <v>Adriaan Coetsee</v>
          </cell>
          <cell r="F514" t="str">
            <v>Aung Thu Win</v>
          </cell>
          <cell r="G514" t="str">
            <v>Kyaw Zay Yar</v>
          </cell>
          <cell r="H514" t="str">
            <v>YELLOW</v>
          </cell>
          <cell r="I514" t="str">
            <v>North</v>
          </cell>
          <cell r="J514" t="str">
            <v>95.4282773249298</v>
          </cell>
          <cell r="K514" t="str">
            <v>21.8237479652386</v>
          </cell>
          <cell r="L514" t="str">
            <v>SubUrban</v>
          </cell>
          <cell r="M514" t="str">
            <v>Sagaing</v>
          </cell>
          <cell r="N514" t="str">
            <v>Myaung</v>
          </cell>
          <cell r="O514" t="str">
            <v>Myaung</v>
          </cell>
          <cell r="P514" t="str">
            <v>Sagaing</v>
          </cell>
          <cell r="Q514" t="str">
            <v>11</v>
          </cell>
          <cell r="R514" t="str">
            <v>Myaung</v>
          </cell>
          <cell r="S514" t="str">
            <v>44</v>
          </cell>
          <cell r="T514" t="str">
            <v>GSM+UMTS</v>
          </cell>
          <cell r="W514" t="str">
            <v>Ph2-Priority</v>
          </cell>
          <cell r="X514" t="str">
            <v>35</v>
          </cell>
          <cell r="Y514" t="str">
            <v>37</v>
          </cell>
          <cell r="Z514" t="str">
            <v>GBT</v>
          </cell>
          <cell r="AA514" t="str">
            <v>250</v>
          </cell>
          <cell r="AB514" t="str">
            <v>Access</v>
          </cell>
          <cell r="AC514" t="str">
            <v>Class B</v>
          </cell>
          <cell r="BE514" t="str">
            <v>Route 6 Mandalay - Monywa</v>
          </cell>
          <cell r="BH514" t="str">
            <v>Camusat</v>
          </cell>
          <cell r="BJ514">
            <v>42131</v>
          </cell>
          <cell r="BK514">
            <v>42130</v>
          </cell>
          <cell r="BL514">
            <v>42136</v>
          </cell>
          <cell r="BM514">
            <v>42138</v>
          </cell>
          <cell r="BT514">
            <v>18</v>
          </cell>
          <cell r="BU514">
            <v>42143</v>
          </cell>
          <cell r="BV514">
            <v>42148</v>
          </cell>
          <cell r="BW514" t="str">
            <v>95.42773</v>
          </cell>
          <cell r="BX514" t="str">
            <v>21.82318</v>
          </cell>
          <cell r="BY514" t="str">
            <v>C1</v>
          </cell>
          <cell r="BZ514" t="str">
            <v>Ma Yoe Kone Village, Ma Yoe Kone Village Group, Myaung Township, Sagaing.</v>
          </cell>
          <cell r="CA514" t="str">
            <v>U San Myint;Ma Yoe Kone Village, Ma Yoe Kone Village Group, Myaung Township, Sagaing Division;09 49347639</v>
          </cell>
          <cell r="CB514" t="str">
            <v>24May15: C1 SAR Sub.</v>
          </cell>
          <cell r="CE514">
            <v>2</v>
          </cell>
          <cell r="CF514">
            <v>42144</v>
          </cell>
          <cell r="CG514">
            <v>42150</v>
          </cell>
          <cell r="CH514">
            <v>42159</v>
          </cell>
          <cell r="CJ514">
            <v>42157</v>
          </cell>
          <cell r="CK514" t="str">
            <v>35</v>
          </cell>
          <cell r="CL514" t="str">
            <v>37</v>
          </cell>
          <cell r="CM514" t="str">
            <v>40</v>
          </cell>
          <cell r="CN514">
            <v>9</v>
          </cell>
          <cell r="CO514">
            <v>42162</v>
          </cell>
          <cell r="CP514">
            <v>42159</v>
          </cell>
          <cell r="CQ514" t="str">
            <v>M1: grid power + battery</v>
          </cell>
          <cell r="CR514">
            <v>1</v>
          </cell>
          <cell r="CS514">
            <v>42163</v>
          </cell>
          <cell r="CT514">
            <v>42160</v>
          </cell>
          <cell r="CU514" t="str">
            <v>SG0364</v>
          </cell>
          <cell r="DH514">
            <v>11</v>
          </cell>
          <cell r="DI514">
            <v>42173</v>
          </cell>
          <cell r="DJ514">
            <v>42171</v>
          </cell>
          <cell r="DK514">
            <v>42170</v>
          </cell>
          <cell r="DL514">
            <v>42168</v>
          </cell>
          <cell r="DM514">
            <v>42174</v>
          </cell>
          <cell r="DN514">
            <v>42175</v>
          </cell>
          <cell r="DO514">
            <v>0</v>
          </cell>
          <cell r="DP514">
            <v>42173</v>
          </cell>
          <cell r="DQ514">
            <v>42171</v>
          </cell>
          <cell r="DT514">
            <v>10</v>
          </cell>
          <cell r="DU514">
            <v>42188</v>
          </cell>
          <cell r="DV514">
            <v>42181</v>
          </cell>
          <cell r="DW514">
            <v>-6</v>
          </cell>
          <cell r="DY514">
            <v>42174</v>
          </cell>
          <cell r="DZ514">
            <v>42175</v>
          </cell>
          <cell r="EA514" t="str">
            <v>Camusat</v>
          </cell>
          <cell r="ED514" t="str">
            <v xml:space="preserve">30Jun15 :KyawZay.Yar: Excavation done.Footing done.Rebar for column not started yet.No rebar on site(waiting for rebar).
</v>
          </cell>
          <cell r="EJ514">
            <v>24</v>
          </cell>
          <cell r="EK514">
            <v>42189</v>
          </cell>
          <cell r="EL514">
            <v>42199</v>
          </cell>
          <cell r="EM514">
            <v>42190</v>
          </cell>
          <cell r="EQ514">
            <v>42197</v>
          </cell>
          <cell r="EW514">
            <v>58</v>
          </cell>
          <cell r="EX514">
            <v>42211</v>
          </cell>
          <cell r="EZ514">
            <v>42207</v>
          </cell>
          <cell r="FB514">
            <v>42209</v>
          </cell>
          <cell r="FU514">
            <v>42211</v>
          </cell>
          <cell r="FW514">
            <v>42211</v>
          </cell>
          <cell r="FY514" t="str">
            <v>EM</v>
          </cell>
          <cell r="GF514">
            <v>42117</v>
          </cell>
          <cell r="GI514">
            <v>42246</v>
          </cell>
          <cell r="GJ514" t="str">
            <v>36-2015</v>
          </cell>
          <cell r="GN514" t="str">
            <v>ERICSSON</v>
          </cell>
          <cell r="GU514" t="str">
            <v xml:space="preserve">		</v>
          </cell>
          <cell r="HD514">
            <v>1</v>
          </cell>
        </row>
        <row r="515">
          <cell r="A515" t="str">
            <v>SG0367</v>
          </cell>
          <cell r="B515" t="str">
            <v>ANSG_0426</v>
          </cell>
          <cell r="C515" t="str">
            <v>Apollo</v>
          </cell>
          <cell r="D515" t="str">
            <v>Adriaan Coetsee</v>
          </cell>
          <cell r="F515" t="str">
            <v>Aung Thu Win</v>
          </cell>
          <cell r="G515" t="str">
            <v>Kyaw Zay Yar</v>
          </cell>
          <cell r="H515" t="str">
            <v>YELLOW</v>
          </cell>
          <cell r="I515" t="str">
            <v>North</v>
          </cell>
          <cell r="J515" t="str">
            <v>95.271732</v>
          </cell>
          <cell r="K515" t="str">
            <v>22.079614</v>
          </cell>
          <cell r="L515" t="str">
            <v>Rural</v>
          </cell>
          <cell r="M515" t="str">
            <v>Sagaing</v>
          </cell>
          <cell r="N515" t="str">
            <v>Monywa</v>
          </cell>
          <cell r="O515" t="str">
            <v>Monywa</v>
          </cell>
          <cell r="P515" t="str">
            <v>Sagaing</v>
          </cell>
          <cell r="Q515" t="str">
            <v>11</v>
          </cell>
          <cell r="R515" t="str">
            <v>Monywa</v>
          </cell>
          <cell r="S515" t="str">
            <v>53</v>
          </cell>
          <cell r="T515" t="str">
            <v>GSM+UMTS</v>
          </cell>
          <cell r="W515" t="str">
            <v>Ph2-Priority</v>
          </cell>
          <cell r="X515" t="str">
            <v>45</v>
          </cell>
          <cell r="Y515" t="str">
            <v>47</v>
          </cell>
          <cell r="Z515" t="str">
            <v>GBT</v>
          </cell>
          <cell r="AA515" t="str">
            <v>500</v>
          </cell>
          <cell r="AB515" t="str">
            <v>Access</v>
          </cell>
          <cell r="AC515" t="str">
            <v>Class C</v>
          </cell>
          <cell r="BE515" t="str">
            <v>Route 6 Mandalay - Monywa</v>
          </cell>
          <cell r="BH515" t="str">
            <v>Camusat</v>
          </cell>
          <cell r="BJ515">
            <v>42153</v>
          </cell>
          <cell r="BK515">
            <v>42130</v>
          </cell>
          <cell r="BL515">
            <v>42158</v>
          </cell>
          <cell r="BM515">
            <v>42138</v>
          </cell>
          <cell r="BT515">
            <v>18</v>
          </cell>
          <cell r="BU515">
            <v>42164</v>
          </cell>
          <cell r="BV515">
            <v>42148</v>
          </cell>
          <cell r="BW515" t="str">
            <v>95.27154</v>
          </cell>
          <cell r="BX515" t="str">
            <v>22.08333</v>
          </cell>
          <cell r="BY515" t="str">
            <v>C1</v>
          </cell>
          <cell r="BZ515" t="str">
            <v>Khattakan Taung Village,Monywar Township, Mon ywar District, Sagaing .</v>
          </cell>
          <cell r="CA515" t="str">
            <v>Daw Moe Thiri Htun;Khattakan Taung Village,Monywar Township, Mon ywar District, Sagaing Division;09 256050379</v>
          </cell>
          <cell r="CB515" t="str">
            <v>24May15: C1 SAR Sub.</v>
          </cell>
          <cell r="CE515">
            <v>2</v>
          </cell>
          <cell r="CF515">
            <v>42165</v>
          </cell>
          <cell r="CG515">
            <v>42150</v>
          </cell>
          <cell r="CH515">
            <v>42167</v>
          </cell>
          <cell r="CJ515">
            <v>42157</v>
          </cell>
          <cell r="CK515" t="str">
            <v>45</v>
          </cell>
          <cell r="CL515" t="str">
            <v>47</v>
          </cell>
          <cell r="CM515" t="str">
            <v>50</v>
          </cell>
          <cell r="CN515">
            <v>9</v>
          </cell>
          <cell r="CO515">
            <v>42170</v>
          </cell>
          <cell r="CP515">
            <v>42159</v>
          </cell>
          <cell r="CQ515" t="str">
            <v>M1: grid power + battery</v>
          </cell>
          <cell r="CR515">
            <v>1</v>
          </cell>
          <cell r="CS515">
            <v>42171</v>
          </cell>
          <cell r="CT515">
            <v>42160</v>
          </cell>
          <cell r="CU515" t="str">
            <v>SG0367</v>
          </cell>
          <cell r="DH515">
            <v>11</v>
          </cell>
          <cell r="DI515">
            <v>42181</v>
          </cell>
          <cell r="DJ515">
            <v>42171</v>
          </cell>
          <cell r="DK515">
            <v>42178</v>
          </cell>
          <cell r="DL515">
            <v>42168</v>
          </cell>
          <cell r="DM515">
            <v>42182</v>
          </cell>
          <cell r="DN515">
            <v>42180</v>
          </cell>
          <cell r="DO515">
            <v>0</v>
          </cell>
          <cell r="DP515">
            <v>42181</v>
          </cell>
          <cell r="DQ515">
            <v>42171</v>
          </cell>
          <cell r="DT515">
            <v>62</v>
          </cell>
          <cell r="DU515">
            <v>42196</v>
          </cell>
          <cell r="DW515">
            <v>0</v>
          </cell>
          <cell r="DY515">
            <v>42182</v>
          </cell>
          <cell r="DZ515">
            <v>42180</v>
          </cell>
          <cell r="EA515" t="str">
            <v>Camusat</v>
          </cell>
          <cell r="EB515">
            <v>42218</v>
          </cell>
          <cell r="ED515" t="str">
            <v>02Aug15 :KyawZay.Yar: Form work for column done.Pending tower equip;delivery.
20Jul15 :KyawZay.Yar: Rebar for column done.Form work for column not started yet.</v>
          </cell>
          <cell r="EE515" t="str">
            <v xml:space="preserve">10 Aug 15:Flood affected_Hold-No access; 2-Aug-15: Flooded-dewatering heavy rain								</v>
          </cell>
          <cell r="EJ515">
            <v>39</v>
          </cell>
          <cell r="EK515">
            <v>42199</v>
          </cell>
          <cell r="EL515">
            <v>42219</v>
          </cell>
          <cell r="EM515">
            <v>42200</v>
          </cell>
          <cell r="EN515">
            <v>42233</v>
          </cell>
          <cell r="EQ515">
            <v>42209</v>
          </cell>
          <cell r="ER515">
            <v>42240</v>
          </cell>
          <cell r="ES515">
            <v>42227</v>
          </cell>
          <cell r="ET515">
            <v>42245</v>
          </cell>
          <cell r="EU515">
            <v>42245</v>
          </cell>
          <cell r="EW515">
            <v>53</v>
          </cell>
          <cell r="EX515">
            <v>42223</v>
          </cell>
          <cell r="EZ515">
            <v>42219</v>
          </cell>
          <cell r="FA515">
            <v>42244</v>
          </cell>
          <cell r="FB515">
            <v>42221</v>
          </cell>
          <cell r="FC515">
            <v>42245</v>
          </cell>
          <cell r="FU515">
            <v>42223</v>
          </cell>
          <cell r="FW515">
            <v>42223</v>
          </cell>
          <cell r="FX515">
            <v>42245</v>
          </cell>
          <cell r="FY515" t="str">
            <v>CFVL</v>
          </cell>
          <cell r="FZ515">
            <v>42236</v>
          </cell>
          <cell r="GA515">
            <v>42240</v>
          </cell>
          <cell r="GB515">
            <v>42244</v>
          </cell>
          <cell r="GC515">
            <v>42244</v>
          </cell>
          <cell r="GD515">
            <v>42245</v>
          </cell>
          <cell r="GE515">
            <v>42245</v>
          </cell>
          <cell r="GF515">
            <v>42247</v>
          </cell>
          <cell r="GG515">
            <v>42247</v>
          </cell>
          <cell r="GH515">
            <v>42247</v>
          </cell>
          <cell r="GI515">
            <v>42106</v>
          </cell>
          <cell r="GJ515" t="str">
            <v>40-2015</v>
          </cell>
          <cell r="GK515">
            <v>42247</v>
          </cell>
          <cell r="GL515" t="str">
            <v>RET cable alarm</v>
          </cell>
          <cell r="GN515" t="str">
            <v xml:space="preserve">ERICSSON </v>
          </cell>
          <cell r="GP515">
            <v>42206</v>
          </cell>
          <cell r="GQ515">
            <v>0</v>
          </cell>
          <cell r="GU515" t="str">
            <v xml:space="preserve">		</v>
          </cell>
          <cell r="HD515">
            <v>1</v>
          </cell>
        </row>
        <row r="516">
          <cell r="A516" t="str">
            <v>SG0368</v>
          </cell>
          <cell r="B516" t="str">
            <v>ANSG_0427</v>
          </cell>
          <cell r="C516" t="str">
            <v>Apollo</v>
          </cell>
          <cell r="D516" t="str">
            <v>Adriaan Coetsee</v>
          </cell>
          <cell r="F516" t="str">
            <v>Aung Thu Win</v>
          </cell>
          <cell r="G516" t="str">
            <v>Kyaw Zay Yar</v>
          </cell>
          <cell r="H516" t="str">
            <v>AMBER</v>
          </cell>
          <cell r="I516" t="str">
            <v>North</v>
          </cell>
          <cell r="J516" t="str">
            <v>95.0720678172356</v>
          </cell>
          <cell r="K516" t="str">
            <v>22.4833220764269</v>
          </cell>
          <cell r="L516" t="str">
            <v>Rural</v>
          </cell>
          <cell r="M516" t="str">
            <v>Sagaing</v>
          </cell>
          <cell r="N516" t="str">
            <v>Budalin</v>
          </cell>
          <cell r="O516" t="str">
            <v>Budalin</v>
          </cell>
          <cell r="P516" t="str">
            <v>Sagaing</v>
          </cell>
          <cell r="Q516" t="str">
            <v>11</v>
          </cell>
          <cell r="R516" t="str">
            <v>Budalin</v>
          </cell>
          <cell r="S516" t="str">
            <v>54</v>
          </cell>
          <cell r="T516" t="str">
            <v>GSM+UMTS</v>
          </cell>
          <cell r="W516" t="str">
            <v>Ph2-Priority</v>
          </cell>
          <cell r="X516" t="str">
            <v>45</v>
          </cell>
          <cell r="Y516" t="str">
            <v>47</v>
          </cell>
          <cell r="Z516" t="str">
            <v>GBT</v>
          </cell>
          <cell r="AA516" t="str">
            <v>500</v>
          </cell>
          <cell r="AB516" t="str">
            <v>Access</v>
          </cell>
          <cell r="AC516" t="str">
            <v>Class C</v>
          </cell>
          <cell r="BE516" t="str">
            <v>Route 6 Mandalay - Monywa</v>
          </cell>
          <cell r="BH516" t="str">
            <v>Camusat</v>
          </cell>
          <cell r="BJ516">
            <v>42167</v>
          </cell>
          <cell r="BK516">
            <v>42148</v>
          </cell>
          <cell r="BL516">
            <v>42172</v>
          </cell>
          <cell r="BM516">
            <v>42155</v>
          </cell>
          <cell r="BT516">
            <v>17</v>
          </cell>
          <cell r="BU516">
            <v>42185</v>
          </cell>
          <cell r="BV516">
            <v>42165</v>
          </cell>
          <cell r="BW516" t="str">
            <v>95.07106</v>
          </cell>
          <cell r="BX516" t="str">
            <v>22.48286</v>
          </cell>
          <cell r="BY516" t="str">
            <v>C1</v>
          </cell>
          <cell r="BZ516" t="str">
            <v>Maung Thaung Village, Butalin Township, Sagaing Township.</v>
          </cell>
          <cell r="CA516" t="str">
            <v>U Tin Shaung;09-259160362</v>
          </cell>
          <cell r="CB516" t="str">
            <v>11 June 15 : C1 SAR approved as an option 1( TND approved the tough terrain profile with 43M MW antenna height.Need to do LOS survey when tower is ready); 10Jun15:C1 SAR Sub</v>
          </cell>
          <cell r="CC516" t="str">
            <v>VILLAGE</v>
          </cell>
          <cell r="CE516">
            <v>1</v>
          </cell>
          <cell r="CF516">
            <v>42186</v>
          </cell>
          <cell r="CG516">
            <v>42166</v>
          </cell>
          <cell r="CH516">
            <v>42188</v>
          </cell>
          <cell r="CJ516">
            <v>42172</v>
          </cell>
          <cell r="CK516" t="str">
            <v>45</v>
          </cell>
          <cell r="CL516" t="str">
            <v>47</v>
          </cell>
          <cell r="CM516" t="str">
            <v>50</v>
          </cell>
          <cell r="CN516">
            <v>8</v>
          </cell>
          <cell r="CO516">
            <v>42191</v>
          </cell>
          <cell r="CP516">
            <v>42174</v>
          </cell>
          <cell r="CQ516" t="str">
            <v>M1: grid power + battery</v>
          </cell>
          <cell r="CR516">
            <v>4</v>
          </cell>
          <cell r="CS516">
            <v>42192</v>
          </cell>
          <cell r="CT516">
            <v>42178</v>
          </cell>
          <cell r="CU516" t="str">
            <v>SG0368</v>
          </cell>
          <cell r="DH516">
            <v>14</v>
          </cell>
          <cell r="DI516">
            <v>42202</v>
          </cell>
          <cell r="DJ516">
            <v>42192</v>
          </cell>
          <cell r="DK516">
            <v>42199</v>
          </cell>
          <cell r="DL516">
            <v>42173</v>
          </cell>
          <cell r="DM516">
            <v>42203</v>
          </cell>
          <cell r="DN516">
            <v>42194</v>
          </cell>
          <cell r="DO516">
            <v>0</v>
          </cell>
          <cell r="DP516">
            <v>42202</v>
          </cell>
          <cell r="DQ516">
            <v>42192</v>
          </cell>
          <cell r="DT516">
            <v>41</v>
          </cell>
          <cell r="DU516">
            <v>42217</v>
          </cell>
          <cell r="DW516">
            <v>0</v>
          </cell>
          <cell r="DY516">
            <v>42203</v>
          </cell>
          <cell r="DZ516">
            <v>42194</v>
          </cell>
          <cell r="EA516" t="str">
            <v>Camusat</v>
          </cell>
          <cell r="EB516">
            <v>42206</v>
          </cell>
          <cell r="ED516" t="str">
            <v xml:space="preserve">13Aug15 :KyawZay.Yar: Excavation done.Pouring lean concrete done.Pumping the water out due to rain.
</v>
          </cell>
          <cell r="EE516" t="str">
            <v xml:space="preserve">10 Aug 15:Flood affected_Hold-No access; 21-Jul-15:Flooded access or site is flooded_ we canÆt proceed to this site								</v>
          </cell>
          <cell r="EJ516">
            <v>39</v>
          </cell>
          <cell r="EK516">
            <v>42220</v>
          </cell>
          <cell r="EL516">
            <v>42248</v>
          </cell>
          <cell r="EM516">
            <v>42221</v>
          </cell>
          <cell r="EQ516">
            <v>42230</v>
          </cell>
          <cell r="EW516">
            <v>39</v>
          </cell>
          <cell r="EX516">
            <v>42244</v>
          </cell>
          <cell r="EZ516">
            <v>42240</v>
          </cell>
          <cell r="FB516">
            <v>42242</v>
          </cell>
          <cell r="FU516">
            <v>42244</v>
          </cell>
          <cell r="FW516">
            <v>42244</v>
          </cell>
          <cell r="GF516">
            <v>42193</v>
          </cell>
          <cell r="GI516">
            <v>42307</v>
          </cell>
          <cell r="GJ516" t="str">
            <v>44-2015</v>
          </cell>
          <cell r="GN516" t="str">
            <v>ERICSSON</v>
          </cell>
          <cell r="HD516">
            <v>1</v>
          </cell>
        </row>
        <row r="517">
          <cell r="A517" t="str">
            <v>SG0369</v>
          </cell>
          <cell r="B517" t="str">
            <v>ANSG_0428</v>
          </cell>
          <cell r="C517" t="str">
            <v>Apollo</v>
          </cell>
          <cell r="D517" t="str">
            <v>Adriaan Coetsee</v>
          </cell>
          <cell r="F517" t="str">
            <v>Aung Thu Win</v>
          </cell>
          <cell r="G517" t="str">
            <v>Kyaw Zay Yar</v>
          </cell>
          <cell r="H517" t="str">
            <v>RED</v>
          </cell>
          <cell r="I517" t="str">
            <v>North</v>
          </cell>
          <cell r="J517" t="str">
            <v>94.848282</v>
          </cell>
          <cell r="K517" t="str">
            <v>22.43743</v>
          </cell>
          <cell r="L517" t="str">
            <v>Rural</v>
          </cell>
          <cell r="M517" t="str">
            <v>Sagaing</v>
          </cell>
          <cell r="N517" t="str">
            <v>Kani</v>
          </cell>
          <cell r="O517" t="str">
            <v>Kani</v>
          </cell>
          <cell r="P517" t="str">
            <v>Sagaing</v>
          </cell>
          <cell r="Q517" t="str">
            <v>11</v>
          </cell>
          <cell r="R517" t="str">
            <v>Kani</v>
          </cell>
          <cell r="S517" t="str">
            <v>58</v>
          </cell>
          <cell r="T517" t="str">
            <v>GSM+UMTS</v>
          </cell>
          <cell r="W517" t="str">
            <v>Ph2-Priority</v>
          </cell>
          <cell r="X517" t="str">
            <v>45</v>
          </cell>
          <cell r="Y517" t="str">
            <v>47</v>
          </cell>
          <cell r="Z517" t="str">
            <v>GBT</v>
          </cell>
          <cell r="AA517" t="str">
            <v>500</v>
          </cell>
          <cell r="AB517" t="str">
            <v>Access</v>
          </cell>
          <cell r="AC517" t="str">
            <v>Class C</v>
          </cell>
          <cell r="BE517" t="str">
            <v>Route 6 Mandalay - Monywa</v>
          </cell>
          <cell r="BH517" t="str">
            <v>Camusat</v>
          </cell>
          <cell r="BJ517">
            <v>42167</v>
          </cell>
          <cell r="BK517">
            <v>42143</v>
          </cell>
          <cell r="BL517">
            <v>42172</v>
          </cell>
          <cell r="BM517">
            <v>42164</v>
          </cell>
          <cell r="BT517">
            <v>45</v>
          </cell>
          <cell r="BU517">
            <v>42185</v>
          </cell>
          <cell r="BV517">
            <v>42188</v>
          </cell>
          <cell r="BW517" t="str">
            <v>94.84566</v>
          </cell>
          <cell r="BX517" t="str">
            <v>22.43938</v>
          </cell>
          <cell r="BY517" t="str">
            <v>C3</v>
          </cell>
          <cell r="BZ517" t="str">
            <v>No.(2) Quarter,Ka Ni Township, Sagaing Division.</v>
          </cell>
          <cell r="CA517" t="str">
            <v>U Ba Lin</v>
          </cell>
          <cell r="CB517" t="str">
            <v>3 July 15 : C3 SAR sub again with 60 M Tower height as per email from Mandalay Apollo office and C3 SAR approved as an option 1(TND approved  at 59 M MW antenna height.);prev C3 SAR rejected;26 June 15 : C4 SAR rejected(TND Reject for low LOS clearance. Tower Co need to find SG0369_Propose(22.437611°, 94.846369°));25 June 15: C4 SAR sub;"23Jun15 :Honey.oo: C3 SAR rejected(TND Reject for low LOS clearance. Tower Co need to find SG0369_Propose(22.437611¦, 94.846369¦));19Jun15: C3-SAR submission; C1-rejected during TSS due to family issue18 June 15 : C2 SAR rejected( TND Reject for low LOS clearance(10M only). . Tower Co need to find SG0369_Propose(22.437611¦, 94.846369¦) );15Jun15: C2-SAR submission; C1-failed during TSS due to family issue11 June 15 :C1 SAR approved as an option1(TND approved the tough terrain profile with 43M MW antenna height.Need to do LOS survey when tower is ready.); 5June15: C1 SAR Sub"</v>
          </cell>
          <cell r="CC517" t="str">
            <v>VILLAGE</v>
          </cell>
          <cell r="CE517">
            <v>0</v>
          </cell>
          <cell r="CF517">
            <v>42186</v>
          </cell>
          <cell r="CG517">
            <v>42188</v>
          </cell>
          <cell r="CH517">
            <v>42188</v>
          </cell>
          <cell r="CJ517">
            <v>42199</v>
          </cell>
          <cell r="CK517" t="str">
            <v>59</v>
          </cell>
          <cell r="CL517" t="str">
            <v>62</v>
          </cell>
          <cell r="CM517" t="str">
            <v>60</v>
          </cell>
          <cell r="CN517">
            <v>13</v>
          </cell>
          <cell r="CO517">
            <v>42191</v>
          </cell>
          <cell r="CP517">
            <v>42201</v>
          </cell>
          <cell r="CQ517" t="str">
            <v>M1: grid power + battery</v>
          </cell>
          <cell r="CR517">
            <v>6</v>
          </cell>
          <cell r="CS517">
            <v>42192</v>
          </cell>
          <cell r="CT517">
            <v>42207</v>
          </cell>
          <cell r="CU517" t="str">
            <v>SG0369</v>
          </cell>
          <cell r="DH517">
            <v>26</v>
          </cell>
          <cell r="DI517">
            <v>42202</v>
          </cell>
          <cell r="DK517">
            <v>42199</v>
          </cell>
          <cell r="DL517">
            <v>42242</v>
          </cell>
          <cell r="DM517">
            <v>42203</v>
          </cell>
          <cell r="DO517">
            <v>0</v>
          </cell>
          <cell r="DP517">
            <v>42202</v>
          </cell>
          <cell r="DT517">
            <v>0</v>
          </cell>
          <cell r="DU517">
            <v>42217</v>
          </cell>
          <cell r="DW517">
            <v>0</v>
          </cell>
          <cell r="DY517">
            <v>42203</v>
          </cell>
          <cell r="EA517" t="str">
            <v>Camusat</v>
          </cell>
          <cell r="EJ517">
            <v>0</v>
          </cell>
          <cell r="EK517">
            <v>42220</v>
          </cell>
          <cell r="EM517">
            <v>42221</v>
          </cell>
          <cell r="EQ517">
            <v>42230</v>
          </cell>
          <cell r="EW517">
            <v>0</v>
          </cell>
          <cell r="EX517">
            <v>42244</v>
          </cell>
          <cell r="EZ517">
            <v>42240</v>
          </cell>
          <cell r="FB517">
            <v>42242</v>
          </cell>
          <cell r="FU517">
            <v>42244</v>
          </cell>
          <cell r="FW517">
            <v>42244</v>
          </cell>
          <cell r="GI517">
            <v>42246</v>
          </cell>
          <cell r="GJ517">
            <v>0</v>
          </cell>
          <cell r="GN517" t="str">
            <v>ERICSSON</v>
          </cell>
          <cell r="HD517">
            <v>1</v>
          </cell>
        </row>
        <row r="518">
          <cell r="A518" t="str">
            <v>SG0370</v>
          </cell>
          <cell r="B518" t="str">
            <v>ANSG_0429</v>
          </cell>
          <cell r="C518" t="str">
            <v>Apollo</v>
          </cell>
          <cell r="D518" t="str">
            <v>Adriaan Coetsee</v>
          </cell>
          <cell r="F518" t="str">
            <v>Aung Thu Win</v>
          </cell>
          <cell r="G518" t="str">
            <v>Kyaw Zay Yar</v>
          </cell>
          <cell r="H518" t="str">
            <v>AMBER</v>
          </cell>
          <cell r="I518" t="str">
            <v>North</v>
          </cell>
          <cell r="J518" t="str">
            <v>95.237163</v>
          </cell>
          <cell r="K518" t="str">
            <v>22.558763</v>
          </cell>
          <cell r="L518" t="str">
            <v>Rural</v>
          </cell>
          <cell r="M518" t="str">
            <v>Sagaing</v>
          </cell>
          <cell r="N518" t="str">
            <v>Tabayin</v>
          </cell>
          <cell r="O518" t="str">
            <v>Tabayin</v>
          </cell>
          <cell r="P518" t="str">
            <v>Sagaing</v>
          </cell>
          <cell r="Q518" t="str">
            <v>11</v>
          </cell>
          <cell r="R518" t="str">
            <v>Tabayin</v>
          </cell>
          <cell r="S518" t="str">
            <v>51</v>
          </cell>
          <cell r="T518" t="str">
            <v>GSM+UMTS</v>
          </cell>
          <cell r="W518" t="str">
            <v>Ph2-Priority</v>
          </cell>
          <cell r="X518" t="str">
            <v>45</v>
          </cell>
          <cell r="Y518" t="str">
            <v>47</v>
          </cell>
          <cell r="Z518" t="str">
            <v>GBT</v>
          </cell>
          <cell r="AA518" t="str">
            <v>500</v>
          </cell>
          <cell r="AB518" t="str">
            <v>Access</v>
          </cell>
          <cell r="AC518" t="str">
            <v>Class C</v>
          </cell>
          <cell r="BE518" t="str">
            <v>Route 10 Mandalay - Myitkyina</v>
          </cell>
          <cell r="BH518" t="str">
            <v>Camusat</v>
          </cell>
          <cell r="BJ518">
            <v>42155</v>
          </cell>
          <cell r="BK518">
            <v>42146</v>
          </cell>
          <cell r="BL518">
            <v>42160</v>
          </cell>
          <cell r="BM518">
            <v>42153</v>
          </cell>
          <cell r="BT518">
            <v>17</v>
          </cell>
          <cell r="BU518">
            <v>42253</v>
          </cell>
          <cell r="BV518">
            <v>42163</v>
          </cell>
          <cell r="BW518" t="str">
            <v>95.23703</v>
          </cell>
          <cell r="BX518" t="str">
            <v>22.55485</v>
          </cell>
          <cell r="BY518" t="str">
            <v>C1</v>
          </cell>
          <cell r="BZ518" t="str">
            <v>Aung Mingalar Quarter, Sai Pyin Village, Depayin Township.</v>
          </cell>
          <cell r="CA518" t="str">
            <v>Daw Khin Nu;Sai Pyin Village,Depayin Township;09-400431606</v>
          </cell>
          <cell r="CB518" t="str">
            <v>8Jun15: C1 SAR Sub</v>
          </cell>
          <cell r="CE518">
            <v>1</v>
          </cell>
          <cell r="CF518">
            <v>42254</v>
          </cell>
          <cell r="CG518">
            <v>42164</v>
          </cell>
          <cell r="CH518">
            <v>42256</v>
          </cell>
          <cell r="CJ518">
            <v>42174</v>
          </cell>
          <cell r="CK518" t="str">
            <v>45</v>
          </cell>
          <cell r="CL518" t="str">
            <v>47</v>
          </cell>
          <cell r="CM518" t="str">
            <v>50</v>
          </cell>
          <cell r="CN518">
            <v>12</v>
          </cell>
          <cell r="CO518">
            <v>42259</v>
          </cell>
          <cell r="CP518">
            <v>42176</v>
          </cell>
          <cell r="CQ518" t="str">
            <v>M1: grid power + battery</v>
          </cell>
          <cell r="CR518">
            <v>1</v>
          </cell>
          <cell r="CS518">
            <v>42260</v>
          </cell>
          <cell r="CT518">
            <v>42177</v>
          </cell>
          <cell r="CU518" t="str">
            <v>SG0370</v>
          </cell>
          <cell r="DH518">
            <v>15</v>
          </cell>
          <cell r="DI518">
            <v>42270</v>
          </cell>
          <cell r="DJ518">
            <v>42192</v>
          </cell>
          <cell r="DK518">
            <v>42267</v>
          </cell>
          <cell r="DL518">
            <v>42199</v>
          </cell>
          <cell r="DM518">
            <v>42271</v>
          </cell>
          <cell r="DN518">
            <v>42199</v>
          </cell>
          <cell r="DO518">
            <v>0</v>
          </cell>
          <cell r="DP518">
            <v>42270</v>
          </cell>
          <cell r="DQ518">
            <v>42192</v>
          </cell>
          <cell r="DT518">
            <v>41</v>
          </cell>
          <cell r="DU518">
            <v>42285</v>
          </cell>
          <cell r="DW518">
            <v>0</v>
          </cell>
          <cell r="DY518">
            <v>42271</v>
          </cell>
          <cell r="DZ518">
            <v>42194</v>
          </cell>
          <cell r="EA518" t="str">
            <v>Camusat</v>
          </cell>
          <cell r="EB518">
            <v>42210</v>
          </cell>
          <cell r="ED518" t="str">
            <v>13Aug15 :KyawZay.Yar: Pumping the water out again due to rain.
13Aug15 :KyawZay.Yar: Excavation done.Pouring lean concrete ongoing.</v>
          </cell>
          <cell r="EE518" t="str">
            <v xml:space="preserve">10 Aug 15:Flood affected_Hold-No access; 25-Jul-15: Flooded access or site is flooded_ we canÆt proceed to this site								</v>
          </cell>
          <cell r="EJ518">
            <v>39</v>
          </cell>
          <cell r="EK518">
            <v>42288</v>
          </cell>
          <cell r="EM518">
            <v>42289</v>
          </cell>
          <cell r="EQ518">
            <v>42298</v>
          </cell>
          <cell r="EW518">
            <v>39</v>
          </cell>
          <cell r="EX518">
            <v>42312</v>
          </cell>
          <cell r="EZ518">
            <v>42308</v>
          </cell>
          <cell r="FB518">
            <v>42310</v>
          </cell>
          <cell r="FU518">
            <v>42312</v>
          </cell>
          <cell r="FW518">
            <v>42312</v>
          </cell>
          <cell r="GI518">
            <v>42307</v>
          </cell>
          <cell r="GJ518" t="str">
            <v>44-2015</v>
          </cell>
          <cell r="GN518" t="str">
            <v>ERICSSON</v>
          </cell>
          <cell r="GQ518">
            <v>0</v>
          </cell>
          <cell r="GS518">
            <v>0</v>
          </cell>
          <cell r="GT518">
            <v>0</v>
          </cell>
          <cell r="GU518">
            <v>0</v>
          </cell>
          <cell r="HD518">
            <v>1</v>
          </cell>
        </row>
        <row r="519">
          <cell r="A519" t="str">
            <v>SG0371</v>
          </cell>
          <cell r="B519" t="str">
            <v>ANSG_0399</v>
          </cell>
          <cell r="C519" t="str">
            <v>Apollo</v>
          </cell>
          <cell r="D519" t="str">
            <v>Adriaan Coetsee</v>
          </cell>
          <cell r="F519" t="str">
            <v>Aung Thu Win</v>
          </cell>
          <cell r="G519" t="str">
            <v>Kyaw Zay Yar</v>
          </cell>
          <cell r="H519" t="str">
            <v>RED</v>
          </cell>
          <cell r="I519" t="str">
            <v>North</v>
          </cell>
          <cell r="J519" t="str">
            <v>95.3065291546469</v>
          </cell>
          <cell r="K519" t="str">
            <v>22.5534330704844</v>
          </cell>
          <cell r="L519" t="str">
            <v>Rural</v>
          </cell>
          <cell r="M519" t="str">
            <v>Sagaing</v>
          </cell>
          <cell r="N519" t="str">
            <v>Tabayin</v>
          </cell>
          <cell r="O519" t="str">
            <v>Tabayin</v>
          </cell>
          <cell r="P519" t="str">
            <v>Sagaing</v>
          </cell>
          <cell r="Q519" t="str">
            <v>11</v>
          </cell>
          <cell r="R519" t="str">
            <v>Tabayin</v>
          </cell>
          <cell r="S519" t="str">
            <v>51</v>
          </cell>
          <cell r="T519" t="str">
            <v>GSM+UMTS</v>
          </cell>
          <cell r="W519" t="str">
            <v>Ph2-Priority</v>
          </cell>
          <cell r="X519" t="str">
            <v>45</v>
          </cell>
          <cell r="Y519" t="str">
            <v>47</v>
          </cell>
          <cell r="Z519" t="str">
            <v>GBT</v>
          </cell>
          <cell r="AA519" t="str">
            <v>500</v>
          </cell>
          <cell r="AB519" t="str">
            <v>Access</v>
          </cell>
          <cell r="AC519" t="str">
            <v>Class C</v>
          </cell>
          <cell r="BE519" t="str">
            <v>Route 10 Mandalay - Myitkyina</v>
          </cell>
          <cell r="BH519" t="str">
            <v>Camusat</v>
          </cell>
          <cell r="BJ519">
            <v>42155</v>
          </cell>
          <cell r="BK519">
            <v>42171</v>
          </cell>
          <cell r="BL519">
            <v>42160</v>
          </cell>
          <cell r="BM519">
            <v>42178</v>
          </cell>
          <cell r="BT519">
            <v>27</v>
          </cell>
          <cell r="BU519">
            <v>42253</v>
          </cell>
          <cell r="BV519">
            <v>42198</v>
          </cell>
          <cell r="BW519" t="str">
            <v>95.31152</v>
          </cell>
          <cell r="BX519" t="str">
            <v>22.5553</v>
          </cell>
          <cell r="BY519" t="str">
            <v>C1</v>
          </cell>
          <cell r="BZ519" t="str">
            <v>KaLar Kone Village , Htone Bo Village Group, De Pae Yin Township, Sagaing Division.</v>
          </cell>
          <cell r="CA519" t="str">
            <v>U Mya Thin</v>
          </cell>
          <cell r="CC519" t="str">
            <v>Village</v>
          </cell>
          <cell r="CE519">
            <v>1</v>
          </cell>
          <cell r="CF519">
            <v>42254</v>
          </cell>
          <cell r="CG519">
            <v>42199</v>
          </cell>
          <cell r="CH519">
            <v>42256</v>
          </cell>
          <cell r="CJ519">
            <v>42206</v>
          </cell>
          <cell r="CK519" t="str">
            <v>45</v>
          </cell>
          <cell r="CL519" t="str">
            <v>47</v>
          </cell>
          <cell r="CM519" t="str">
            <v>50</v>
          </cell>
          <cell r="CN519">
            <v>9</v>
          </cell>
          <cell r="CO519">
            <v>42259</v>
          </cell>
          <cell r="CP519">
            <v>42208</v>
          </cell>
          <cell r="CQ519" t="str">
            <v>M1: grid power + battery</v>
          </cell>
          <cell r="CR519">
            <v>1</v>
          </cell>
          <cell r="CS519">
            <v>42260</v>
          </cell>
          <cell r="CT519">
            <v>42209</v>
          </cell>
          <cell r="CU519" t="str">
            <v>SG0371</v>
          </cell>
          <cell r="DH519">
            <v>24</v>
          </cell>
          <cell r="DI519">
            <v>42270</v>
          </cell>
          <cell r="DJ519">
            <v>42248</v>
          </cell>
          <cell r="DK519">
            <v>42267</v>
          </cell>
          <cell r="DL519">
            <v>42172</v>
          </cell>
          <cell r="DM519">
            <v>42271</v>
          </cell>
          <cell r="DO519">
            <v>0</v>
          </cell>
          <cell r="DP519">
            <v>42270</v>
          </cell>
          <cell r="DQ519">
            <v>42248</v>
          </cell>
          <cell r="DT519">
            <v>0</v>
          </cell>
          <cell r="DU519">
            <v>42285</v>
          </cell>
          <cell r="DW519">
            <v>0</v>
          </cell>
          <cell r="DY519">
            <v>42271</v>
          </cell>
          <cell r="DZ519">
            <v>42243</v>
          </cell>
          <cell r="EA519" t="str">
            <v>Camusat</v>
          </cell>
          <cell r="EJ519">
            <v>0</v>
          </cell>
          <cell r="EK519">
            <v>42288</v>
          </cell>
          <cell r="EM519">
            <v>42289</v>
          </cell>
          <cell r="EQ519">
            <v>42298</v>
          </cell>
          <cell r="EW519">
            <v>0</v>
          </cell>
          <cell r="EX519">
            <v>42312</v>
          </cell>
          <cell r="EZ519">
            <v>42308</v>
          </cell>
          <cell r="FB519">
            <v>42310</v>
          </cell>
          <cell r="FU519">
            <v>42312</v>
          </cell>
          <cell r="FW519">
            <v>42312</v>
          </cell>
          <cell r="FY519" t="str">
            <v>AZM</v>
          </cell>
          <cell r="GI519">
            <v>42117</v>
          </cell>
          <cell r="GJ519">
            <v>0</v>
          </cell>
          <cell r="GN519" t="str">
            <v>ERICSSON</v>
          </cell>
          <cell r="HD519">
            <v>1</v>
          </cell>
        </row>
        <row r="520">
          <cell r="A520" t="str">
            <v>SG0372</v>
          </cell>
          <cell r="B520" t="str">
            <v>ANSG_0400</v>
          </cell>
          <cell r="C520" t="str">
            <v>Apollo</v>
          </cell>
          <cell r="D520" t="str">
            <v>Adriaan Coetsee</v>
          </cell>
          <cell r="F520" t="str">
            <v>Aung Thu Win</v>
          </cell>
          <cell r="G520" t="str">
            <v>Kyaw Zay Yar</v>
          </cell>
          <cell r="H520" t="str">
            <v>RED</v>
          </cell>
          <cell r="I520" t="str">
            <v>North</v>
          </cell>
          <cell r="J520" t="str">
            <v>95.4843384518086</v>
          </cell>
          <cell r="K520" t="str">
            <v>22.5165143590736</v>
          </cell>
          <cell r="L520" t="str">
            <v>Rural</v>
          </cell>
          <cell r="M520" t="str">
            <v>Sagaing</v>
          </cell>
          <cell r="N520" t="str">
            <v>Tabayin</v>
          </cell>
          <cell r="O520" t="str">
            <v>Tabayin</v>
          </cell>
          <cell r="P520" t="str">
            <v>Sagaing</v>
          </cell>
          <cell r="Q520" t="str">
            <v>11</v>
          </cell>
          <cell r="R520" t="str">
            <v>Tabayin</v>
          </cell>
          <cell r="S520" t="str">
            <v>51</v>
          </cell>
          <cell r="T520" t="str">
            <v>GSM+UMTS</v>
          </cell>
          <cell r="W520" t="str">
            <v>Ph2-Priority</v>
          </cell>
          <cell r="X520" t="str">
            <v>45</v>
          </cell>
          <cell r="Y520" t="str">
            <v>47</v>
          </cell>
          <cell r="Z520" t="str">
            <v>GBT</v>
          </cell>
          <cell r="AA520" t="str">
            <v>500</v>
          </cell>
          <cell r="AB520" t="str">
            <v>Access</v>
          </cell>
          <cell r="AC520" t="str">
            <v>Class C</v>
          </cell>
          <cell r="BE520" t="str">
            <v>Route 10 Mandalay - Myitkyina</v>
          </cell>
          <cell r="BH520" t="str">
            <v>Camusat</v>
          </cell>
          <cell r="BJ520">
            <v>42155</v>
          </cell>
          <cell r="BK520">
            <v>42150</v>
          </cell>
          <cell r="BL520">
            <v>42160</v>
          </cell>
          <cell r="BM520">
            <v>42157</v>
          </cell>
          <cell r="BT520">
            <v>17</v>
          </cell>
          <cell r="BU520">
            <v>42253</v>
          </cell>
          <cell r="BV520">
            <v>42167</v>
          </cell>
          <cell r="BW520" t="str">
            <v>95.48326</v>
          </cell>
          <cell r="BX520" t="str">
            <v>22.51752</v>
          </cell>
          <cell r="BY520" t="str">
            <v>C1</v>
          </cell>
          <cell r="BZ520" t="str">
            <v>Sudat Village ,Depayin Township,Sagaing Division.</v>
          </cell>
          <cell r="CA520" t="str">
            <v>Daw Tin Aung;09-400431348/09-977362401</v>
          </cell>
          <cell r="CB520" t="str">
            <v>12Jun15: C1 SAR Sub</v>
          </cell>
          <cell r="CE520">
            <v>3</v>
          </cell>
          <cell r="CF520">
            <v>42254</v>
          </cell>
          <cell r="CG520">
            <v>42170</v>
          </cell>
          <cell r="CH520">
            <v>42256</v>
          </cell>
          <cell r="CJ520">
            <v>42179</v>
          </cell>
          <cell r="CK520" t="str">
            <v>45</v>
          </cell>
          <cell r="CL520" t="str">
            <v>47</v>
          </cell>
          <cell r="CM520" t="str">
            <v>50</v>
          </cell>
          <cell r="CN520">
            <v>11</v>
          </cell>
          <cell r="CO520">
            <v>42259</v>
          </cell>
          <cell r="CP520">
            <v>42181</v>
          </cell>
          <cell r="CQ520" t="str">
            <v>M4: solar + DG + battery</v>
          </cell>
          <cell r="CR520">
            <v>3</v>
          </cell>
          <cell r="CS520">
            <v>42260</v>
          </cell>
          <cell r="CT520">
            <v>42184</v>
          </cell>
          <cell r="CU520" t="str">
            <v>SG0372</v>
          </cell>
          <cell r="DH520">
            <v>49</v>
          </cell>
          <cell r="DI520">
            <v>42270</v>
          </cell>
          <cell r="DJ520">
            <v>42248</v>
          </cell>
          <cell r="DK520">
            <v>42267</v>
          </cell>
          <cell r="DL520">
            <v>42172</v>
          </cell>
          <cell r="DM520">
            <v>42271</v>
          </cell>
          <cell r="DO520">
            <v>0</v>
          </cell>
          <cell r="DP520">
            <v>42270</v>
          </cell>
          <cell r="DQ520">
            <v>42248</v>
          </cell>
          <cell r="DT520">
            <v>0</v>
          </cell>
          <cell r="DU520">
            <v>42285</v>
          </cell>
          <cell r="DW520">
            <v>0</v>
          </cell>
          <cell r="DY520">
            <v>42271</v>
          </cell>
          <cell r="DZ520">
            <v>42244</v>
          </cell>
          <cell r="EA520" t="str">
            <v>Camusat</v>
          </cell>
          <cell r="EJ520">
            <v>0</v>
          </cell>
          <cell r="EK520">
            <v>42288</v>
          </cell>
          <cell r="EM520">
            <v>42289</v>
          </cell>
          <cell r="EQ520">
            <v>42298</v>
          </cell>
          <cell r="EW520">
            <v>0</v>
          </cell>
          <cell r="EX520">
            <v>42312</v>
          </cell>
          <cell r="EZ520">
            <v>42308</v>
          </cell>
          <cell r="FB520">
            <v>42310</v>
          </cell>
          <cell r="FU520">
            <v>42312</v>
          </cell>
          <cell r="FW520">
            <v>42312</v>
          </cell>
          <cell r="GI520">
            <v>42154</v>
          </cell>
          <cell r="GJ520">
            <v>0</v>
          </cell>
          <cell r="GN520" t="str">
            <v>ERICSSON</v>
          </cell>
          <cell r="HD520">
            <v>1</v>
          </cell>
        </row>
        <row r="521">
          <cell r="A521" t="str">
            <v>SG0373</v>
          </cell>
          <cell r="B521" t="str">
            <v>ANSG_0401</v>
          </cell>
          <cell r="C521" t="str">
            <v>Apollo</v>
          </cell>
          <cell r="D521" t="str">
            <v>Adriaan Coetsee</v>
          </cell>
          <cell r="F521" t="str">
            <v>Aung Thu Win</v>
          </cell>
          <cell r="G521" t="str">
            <v>Kyaw Zay Yar</v>
          </cell>
          <cell r="H521" t="str">
            <v>RED</v>
          </cell>
          <cell r="I521" t="str">
            <v>North</v>
          </cell>
          <cell r="J521" t="str">
            <v>95.5880577756725</v>
          </cell>
          <cell r="K521" t="str">
            <v>22.5497842960469</v>
          </cell>
          <cell r="L521" t="str">
            <v>Rural</v>
          </cell>
          <cell r="M521" t="str">
            <v>Sagaing</v>
          </cell>
          <cell r="N521" t="str">
            <v>Shwebo</v>
          </cell>
          <cell r="O521" t="str">
            <v>Shwebo</v>
          </cell>
          <cell r="P521" t="str">
            <v>Sagaing</v>
          </cell>
          <cell r="Q521" t="str">
            <v>11</v>
          </cell>
          <cell r="R521" t="str">
            <v>Shwebo</v>
          </cell>
          <cell r="S521" t="str">
            <v>45</v>
          </cell>
          <cell r="T521" t="str">
            <v>GSM+UMTS</v>
          </cell>
          <cell r="W521" t="str">
            <v>Ph2-Priority</v>
          </cell>
          <cell r="X521" t="str">
            <v>45</v>
          </cell>
          <cell r="Y521" t="str">
            <v>47</v>
          </cell>
          <cell r="Z521" t="str">
            <v>GBT</v>
          </cell>
          <cell r="AA521" t="str">
            <v>500</v>
          </cell>
          <cell r="AB521" t="str">
            <v>Access</v>
          </cell>
          <cell r="AC521" t="str">
            <v>Class C</v>
          </cell>
          <cell r="BE521" t="str">
            <v>Route 10 Mandalay - Myitkyina</v>
          </cell>
          <cell r="BH521" t="str">
            <v>Camusat</v>
          </cell>
          <cell r="BJ521">
            <v>42153</v>
          </cell>
          <cell r="BK521">
            <v>42150</v>
          </cell>
          <cell r="BL521">
            <v>42158</v>
          </cell>
          <cell r="BM521">
            <v>42157</v>
          </cell>
          <cell r="BT521">
            <v>17</v>
          </cell>
          <cell r="BU521">
            <v>42178</v>
          </cell>
          <cell r="BV521">
            <v>42214</v>
          </cell>
          <cell r="BW521" t="str">
            <v>95.59352</v>
          </cell>
          <cell r="BX521" t="str">
            <v>22.54406</v>
          </cell>
          <cell r="BY521" t="str">
            <v>C1</v>
          </cell>
          <cell r="BZ521" t="str">
            <v>Sudat Village ,Depayin Township,Sagaing Division.</v>
          </cell>
          <cell r="CA521" t="str">
            <v>Daw Tin Aung;09-400431348/09-977362401</v>
          </cell>
          <cell r="CB521" t="str">
            <v>29 July 15: C1-SAR resubmission + justification; 14 July 15 : C1 SAR rejected( RND rejected because this site is 848m far from the nominal point. Please find the candidate near the nominal)</v>
          </cell>
          <cell r="CC521" t="str">
            <v>Village</v>
          </cell>
          <cell r="CE521">
            <v>5</v>
          </cell>
          <cell r="CF521">
            <v>42179</v>
          </cell>
          <cell r="CG521">
            <v>42219</v>
          </cell>
          <cell r="CH521">
            <v>42181</v>
          </cell>
          <cell r="CJ521">
            <v>42179</v>
          </cell>
          <cell r="CK521" t="str">
            <v>45</v>
          </cell>
          <cell r="CL521" t="str">
            <v>47</v>
          </cell>
          <cell r="CM521" t="str">
            <v>50</v>
          </cell>
          <cell r="CN521">
            <v>14</v>
          </cell>
          <cell r="CO521">
            <v>42184</v>
          </cell>
          <cell r="CP521">
            <v>42181</v>
          </cell>
          <cell r="CQ521" t="str">
            <v>M4: solar + DG + battery</v>
          </cell>
          <cell r="CR521">
            <v>0</v>
          </cell>
          <cell r="CS521">
            <v>42185</v>
          </cell>
          <cell r="CT521">
            <v>42184</v>
          </cell>
          <cell r="CU521" t="str">
            <v>SG0373</v>
          </cell>
          <cell r="DH521">
            <v>0</v>
          </cell>
          <cell r="DI521">
            <v>42195</v>
          </cell>
          <cell r="DK521">
            <v>42192</v>
          </cell>
          <cell r="DL521">
            <v>42172</v>
          </cell>
          <cell r="DM521">
            <v>42196</v>
          </cell>
          <cell r="DO521">
            <v>0</v>
          </cell>
          <cell r="DP521">
            <v>42195</v>
          </cell>
          <cell r="DT521">
            <v>0</v>
          </cell>
          <cell r="DU521">
            <v>42210</v>
          </cell>
          <cell r="DW521">
            <v>0</v>
          </cell>
          <cell r="DY521">
            <v>42196</v>
          </cell>
          <cell r="EA521" t="str">
            <v>Camusat</v>
          </cell>
          <cell r="EJ521">
            <v>0</v>
          </cell>
          <cell r="EK521">
            <v>42213</v>
          </cell>
          <cell r="EM521">
            <v>42214</v>
          </cell>
          <cell r="EQ521">
            <v>42223</v>
          </cell>
          <cell r="EW521">
            <v>0</v>
          </cell>
          <cell r="EX521">
            <v>42260</v>
          </cell>
          <cell r="EZ521">
            <v>42233</v>
          </cell>
          <cell r="FB521">
            <v>42235</v>
          </cell>
          <cell r="FU521">
            <v>42237</v>
          </cell>
          <cell r="FW521">
            <v>42237</v>
          </cell>
          <cell r="GI521">
            <v>42104</v>
          </cell>
          <cell r="GJ521">
            <v>0</v>
          </cell>
          <cell r="GN521" t="str">
            <v>ERICSSON</v>
          </cell>
          <cell r="HD521">
            <v>1</v>
          </cell>
        </row>
        <row r="522">
          <cell r="A522" t="str">
            <v>SG0374</v>
          </cell>
          <cell r="B522" t="str">
            <v>ANSG_0430</v>
          </cell>
          <cell r="C522" t="str">
            <v>Apollo</v>
          </cell>
          <cell r="D522" t="str">
            <v>Adriaan Coetsee</v>
          </cell>
          <cell r="F522" t="str">
            <v>Aung Thu Win</v>
          </cell>
          <cell r="G522" t="str">
            <v>Kyaw Zay Yar</v>
          </cell>
          <cell r="H522" t="str">
            <v>RED</v>
          </cell>
          <cell r="I522" t="str">
            <v>North</v>
          </cell>
          <cell r="J522" t="str">
            <v>95.3950898065009</v>
          </cell>
          <cell r="K522" t="str">
            <v>22.4904538974898</v>
          </cell>
          <cell r="L522" t="str">
            <v>Rural</v>
          </cell>
          <cell r="M522" t="str">
            <v>Sagaing</v>
          </cell>
          <cell r="N522" t="str">
            <v>Ayadaw</v>
          </cell>
          <cell r="O522" t="str">
            <v>Ayadaw</v>
          </cell>
          <cell r="P522" t="str">
            <v>Sagaing</v>
          </cell>
          <cell r="Q522" t="str">
            <v>11</v>
          </cell>
          <cell r="R522" t="str">
            <v>Ayadaw</v>
          </cell>
          <cell r="S522" t="str">
            <v>55</v>
          </cell>
          <cell r="T522" t="str">
            <v>GSM+UMTS</v>
          </cell>
          <cell r="W522" t="str">
            <v>Ph2-Priority</v>
          </cell>
          <cell r="X522" t="str">
            <v>45</v>
          </cell>
          <cell r="Y522" t="str">
            <v>47</v>
          </cell>
          <cell r="Z522" t="str">
            <v>GBT</v>
          </cell>
          <cell r="AA522" t="str">
            <v>500</v>
          </cell>
          <cell r="AB522" t="str">
            <v>Access</v>
          </cell>
          <cell r="AC522" t="str">
            <v>Class C</v>
          </cell>
          <cell r="BE522" t="str">
            <v>Route 10 Mandalay - Myitkyina</v>
          </cell>
          <cell r="BH522" t="str">
            <v>Camusat</v>
          </cell>
          <cell r="BJ522">
            <v>42155</v>
          </cell>
          <cell r="BK522">
            <v>42148</v>
          </cell>
          <cell r="BL522">
            <v>42160</v>
          </cell>
          <cell r="BM522">
            <v>42155</v>
          </cell>
          <cell r="BT522">
            <v>17</v>
          </cell>
          <cell r="BU522">
            <v>42253</v>
          </cell>
          <cell r="BV522">
            <v>42165</v>
          </cell>
          <cell r="BW522" t="str">
            <v>95.39453</v>
          </cell>
          <cell r="BX522" t="str">
            <v>22.48815</v>
          </cell>
          <cell r="BY522" t="str">
            <v>C1</v>
          </cell>
          <cell r="BZ522" t="str">
            <v>Oake Shit Gyi Village, Ayartaw Township, Monywa, Sagaing Division</v>
          </cell>
          <cell r="CA522" t="str">
            <v>U Kyaw Shwe</v>
          </cell>
          <cell r="CB522" t="str">
            <v>10Jun15:C1 SAR Sub</v>
          </cell>
          <cell r="CC522" t="str">
            <v>Village</v>
          </cell>
          <cell r="CE522">
            <v>0</v>
          </cell>
          <cell r="CF522">
            <v>42254</v>
          </cell>
          <cell r="CG522">
            <v>42165</v>
          </cell>
          <cell r="CH522">
            <v>42256</v>
          </cell>
          <cell r="CJ522">
            <v>42193</v>
          </cell>
          <cell r="CK522" t="str">
            <v>45</v>
          </cell>
          <cell r="CL522" t="str">
            <v>47</v>
          </cell>
          <cell r="CM522" t="str">
            <v>50</v>
          </cell>
          <cell r="CN522">
            <v>30</v>
          </cell>
          <cell r="CO522">
            <v>42259</v>
          </cell>
          <cell r="CP522">
            <v>42195</v>
          </cell>
          <cell r="CQ522" t="str">
            <v>M4: solar + DG + battery</v>
          </cell>
          <cell r="CR522">
            <v>4</v>
          </cell>
          <cell r="CS522">
            <v>42260</v>
          </cell>
          <cell r="CT522">
            <v>42199</v>
          </cell>
          <cell r="CU522" t="str">
            <v>SG0374</v>
          </cell>
          <cell r="DH522">
            <v>34</v>
          </cell>
          <cell r="DI522">
            <v>42270</v>
          </cell>
          <cell r="DJ522">
            <v>42245</v>
          </cell>
          <cell r="DK522">
            <v>42267</v>
          </cell>
          <cell r="DL522">
            <v>42198</v>
          </cell>
          <cell r="DM522">
            <v>42271</v>
          </cell>
          <cell r="DN522">
            <v>42198</v>
          </cell>
          <cell r="DO522">
            <v>0</v>
          </cell>
          <cell r="DP522">
            <v>42270</v>
          </cell>
          <cell r="DQ522">
            <v>42245</v>
          </cell>
          <cell r="DT522">
            <v>0</v>
          </cell>
          <cell r="DU522">
            <v>42285</v>
          </cell>
          <cell r="DW522">
            <v>0</v>
          </cell>
          <cell r="DY522">
            <v>42271</v>
          </cell>
          <cell r="DZ522">
            <v>42244</v>
          </cell>
          <cell r="EA522" t="str">
            <v>Camusat</v>
          </cell>
          <cell r="ED522" t="str">
            <v>17Aug15 :KyawZay.Yar: Erection ongoing.Power equip; on site &amp; connectivity ready.
27Jul15 :KyawZay.Yar: Pedestal done together with back filling.Equip; PAD not started yet.No tower parts on site.</v>
          </cell>
          <cell r="EJ522">
            <v>0</v>
          </cell>
          <cell r="EK522">
            <v>42288</v>
          </cell>
          <cell r="EL522">
            <v>42205</v>
          </cell>
          <cell r="EM522">
            <v>42289</v>
          </cell>
          <cell r="EN522">
            <v>42226</v>
          </cell>
          <cell r="EQ522">
            <v>42298</v>
          </cell>
          <cell r="ER522">
            <v>42234</v>
          </cell>
          <cell r="ES522">
            <v>42220</v>
          </cell>
          <cell r="ET522">
            <v>42234</v>
          </cell>
          <cell r="EU522">
            <v>42234</v>
          </cell>
          <cell r="EW522">
            <v>0</v>
          </cell>
          <cell r="EX522">
            <v>42312</v>
          </cell>
          <cell r="EZ522">
            <v>42308</v>
          </cell>
          <cell r="FA522">
            <v>42226</v>
          </cell>
          <cell r="FB522">
            <v>42310</v>
          </cell>
          <cell r="FC522">
            <v>42227</v>
          </cell>
          <cell r="FU522">
            <v>42312</v>
          </cell>
          <cell r="FW522">
            <v>42312</v>
          </cell>
          <cell r="FX522">
            <v>42234</v>
          </cell>
          <cell r="FY522" t="str">
            <v>AZM</v>
          </cell>
          <cell r="FZ522">
            <v>42230</v>
          </cell>
          <cell r="GA522">
            <v>42233</v>
          </cell>
          <cell r="GI522">
            <v>42246</v>
          </cell>
          <cell r="GJ522">
            <v>0</v>
          </cell>
          <cell r="GL522" t="str">
            <v>Infra Issue::Tower is not Ready</v>
          </cell>
          <cell r="GN522" t="str">
            <v>ERICSSON</v>
          </cell>
          <cell r="GP522">
            <v>42206</v>
          </cell>
          <cell r="HD522">
            <v>1</v>
          </cell>
        </row>
        <row r="523">
          <cell r="A523" t="str">
            <v>SG0375</v>
          </cell>
          <cell r="B523" t="str">
            <v>ANSG_0402</v>
          </cell>
          <cell r="C523" t="str">
            <v>Apollo</v>
          </cell>
          <cell r="D523" t="str">
            <v>Adriaan Coetsee</v>
          </cell>
          <cell r="F523" t="str">
            <v>Aung Thu Win</v>
          </cell>
          <cell r="G523" t="str">
            <v>Kyaw Zay Yar</v>
          </cell>
          <cell r="H523" t="str">
            <v>RED</v>
          </cell>
          <cell r="I523" t="str">
            <v>North</v>
          </cell>
          <cell r="J523" t="str">
            <v>95.3569455968374</v>
          </cell>
          <cell r="K523" t="str">
            <v>22.5231986790758</v>
          </cell>
          <cell r="L523" t="str">
            <v>Rural</v>
          </cell>
          <cell r="M523" t="str">
            <v>Sagaing</v>
          </cell>
          <cell r="N523" t="str">
            <v>Tabayin</v>
          </cell>
          <cell r="O523" t="str">
            <v>Tabayin</v>
          </cell>
          <cell r="P523" t="str">
            <v>Sagaing</v>
          </cell>
          <cell r="Q523" t="str">
            <v>11</v>
          </cell>
          <cell r="R523" t="str">
            <v>Tabayin</v>
          </cell>
          <cell r="S523" t="str">
            <v>51</v>
          </cell>
          <cell r="T523" t="str">
            <v>GSM+UMTS</v>
          </cell>
          <cell r="W523" t="str">
            <v>Ph2-Priority</v>
          </cell>
          <cell r="X523" t="str">
            <v>45</v>
          </cell>
          <cell r="Y523" t="str">
            <v>47</v>
          </cell>
          <cell r="Z523" t="str">
            <v>GBT</v>
          </cell>
          <cell r="AA523" t="str">
            <v>500</v>
          </cell>
          <cell r="AB523" t="str">
            <v>Access</v>
          </cell>
          <cell r="AC523" t="str">
            <v>Class C</v>
          </cell>
          <cell r="BE523" t="str">
            <v>Route 10 Mandalay - Myitkyina</v>
          </cell>
          <cell r="BH523" t="str">
            <v>Camusat</v>
          </cell>
          <cell r="BJ523">
            <v>42155</v>
          </cell>
          <cell r="BK523">
            <v>42171</v>
          </cell>
          <cell r="BL523">
            <v>42160</v>
          </cell>
          <cell r="BM523">
            <v>42178</v>
          </cell>
          <cell r="BT523">
            <v>27</v>
          </cell>
          <cell r="BU523">
            <v>42253</v>
          </cell>
          <cell r="BV523">
            <v>42198</v>
          </cell>
          <cell r="BW523" t="str">
            <v>95.34921</v>
          </cell>
          <cell r="BX523" t="str">
            <v>22.51677</v>
          </cell>
          <cell r="BY523" t="str">
            <v>C1</v>
          </cell>
          <cell r="BZ523" t="str">
            <v>Taw Tan Group, Shaw PhyuVillage , De Pae Yin Township, Sagaing Division.</v>
          </cell>
          <cell r="CA523" t="str">
            <v>U Tin Htun</v>
          </cell>
          <cell r="CC523" t="str">
            <v>Village</v>
          </cell>
          <cell r="CE523">
            <v>1</v>
          </cell>
          <cell r="CF523">
            <v>42254</v>
          </cell>
          <cell r="CG523">
            <v>42199</v>
          </cell>
          <cell r="CH523">
            <v>42256</v>
          </cell>
          <cell r="CJ523">
            <v>42206</v>
          </cell>
          <cell r="CK523" t="str">
            <v>45</v>
          </cell>
          <cell r="CL523" t="str">
            <v>47</v>
          </cell>
          <cell r="CM523" t="str">
            <v>60</v>
          </cell>
          <cell r="CN523">
            <v>9</v>
          </cell>
          <cell r="CO523">
            <v>42259</v>
          </cell>
          <cell r="CP523">
            <v>42208</v>
          </cell>
          <cell r="CQ523" t="str">
            <v>M4: solar + DG + battery</v>
          </cell>
          <cell r="CR523">
            <v>1</v>
          </cell>
          <cell r="CS523">
            <v>42260</v>
          </cell>
          <cell r="CT523">
            <v>42209</v>
          </cell>
          <cell r="CU523" t="str">
            <v>SG0375</v>
          </cell>
          <cell r="DH523">
            <v>24</v>
          </cell>
          <cell r="DI523">
            <v>42270</v>
          </cell>
          <cell r="DJ523">
            <v>42248</v>
          </cell>
          <cell r="DK523">
            <v>42267</v>
          </cell>
          <cell r="DL523">
            <v>42213</v>
          </cell>
          <cell r="DM523">
            <v>42271</v>
          </cell>
          <cell r="DO523">
            <v>0</v>
          </cell>
          <cell r="DP523">
            <v>42270</v>
          </cell>
          <cell r="DQ523">
            <v>42248</v>
          </cell>
          <cell r="DT523">
            <v>0</v>
          </cell>
          <cell r="DU523">
            <v>42285</v>
          </cell>
          <cell r="DW523">
            <v>0</v>
          </cell>
          <cell r="DY523">
            <v>42271</v>
          </cell>
          <cell r="DZ523">
            <v>42243</v>
          </cell>
          <cell r="EA523" t="str">
            <v>Camusat</v>
          </cell>
          <cell r="EJ523">
            <v>0</v>
          </cell>
          <cell r="EK523">
            <v>42293</v>
          </cell>
          <cell r="EM523">
            <v>42294</v>
          </cell>
          <cell r="EQ523">
            <v>42306</v>
          </cell>
          <cell r="EW523">
            <v>0</v>
          </cell>
          <cell r="EX523">
            <v>42320</v>
          </cell>
          <cell r="EZ523">
            <v>42316</v>
          </cell>
          <cell r="FB523">
            <v>42318</v>
          </cell>
          <cell r="FU523">
            <v>42320</v>
          </cell>
          <cell r="FW523">
            <v>42320</v>
          </cell>
          <cell r="GJ523">
            <v>0</v>
          </cell>
          <cell r="GN523" t="str">
            <v>ERICSSON</v>
          </cell>
          <cell r="HD523">
            <v>1</v>
          </cell>
        </row>
        <row r="524">
          <cell r="A524" t="str">
            <v>SG0376</v>
          </cell>
          <cell r="B524" t="str">
            <v>ANSG_0403</v>
          </cell>
          <cell r="C524" t="str">
            <v>Apollo</v>
          </cell>
          <cell r="D524" t="str">
            <v>Adriaan Coetsee</v>
          </cell>
          <cell r="F524" t="str">
            <v>Aung Thu Win</v>
          </cell>
          <cell r="G524" t="str">
            <v>Kyaw Zay Yar</v>
          </cell>
          <cell r="H524" t="str">
            <v>AMBER</v>
          </cell>
          <cell r="I524" t="str">
            <v>North</v>
          </cell>
          <cell r="J524" t="str">
            <v>95.4937183323843</v>
          </cell>
          <cell r="K524" t="str">
            <v>21.9283548140521</v>
          </cell>
          <cell r="L524" t="str">
            <v>Rural</v>
          </cell>
          <cell r="M524" t="str">
            <v>Sagaing</v>
          </cell>
          <cell r="N524" t="str">
            <v>Myinmu</v>
          </cell>
          <cell r="O524" t="str">
            <v>Myinmu</v>
          </cell>
          <cell r="P524" t="str">
            <v>Sagaing</v>
          </cell>
          <cell r="Q524" t="str">
            <v>11</v>
          </cell>
          <cell r="R524" t="str">
            <v>Myinmu</v>
          </cell>
          <cell r="S524" t="str">
            <v>43</v>
          </cell>
          <cell r="T524" t="str">
            <v>GSM+UMTS</v>
          </cell>
          <cell r="W524" t="str">
            <v>Ph2-Priority</v>
          </cell>
          <cell r="X524" t="str">
            <v>45</v>
          </cell>
          <cell r="Y524" t="str">
            <v>47</v>
          </cell>
          <cell r="Z524" t="str">
            <v>GBT</v>
          </cell>
          <cell r="AA524" t="str">
            <v>500</v>
          </cell>
          <cell r="AB524" t="str">
            <v>Access</v>
          </cell>
          <cell r="AC524" t="str">
            <v>Class C</v>
          </cell>
          <cell r="BE524" t="str">
            <v>Route 6 Mandalay - Monywa</v>
          </cell>
          <cell r="BH524" t="str">
            <v>Camusat</v>
          </cell>
          <cell r="BJ524">
            <v>42153</v>
          </cell>
          <cell r="BK524">
            <v>42150</v>
          </cell>
          <cell r="BL524">
            <v>42158</v>
          </cell>
          <cell r="BM524">
            <v>42157</v>
          </cell>
          <cell r="BT524">
            <v>17</v>
          </cell>
          <cell r="BU524">
            <v>42201</v>
          </cell>
          <cell r="BV524">
            <v>42167</v>
          </cell>
          <cell r="BW524" t="str">
            <v>95.49329</v>
          </cell>
          <cell r="BX524" t="str">
            <v>21.92898</v>
          </cell>
          <cell r="BY524" t="str">
            <v>C1</v>
          </cell>
          <cell r="BZ524" t="str">
            <v>Arelarkapa Village, Myin Mu Township, Sagaing Division.</v>
          </cell>
          <cell r="CA524" t="str">
            <v>Daw Kaung;09 - 30254543 / 09 - 259604457</v>
          </cell>
          <cell r="CB524" t="str">
            <v>12Jun15: C1 SAR Sub</v>
          </cell>
          <cell r="CC524" t="str">
            <v>Residential</v>
          </cell>
          <cell r="CE524">
            <v>3</v>
          </cell>
          <cell r="CF524">
            <v>42202</v>
          </cell>
          <cell r="CG524">
            <v>42170</v>
          </cell>
          <cell r="CH524">
            <v>42204</v>
          </cell>
          <cell r="CJ524">
            <v>42180</v>
          </cell>
          <cell r="CK524" t="str">
            <v>45</v>
          </cell>
          <cell r="CL524" t="str">
            <v>47</v>
          </cell>
          <cell r="CM524" t="str">
            <v>50</v>
          </cell>
          <cell r="CN524">
            <v>12</v>
          </cell>
          <cell r="CO524">
            <v>42207</v>
          </cell>
          <cell r="CP524">
            <v>42182</v>
          </cell>
          <cell r="CQ524" t="str">
            <v>M1: grid power + battery</v>
          </cell>
          <cell r="CR524">
            <v>3</v>
          </cell>
          <cell r="CS524">
            <v>42208</v>
          </cell>
          <cell r="CT524">
            <v>42185</v>
          </cell>
          <cell r="CU524" t="str">
            <v>SG0376</v>
          </cell>
          <cell r="DH524">
            <v>32</v>
          </cell>
          <cell r="DI524">
            <v>42218</v>
          </cell>
          <cell r="DJ524">
            <v>42217</v>
          </cell>
          <cell r="DK524">
            <v>42215</v>
          </cell>
          <cell r="DL524">
            <v>42179</v>
          </cell>
          <cell r="DM524">
            <v>42219</v>
          </cell>
          <cell r="DN524">
            <v>42214</v>
          </cell>
          <cell r="DO524">
            <v>0</v>
          </cell>
          <cell r="DP524">
            <v>42218</v>
          </cell>
          <cell r="DQ524">
            <v>42217</v>
          </cell>
          <cell r="DT524">
            <v>16</v>
          </cell>
          <cell r="DU524">
            <v>42233</v>
          </cell>
          <cell r="DW524">
            <v>0</v>
          </cell>
          <cell r="DY524">
            <v>42219</v>
          </cell>
          <cell r="DZ524">
            <v>42214</v>
          </cell>
          <cell r="EA524" t="str">
            <v>Camusat</v>
          </cell>
          <cell r="ED524" t="str">
            <v xml:space="preserve">17Aug15 :KyawZay.Yar: Excavation ongoin together with lean concrete.
</v>
          </cell>
          <cell r="EJ524">
            <v>19</v>
          </cell>
          <cell r="EK524">
            <v>42236</v>
          </cell>
          <cell r="EL524">
            <v>42247</v>
          </cell>
          <cell r="EM524">
            <v>42237</v>
          </cell>
          <cell r="EQ524">
            <v>42246</v>
          </cell>
          <cell r="ES524">
            <v>42248</v>
          </cell>
          <cell r="EW524">
            <v>19</v>
          </cell>
          <cell r="EX524">
            <v>42260</v>
          </cell>
          <cell r="EZ524">
            <v>42256</v>
          </cell>
          <cell r="FB524">
            <v>42258</v>
          </cell>
          <cell r="FU524">
            <v>42260</v>
          </cell>
          <cell r="FW524">
            <v>42260</v>
          </cell>
          <cell r="GI524">
            <v>42307</v>
          </cell>
          <cell r="GJ524" t="str">
            <v>44-2015</v>
          </cell>
          <cell r="GN524" t="str">
            <v>ERICSSON</v>
          </cell>
          <cell r="HD524">
            <v>1</v>
          </cell>
        </row>
        <row r="525">
          <cell r="A525" t="str">
            <v>SG0377</v>
          </cell>
          <cell r="B525" t="str">
            <v>ANSG_0404</v>
          </cell>
          <cell r="C525" t="str">
            <v>Apollo</v>
          </cell>
          <cell r="D525" t="str">
            <v>Adriaan Coetsee</v>
          </cell>
          <cell r="F525" t="str">
            <v>Aung Thu Win</v>
          </cell>
          <cell r="G525" t="str">
            <v>Kyaw Zay Yar</v>
          </cell>
          <cell r="H525" t="str">
            <v>AMBER</v>
          </cell>
          <cell r="I525" t="str">
            <v>North</v>
          </cell>
          <cell r="J525" t="str">
            <v>95.6771299473458</v>
          </cell>
          <cell r="K525" t="str">
            <v>22.3846487763097</v>
          </cell>
          <cell r="L525" t="str">
            <v>Rural</v>
          </cell>
          <cell r="M525" t="str">
            <v>Sagaing</v>
          </cell>
          <cell r="N525" t="str">
            <v>Wetlet</v>
          </cell>
          <cell r="O525" t="str">
            <v>Wetlet</v>
          </cell>
          <cell r="P525" t="str">
            <v>Sagaing</v>
          </cell>
          <cell r="Q525" t="str">
            <v>11</v>
          </cell>
          <cell r="R525" t="str">
            <v>Wetlet</v>
          </cell>
          <cell r="S525" t="str">
            <v>47</v>
          </cell>
          <cell r="T525" t="str">
            <v>GSM+UMTS</v>
          </cell>
          <cell r="W525" t="str">
            <v>Ph2-Priority</v>
          </cell>
          <cell r="X525" t="str">
            <v>45</v>
          </cell>
          <cell r="Y525" t="str">
            <v>47</v>
          </cell>
          <cell r="Z525" t="str">
            <v>GBT</v>
          </cell>
          <cell r="AA525" t="str">
            <v>500</v>
          </cell>
          <cell r="AB525" t="str">
            <v>Access</v>
          </cell>
          <cell r="AC525" t="str">
            <v>Class C</v>
          </cell>
          <cell r="BE525" t="str">
            <v>Route 10 Mandalay - Myitkyina</v>
          </cell>
          <cell r="BH525" t="str">
            <v>Camusat</v>
          </cell>
          <cell r="BJ525">
            <v>42155</v>
          </cell>
          <cell r="BK525">
            <v>42171</v>
          </cell>
          <cell r="BL525">
            <v>42160</v>
          </cell>
          <cell r="BM525">
            <v>42178</v>
          </cell>
          <cell r="BT525">
            <v>27</v>
          </cell>
          <cell r="BU525">
            <v>42253</v>
          </cell>
          <cell r="BV525">
            <v>42198</v>
          </cell>
          <cell r="BW525" t="str">
            <v>95.67792</v>
          </cell>
          <cell r="BX525" t="str">
            <v>22.382287</v>
          </cell>
          <cell r="BY525" t="str">
            <v>C1</v>
          </cell>
          <cell r="BZ525" t="str">
            <v>Shwekyin-3 Village, Wetlet Township, Sagaing Division</v>
          </cell>
          <cell r="CA525" t="str">
            <v>U Cho Lin</v>
          </cell>
          <cell r="CB525" t="str">
            <v>13 Aug 15 : C1 TSSR and C1 SAR rev 1 approved toghther;12 Aug 15 : C1 SAR rev1 pdf uploaded again;5 Aug 15 : C1 TSSR sub but different coordinate with perv SAR app location;24 Jul 15 :C1 SAR app;23 July 15 :C1 SAR rev sub( Apollo confirmed that C1 was clear NOC issue because it was village land;TML RND agree to reapprove C1 location);23 July 15 : C2 SAR reject(: As per TM radio suggestion, RND rejected because this site is 3.09km far from the nominal point and away from the population area but revised C1 and approved.); 20 July 15:C2-SAR submission + justification; 9 July 15 : C1 SAR reject with justification(Apollo revised this candidate . According to justification, nominal is located in military area and this is the only option. As per TM radio suggestion, RND rejected because this candidate is out of search ring (1.2 km). Relocate the nominal point to Lat 20.182505, Long 92.844230 and search ring remain the same 250m.)</v>
          </cell>
          <cell r="CC525" t="str">
            <v>Village</v>
          </cell>
          <cell r="CE525">
            <v>1</v>
          </cell>
          <cell r="CF525">
            <v>42254</v>
          </cell>
          <cell r="CG525">
            <v>42199</v>
          </cell>
          <cell r="CH525">
            <v>42256</v>
          </cell>
          <cell r="CJ525">
            <v>42206</v>
          </cell>
          <cell r="CK525" t="str">
            <v>45</v>
          </cell>
          <cell r="CL525" t="str">
            <v>47</v>
          </cell>
          <cell r="CM525" t="str">
            <v>50</v>
          </cell>
          <cell r="CN525">
            <v>9</v>
          </cell>
          <cell r="CO525">
            <v>42259</v>
          </cell>
          <cell r="CP525">
            <v>42208</v>
          </cell>
          <cell r="CQ525" t="str">
            <v>M1: grid power + battery</v>
          </cell>
          <cell r="CR525">
            <v>1</v>
          </cell>
          <cell r="CS525">
            <v>42260</v>
          </cell>
          <cell r="CT525">
            <v>42209</v>
          </cell>
          <cell r="CU525" t="str">
            <v>SG0377</v>
          </cell>
          <cell r="DH525">
            <v>24</v>
          </cell>
          <cell r="DI525">
            <v>42270</v>
          </cell>
          <cell r="DK525">
            <v>42267</v>
          </cell>
          <cell r="DL525">
            <v>42213</v>
          </cell>
          <cell r="DM525">
            <v>42271</v>
          </cell>
          <cell r="DO525">
            <v>0</v>
          </cell>
          <cell r="DP525">
            <v>42270</v>
          </cell>
          <cell r="DT525">
            <v>0</v>
          </cell>
          <cell r="DU525">
            <v>42285</v>
          </cell>
          <cell r="DW525">
            <v>0</v>
          </cell>
          <cell r="DY525">
            <v>42271</v>
          </cell>
          <cell r="DZ525">
            <v>42228</v>
          </cell>
          <cell r="EA525" t="str">
            <v>Camusat</v>
          </cell>
          <cell r="EJ525">
            <v>5</v>
          </cell>
          <cell r="EK525">
            <v>42288</v>
          </cell>
          <cell r="EM525">
            <v>42289</v>
          </cell>
          <cell r="EQ525">
            <v>42298</v>
          </cell>
          <cell r="EW525">
            <v>5</v>
          </cell>
          <cell r="EX525">
            <v>42312</v>
          </cell>
          <cell r="EZ525">
            <v>42308</v>
          </cell>
          <cell r="FB525">
            <v>42310</v>
          </cell>
          <cell r="FU525">
            <v>42312</v>
          </cell>
          <cell r="FW525">
            <v>42312</v>
          </cell>
          <cell r="GJ525">
            <v>0</v>
          </cell>
          <cell r="GN525" t="str">
            <v>ERICSSON</v>
          </cell>
          <cell r="HD525">
            <v>1</v>
          </cell>
        </row>
        <row r="526">
          <cell r="A526" t="str">
            <v>SG0378</v>
          </cell>
          <cell r="B526" t="str">
            <v>ANSG_0431</v>
          </cell>
          <cell r="C526" t="str">
            <v>Apollo</v>
          </cell>
          <cell r="D526" t="str">
            <v>Adriaan Coetsee</v>
          </cell>
          <cell r="F526" t="str">
            <v>Aung Thu Win</v>
          </cell>
          <cell r="G526" t="str">
            <v>Kyaw Zay Yar</v>
          </cell>
          <cell r="H526" t="str">
            <v>AMBER</v>
          </cell>
          <cell r="I526" t="str">
            <v>North</v>
          </cell>
          <cell r="J526" t="str">
            <v>95.4251</v>
          </cell>
          <cell r="K526" t="str">
            <v>22.7713</v>
          </cell>
          <cell r="L526" t="str">
            <v>SubUrban</v>
          </cell>
          <cell r="M526" t="str">
            <v>Sagaing</v>
          </cell>
          <cell r="N526" t="str">
            <v>Ye-U</v>
          </cell>
          <cell r="O526" t="str">
            <v>Ye-U</v>
          </cell>
          <cell r="P526" t="str">
            <v>Sagaing</v>
          </cell>
          <cell r="Q526" t="str">
            <v>11</v>
          </cell>
          <cell r="R526" t="str">
            <v>Ye-U</v>
          </cell>
          <cell r="S526" t="str">
            <v>50</v>
          </cell>
          <cell r="T526" t="str">
            <v>GSM+UMTS</v>
          </cell>
          <cell r="W526" t="str">
            <v>Ph2-Priority</v>
          </cell>
          <cell r="X526" t="str">
            <v>35</v>
          </cell>
          <cell r="Y526" t="str">
            <v>37</v>
          </cell>
          <cell r="Z526" t="str">
            <v>GBT</v>
          </cell>
          <cell r="AA526" t="str">
            <v>250</v>
          </cell>
          <cell r="AB526" t="str">
            <v>Access</v>
          </cell>
          <cell r="AC526" t="str">
            <v>Class B</v>
          </cell>
          <cell r="BE526" t="str">
            <v>Route 10 Mandalay - Myitkyina</v>
          </cell>
          <cell r="BH526" t="str">
            <v>Camusat</v>
          </cell>
          <cell r="BJ526">
            <v>42132</v>
          </cell>
          <cell r="BK526">
            <v>42130</v>
          </cell>
          <cell r="BL526">
            <v>42137</v>
          </cell>
          <cell r="BM526">
            <v>42141</v>
          </cell>
          <cell r="BT526">
            <v>21</v>
          </cell>
          <cell r="BU526">
            <v>42149</v>
          </cell>
          <cell r="BV526">
            <v>42151</v>
          </cell>
          <cell r="BW526" t="str">
            <v>95.42377</v>
          </cell>
          <cell r="BX526" t="str">
            <v>22.77344</v>
          </cell>
          <cell r="BY526" t="str">
            <v>C1</v>
          </cell>
          <cell r="BZ526" t="str">
            <v>No(340), Bo Aung Zaya Qtr, YaeOo Township,Sagaing.</v>
          </cell>
          <cell r="CA526" t="str">
            <v>U Chit Shwe;No(340), Bo Aung Zaya Qtr, YaeOo Township;075-40620</v>
          </cell>
          <cell r="CB526" t="str">
            <v>27May15: C1 SAR Sub</v>
          </cell>
          <cell r="CE526">
            <v>1</v>
          </cell>
          <cell r="CF526">
            <v>42156</v>
          </cell>
          <cell r="CG526">
            <v>42152</v>
          </cell>
          <cell r="CH526">
            <v>42165</v>
          </cell>
          <cell r="CJ526">
            <v>42168</v>
          </cell>
          <cell r="CK526" t="str">
            <v>35</v>
          </cell>
          <cell r="CL526" t="str">
            <v>37</v>
          </cell>
          <cell r="CM526" t="str">
            <v>40</v>
          </cell>
          <cell r="CN526">
            <v>18</v>
          </cell>
          <cell r="CO526">
            <v>42168</v>
          </cell>
          <cell r="CP526">
            <v>42170</v>
          </cell>
          <cell r="CQ526" t="str">
            <v>M1: grid power + battery</v>
          </cell>
          <cell r="CR526">
            <v>0</v>
          </cell>
          <cell r="CS526">
            <v>42169</v>
          </cell>
          <cell r="CT526">
            <v>42170</v>
          </cell>
          <cell r="CU526" t="str">
            <v>SG0378</v>
          </cell>
          <cell r="DH526">
            <v>15</v>
          </cell>
          <cell r="DI526">
            <v>42179</v>
          </cell>
          <cell r="DJ526">
            <v>42185</v>
          </cell>
          <cell r="DK526">
            <v>42176</v>
          </cell>
          <cell r="DL526">
            <v>42173</v>
          </cell>
          <cell r="DM526">
            <v>42180</v>
          </cell>
          <cell r="DN526">
            <v>42187</v>
          </cell>
          <cell r="DO526">
            <v>0</v>
          </cell>
          <cell r="DP526">
            <v>42179</v>
          </cell>
          <cell r="DQ526">
            <v>42185</v>
          </cell>
          <cell r="DT526">
            <v>16</v>
          </cell>
          <cell r="DU526">
            <v>42194</v>
          </cell>
          <cell r="DV526">
            <v>42201</v>
          </cell>
          <cell r="DW526">
            <v>-14</v>
          </cell>
          <cell r="DY526">
            <v>42180</v>
          </cell>
          <cell r="DZ526">
            <v>42187</v>
          </cell>
          <cell r="EA526" t="str">
            <v>Camusat</v>
          </cell>
          <cell r="EB526">
            <v>42206</v>
          </cell>
          <cell r="EE526" t="str">
            <v xml:space="preserve">10 Aug 15:Flood affected_Hold-No access; 21-Jul-15:Flooded access or site is flooded_ we canÆt proceed to this site								</v>
          </cell>
          <cell r="EJ526">
            <v>46</v>
          </cell>
          <cell r="EK526">
            <v>42195</v>
          </cell>
          <cell r="EL526">
            <v>42241</v>
          </cell>
          <cell r="EM526">
            <v>42196</v>
          </cell>
          <cell r="EN526">
            <v>42245</v>
          </cell>
          <cell r="EQ526">
            <v>42203</v>
          </cell>
          <cell r="ER526">
            <v>42247</v>
          </cell>
          <cell r="ES526">
            <v>42245</v>
          </cell>
          <cell r="ET526">
            <v>42247</v>
          </cell>
          <cell r="EU526">
            <v>42247</v>
          </cell>
          <cell r="EW526">
            <v>46</v>
          </cell>
          <cell r="EX526">
            <v>42210</v>
          </cell>
          <cell r="EZ526">
            <v>42213</v>
          </cell>
          <cell r="FA526">
            <v>42234</v>
          </cell>
          <cell r="FB526">
            <v>42215</v>
          </cell>
          <cell r="FU526">
            <v>42217</v>
          </cell>
          <cell r="FW526">
            <v>42217</v>
          </cell>
          <cell r="FY526" t="str">
            <v>AZM</v>
          </cell>
          <cell r="FZ526">
            <v>42249</v>
          </cell>
          <cell r="GI526">
            <v>42277</v>
          </cell>
          <cell r="GJ526" t="str">
            <v>40-2015</v>
          </cell>
          <cell r="GN526" t="str">
            <v>ERICSSON</v>
          </cell>
          <cell r="GO526">
            <v>42187</v>
          </cell>
          <cell r="HD526">
            <v>1</v>
          </cell>
        </row>
        <row r="527">
          <cell r="A527" t="str">
            <v>SG0379</v>
          </cell>
          <cell r="B527" t="str">
            <v>ANSG_0405</v>
          </cell>
          <cell r="C527" t="str">
            <v>Apollo</v>
          </cell>
          <cell r="D527" t="str">
            <v>Adriaan Coetsee</v>
          </cell>
          <cell r="F527" t="str">
            <v>Aung Thu Win</v>
          </cell>
          <cell r="G527" t="str">
            <v>Kyaw Zay Yar</v>
          </cell>
          <cell r="H527" t="str">
            <v>RED</v>
          </cell>
          <cell r="I527" t="str">
            <v>North</v>
          </cell>
          <cell r="J527" t="str">
            <v>95.4255</v>
          </cell>
          <cell r="K527" t="str">
            <v>22.7533</v>
          </cell>
          <cell r="L527" t="str">
            <v>SubUrban</v>
          </cell>
          <cell r="M527" t="str">
            <v>Sagaing</v>
          </cell>
          <cell r="N527" t="str">
            <v>Ye-U</v>
          </cell>
          <cell r="O527" t="str">
            <v>Ye-U</v>
          </cell>
          <cell r="P527" t="str">
            <v>Sagaing</v>
          </cell>
          <cell r="Q527" t="str">
            <v>11</v>
          </cell>
          <cell r="R527" t="str">
            <v>Ye-U</v>
          </cell>
          <cell r="S527" t="str">
            <v>50</v>
          </cell>
          <cell r="T527" t="str">
            <v>GSM+UMTS</v>
          </cell>
          <cell r="W527" t="str">
            <v>Ph2-Priority</v>
          </cell>
          <cell r="X527" t="str">
            <v>35</v>
          </cell>
          <cell r="Y527" t="str">
            <v>37</v>
          </cell>
          <cell r="Z527" t="str">
            <v>GBT</v>
          </cell>
          <cell r="AA527" t="str">
            <v>250</v>
          </cell>
          <cell r="AB527" t="str">
            <v>Access</v>
          </cell>
          <cell r="AC527" t="str">
            <v>Class B</v>
          </cell>
          <cell r="BE527" t="str">
            <v>Route 10 Mandalay - Myitkyina</v>
          </cell>
          <cell r="BH527" t="str">
            <v>Camusat</v>
          </cell>
          <cell r="BJ527">
            <v>42167</v>
          </cell>
          <cell r="BK527">
            <v>42156</v>
          </cell>
          <cell r="BL527">
            <v>42172</v>
          </cell>
          <cell r="BM527">
            <v>42177</v>
          </cell>
          <cell r="BT527">
            <v>44</v>
          </cell>
          <cell r="BU527">
            <v>42194</v>
          </cell>
          <cell r="BV527">
            <v>42200</v>
          </cell>
          <cell r="BW527" t="str">
            <v>95.42755</v>
          </cell>
          <cell r="BX527" t="str">
            <v>22.75129</v>
          </cell>
          <cell r="BY527" t="str">
            <v>C1</v>
          </cell>
          <cell r="BZ527" t="str">
            <v>MaGyiTaw Qtr, YaeOo Township, Sagaing</v>
          </cell>
          <cell r="CA527" t="str">
            <v>U Than Maung</v>
          </cell>
          <cell r="CB527" t="str">
            <v>15 July 15:C1-SAR submission + Justification (requesting for reconsideration);C2 has been rejected during TSS due to NOC issue;24 June 15 : C2 SAR app;09 June 15 : C1 SAR has been rejected(RND rejected because this site is 312m far from the nominal point. Please find the new candidate near the nominal point.); 5June15: C1 SAR Sub</v>
          </cell>
          <cell r="CC527" t="str">
            <v>Town / Village</v>
          </cell>
          <cell r="CE527">
            <v>2</v>
          </cell>
          <cell r="CF527">
            <v>42195</v>
          </cell>
          <cell r="CG527">
            <v>42202</v>
          </cell>
          <cell r="CH527">
            <v>42197</v>
          </cell>
          <cell r="CJ527">
            <v>42211</v>
          </cell>
          <cell r="CK527" t="str">
            <v>35</v>
          </cell>
          <cell r="CL527" t="str">
            <v>37</v>
          </cell>
          <cell r="CM527" t="str">
            <v>40</v>
          </cell>
          <cell r="CN527">
            <v>11</v>
          </cell>
          <cell r="CO527">
            <v>42200</v>
          </cell>
          <cell r="CP527">
            <v>42213</v>
          </cell>
          <cell r="CQ527" t="str">
            <v>M1: grid power + battery</v>
          </cell>
          <cell r="CR527">
            <v>1</v>
          </cell>
          <cell r="CS527">
            <v>42201</v>
          </cell>
          <cell r="CT527">
            <v>42214</v>
          </cell>
          <cell r="CU527" t="str">
            <v>SG0379</v>
          </cell>
          <cell r="DH527">
            <v>19</v>
          </cell>
          <cell r="DI527">
            <v>42211</v>
          </cell>
          <cell r="DJ527">
            <v>42179</v>
          </cell>
          <cell r="DK527">
            <v>42208</v>
          </cell>
          <cell r="DL527">
            <v>42179</v>
          </cell>
          <cell r="DM527">
            <v>42212</v>
          </cell>
          <cell r="DO527">
            <v>0</v>
          </cell>
          <cell r="DP527">
            <v>42211</v>
          </cell>
          <cell r="DQ527">
            <v>42179</v>
          </cell>
          <cell r="DT527">
            <v>0</v>
          </cell>
          <cell r="DU527">
            <v>42226</v>
          </cell>
          <cell r="DW527">
            <v>0</v>
          </cell>
          <cell r="DY527">
            <v>42212</v>
          </cell>
          <cell r="EA527" t="str">
            <v>Camusat</v>
          </cell>
          <cell r="EB527">
            <v>42220</v>
          </cell>
          <cell r="EE527" t="str">
            <v xml:space="preserve">10 Aug 15:Flood affected_Hold-No access; 4-Aug-15:As per lessor, site is not flooded but 5 bridges from Kale to Tamu were damaged. Not accessible. It might take months to access these sites								</v>
          </cell>
          <cell r="EJ527">
            <v>0</v>
          </cell>
          <cell r="EK527">
            <v>42227</v>
          </cell>
          <cell r="EM527">
            <v>42228</v>
          </cell>
          <cell r="EQ527">
            <v>42235</v>
          </cell>
          <cell r="EW527">
            <v>0</v>
          </cell>
          <cell r="EX527">
            <v>42249</v>
          </cell>
          <cell r="EZ527">
            <v>42245</v>
          </cell>
          <cell r="FB527">
            <v>42247</v>
          </cell>
          <cell r="FU527">
            <v>42249</v>
          </cell>
          <cell r="FW527">
            <v>42249</v>
          </cell>
          <cell r="GJ527">
            <v>0</v>
          </cell>
          <cell r="GN527" t="str">
            <v>ERICSSON</v>
          </cell>
          <cell r="HD527">
            <v>1</v>
          </cell>
        </row>
        <row r="528">
          <cell r="A528" t="str">
            <v>SG0380</v>
          </cell>
          <cell r="B528" t="str">
            <v>ANSG_0432</v>
          </cell>
          <cell r="C528" t="str">
            <v>Apollo</v>
          </cell>
          <cell r="D528" t="str">
            <v>Adriaan Coetsee</v>
          </cell>
          <cell r="F528" t="str">
            <v>Aung Thu Win</v>
          </cell>
          <cell r="G528" t="str">
            <v>Kyaw Zay Yar</v>
          </cell>
          <cell r="H528" t="str">
            <v>AMBER</v>
          </cell>
          <cell r="I528" t="str">
            <v>North</v>
          </cell>
          <cell r="J528" t="str">
            <v>95.5267329726732</v>
          </cell>
          <cell r="K528" t="str">
            <v>23.1939797729715</v>
          </cell>
          <cell r="L528" t="str">
            <v>SubUrban</v>
          </cell>
          <cell r="M528" t="str">
            <v>Sagaing</v>
          </cell>
          <cell r="N528" t="str">
            <v>Kanbalu</v>
          </cell>
          <cell r="O528" t="str">
            <v>Kanbalu</v>
          </cell>
          <cell r="P528" t="str">
            <v>Sagaing</v>
          </cell>
          <cell r="Q528" t="str">
            <v>11</v>
          </cell>
          <cell r="R528" t="str">
            <v>Kanbalu</v>
          </cell>
          <cell r="S528" t="str">
            <v>48</v>
          </cell>
          <cell r="T528" t="str">
            <v>GSM+UMTS</v>
          </cell>
          <cell r="W528" t="str">
            <v>Ph2-Priority</v>
          </cell>
          <cell r="X528" t="str">
            <v>35</v>
          </cell>
          <cell r="Y528" t="str">
            <v>37</v>
          </cell>
          <cell r="Z528" t="str">
            <v>GBT</v>
          </cell>
          <cell r="AA528" t="str">
            <v>250</v>
          </cell>
          <cell r="AB528" t="str">
            <v>Access</v>
          </cell>
          <cell r="AC528" t="str">
            <v>Class B</v>
          </cell>
          <cell r="BE528" t="str">
            <v>Route 10 Mandalay - Myitkyina</v>
          </cell>
          <cell r="BH528" t="str">
            <v>Camusat</v>
          </cell>
          <cell r="BJ528">
            <v>42132</v>
          </cell>
          <cell r="BK528">
            <v>42130</v>
          </cell>
          <cell r="BL528">
            <v>42137</v>
          </cell>
          <cell r="BM528">
            <v>42138</v>
          </cell>
          <cell r="BT528">
            <v>18</v>
          </cell>
          <cell r="BU528">
            <v>42149</v>
          </cell>
          <cell r="BV528">
            <v>42148</v>
          </cell>
          <cell r="BW528" t="str">
            <v>95.52649</v>
          </cell>
          <cell r="BX528" t="str">
            <v>23.19463</v>
          </cell>
          <cell r="BY528" t="str">
            <v>C1</v>
          </cell>
          <cell r="BZ528" t="str">
            <v>No(244), Block -3 Quarter, Kantbalu Town,Shwe Bo ,Sagaing.</v>
          </cell>
          <cell r="CA528" t="str">
            <v>U Myint Sein;No(244), Block -3 Quarter, Kantbalu Town, Shwe BoDistrict, Sagaing Division.;09-402752924/09-259946160</v>
          </cell>
          <cell r="CB528" t="str">
            <v>24May15: C1 SAR Sub.</v>
          </cell>
          <cell r="CE528">
            <v>2</v>
          </cell>
          <cell r="CF528">
            <v>42150</v>
          </cell>
          <cell r="CG528">
            <v>42150</v>
          </cell>
          <cell r="CH528">
            <v>42165</v>
          </cell>
          <cell r="CJ528">
            <v>42168</v>
          </cell>
          <cell r="CK528" t="str">
            <v>35</v>
          </cell>
          <cell r="CL528" t="str">
            <v>37</v>
          </cell>
          <cell r="CM528" t="str">
            <v>40</v>
          </cell>
          <cell r="CN528">
            <v>20</v>
          </cell>
          <cell r="CO528">
            <v>42168</v>
          </cell>
          <cell r="CP528">
            <v>42170</v>
          </cell>
          <cell r="CQ528" t="str">
            <v>M1: grid power + battery</v>
          </cell>
          <cell r="CR528">
            <v>1</v>
          </cell>
          <cell r="CS528">
            <v>42169</v>
          </cell>
          <cell r="CT528">
            <v>42171</v>
          </cell>
          <cell r="CU528" t="str">
            <v>SG0380</v>
          </cell>
          <cell r="DH528">
            <v>15</v>
          </cell>
          <cell r="DI528">
            <v>42179</v>
          </cell>
          <cell r="DJ528">
            <v>42186</v>
          </cell>
          <cell r="DK528">
            <v>42176</v>
          </cell>
          <cell r="DL528">
            <v>42168</v>
          </cell>
          <cell r="DM528">
            <v>42180</v>
          </cell>
          <cell r="DN528">
            <v>42188</v>
          </cell>
          <cell r="DO528">
            <v>1</v>
          </cell>
          <cell r="DP528">
            <v>42179</v>
          </cell>
          <cell r="DQ528">
            <v>42187</v>
          </cell>
          <cell r="DT528">
            <v>46</v>
          </cell>
          <cell r="DU528">
            <v>42194</v>
          </cell>
          <cell r="DW528">
            <v>0</v>
          </cell>
          <cell r="DY528">
            <v>42180</v>
          </cell>
          <cell r="DZ528">
            <v>42188</v>
          </cell>
          <cell r="EA528" t="str">
            <v>Camusat</v>
          </cell>
          <cell r="EB528">
            <v>42192</v>
          </cell>
          <cell r="EE528" t="str">
            <v xml:space="preserve">10 Aug 15:Flood affected_Hold-No access; 7-Jul-15: Flooded access or site is flooded_ we canÆt proceed to this site. For now								</v>
          </cell>
          <cell r="EJ528">
            <v>45</v>
          </cell>
          <cell r="EK528">
            <v>42195</v>
          </cell>
          <cell r="EL528">
            <v>42243</v>
          </cell>
          <cell r="EM528">
            <v>42196</v>
          </cell>
          <cell r="EN528">
            <v>42249</v>
          </cell>
          <cell r="EQ528">
            <v>42203</v>
          </cell>
          <cell r="ES528">
            <v>42234</v>
          </cell>
          <cell r="EW528">
            <v>45</v>
          </cell>
          <cell r="EX528">
            <v>42211</v>
          </cell>
          <cell r="EZ528">
            <v>42213</v>
          </cell>
          <cell r="FB528">
            <v>42215</v>
          </cell>
          <cell r="FU528">
            <v>42217</v>
          </cell>
          <cell r="FW528">
            <v>42217</v>
          </cell>
          <cell r="GI528">
            <v>42277</v>
          </cell>
          <cell r="GJ528" t="str">
            <v>40-2015</v>
          </cell>
          <cell r="GN528" t="str">
            <v>ERICSSON</v>
          </cell>
          <cell r="HD528">
            <v>1</v>
          </cell>
        </row>
        <row r="529">
          <cell r="A529" t="str">
            <v>SG0381</v>
          </cell>
          <cell r="B529" t="str">
            <v>ANSG_0433</v>
          </cell>
          <cell r="C529" t="str">
            <v>Apollo</v>
          </cell>
          <cell r="D529" t="str">
            <v>Adriaan Coetsee</v>
          </cell>
          <cell r="F529" t="str">
            <v>Aung Thu Win</v>
          </cell>
          <cell r="G529" t="str">
            <v>Kyaw Zay Yar</v>
          </cell>
          <cell r="H529" t="str">
            <v>AMBER</v>
          </cell>
          <cell r="I529" t="str">
            <v>North</v>
          </cell>
          <cell r="J529" t="str">
            <v>95.5137029062611</v>
          </cell>
          <cell r="K529" t="str">
            <v>23.2141365810578</v>
          </cell>
          <cell r="L529" t="str">
            <v>SubUrban</v>
          </cell>
          <cell r="M529" t="str">
            <v>Sagaing</v>
          </cell>
          <cell r="N529" t="str">
            <v>Kanbalu</v>
          </cell>
          <cell r="O529" t="str">
            <v>Kanbalu</v>
          </cell>
          <cell r="P529" t="str">
            <v>Sagaing</v>
          </cell>
          <cell r="Q529" t="str">
            <v>11</v>
          </cell>
          <cell r="R529" t="str">
            <v>Kanbalu</v>
          </cell>
          <cell r="S529" t="str">
            <v>48</v>
          </cell>
          <cell r="T529" t="str">
            <v>GSM+UMTS</v>
          </cell>
          <cell r="W529" t="str">
            <v>Ph2-Priority</v>
          </cell>
          <cell r="X529" t="str">
            <v>35</v>
          </cell>
          <cell r="Y529" t="str">
            <v>37</v>
          </cell>
          <cell r="Z529" t="str">
            <v>GBT</v>
          </cell>
          <cell r="AA529" t="str">
            <v>250</v>
          </cell>
          <cell r="AB529" t="str">
            <v>Access</v>
          </cell>
          <cell r="AC529" t="str">
            <v>Class B</v>
          </cell>
          <cell r="BE529" t="str">
            <v>Route 10 Mandalay - Myitkyina</v>
          </cell>
          <cell r="BH529" t="str">
            <v>Camusat</v>
          </cell>
          <cell r="BJ529">
            <v>42132</v>
          </cell>
          <cell r="BK529">
            <v>42130</v>
          </cell>
          <cell r="BL529">
            <v>42137</v>
          </cell>
          <cell r="BM529">
            <v>42138</v>
          </cell>
          <cell r="BT529">
            <v>18</v>
          </cell>
          <cell r="BU529">
            <v>42149</v>
          </cell>
          <cell r="BV529">
            <v>42148</v>
          </cell>
          <cell r="BW529" t="str">
            <v>95.51309</v>
          </cell>
          <cell r="BX529" t="str">
            <v>23.21401</v>
          </cell>
          <cell r="BY529" t="str">
            <v>C1</v>
          </cell>
          <cell r="BZ529" t="str">
            <v>Lot No(16),No(2) Qtr, Kantbalu Township,Shwe Sagaing.</v>
          </cell>
          <cell r="CA529" t="str">
            <v>U Win Myint;No(2) Qtr, Kantbalu Township;09-259536704,09-258807133</v>
          </cell>
          <cell r="CB529" t="str">
            <v>24May15: C1 SAR Sub.</v>
          </cell>
          <cell r="CC529" t="str">
            <v>Village</v>
          </cell>
          <cell r="CE529">
            <v>1</v>
          </cell>
          <cell r="CF529">
            <v>42150</v>
          </cell>
          <cell r="CG529">
            <v>42149</v>
          </cell>
          <cell r="CH529">
            <v>42165</v>
          </cell>
          <cell r="CJ529">
            <v>42168</v>
          </cell>
          <cell r="CK529" t="str">
            <v>35</v>
          </cell>
          <cell r="CL529" t="str">
            <v>37</v>
          </cell>
          <cell r="CM529" t="str">
            <v>40</v>
          </cell>
          <cell r="CN529">
            <v>21</v>
          </cell>
          <cell r="CO529">
            <v>42168</v>
          </cell>
          <cell r="CP529">
            <v>42170</v>
          </cell>
          <cell r="CQ529" t="str">
            <v>M1: grid power + battery</v>
          </cell>
          <cell r="CR529">
            <v>1</v>
          </cell>
          <cell r="CS529">
            <v>42169</v>
          </cell>
          <cell r="CT529">
            <v>42171</v>
          </cell>
          <cell r="CU529" t="str">
            <v>SG0381</v>
          </cell>
          <cell r="DH529">
            <v>15</v>
          </cell>
          <cell r="DI529">
            <v>42179</v>
          </cell>
          <cell r="DJ529">
            <v>42186</v>
          </cell>
          <cell r="DK529">
            <v>42176</v>
          </cell>
          <cell r="DL529">
            <v>42168</v>
          </cell>
          <cell r="DM529">
            <v>42180</v>
          </cell>
          <cell r="DN529">
            <v>42188</v>
          </cell>
          <cell r="DO529">
            <v>1</v>
          </cell>
          <cell r="DP529">
            <v>42179</v>
          </cell>
          <cell r="DQ529">
            <v>42187</v>
          </cell>
          <cell r="DT529">
            <v>46</v>
          </cell>
          <cell r="DU529">
            <v>42194</v>
          </cell>
          <cell r="DW529">
            <v>0</v>
          </cell>
          <cell r="DY529">
            <v>42180</v>
          </cell>
          <cell r="DZ529">
            <v>42188</v>
          </cell>
          <cell r="EA529" t="str">
            <v>Camusat</v>
          </cell>
          <cell r="EB529">
            <v>42191</v>
          </cell>
          <cell r="EE529" t="str">
            <v xml:space="preserve">10 Aug 15:Flood affected_Hold-No access; 6-Jul-15: Flooded access or site is flooded_ we canÆt proceed to this site. For now								</v>
          </cell>
          <cell r="EJ529">
            <v>45</v>
          </cell>
          <cell r="EK529">
            <v>42195</v>
          </cell>
          <cell r="EM529">
            <v>42196</v>
          </cell>
          <cell r="EQ529">
            <v>42203</v>
          </cell>
          <cell r="EW529">
            <v>45</v>
          </cell>
          <cell r="EX529">
            <v>42211</v>
          </cell>
          <cell r="EZ529">
            <v>42213</v>
          </cell>
          <cell r="FB529">
            <v>42215</v>
          </cell>
          <cell r="FU529">
            <v>42217</v>
          </cell>
          <cell r="FW529">
            <v>42217</v>
          </cell>
          <cell r="GI529">
            <v>42277</v>
          </cell>
          <cell r="GJ529" t="str">
            <v>40-2015</v>
          </cell>
          <cell r="GN529" t="str">
            <v>ERICSSON</v>
          </cell>
          <cell r="HD529">
            <v>1</v>
          </cell>
        </row>
        <row r="530">
          <cell r="A530" t="str">
            <v>SG0382</v>
          </cell>
          <cell r="B530" t="str">
            <v>ANSG_0434</v>
          </cell>
          <cell r="C530" t="str">
            <v>Apollo</v>
          </cell>
          <cell r="D530" t="str">
            <v>Adriaan Coetsee</v>
          </cell>
          <cell r="F530" t="str">
            <v>Aung Thu Win</v>
          </cell>
          <cell r="G530" t="str">
            <v>Kyaw Zay Yar</v>
          </cell>
          <cell r="H530" t="str">
            <v>RED</v>
          </cell>
          <cell r="I530" t="str">
            <v>North</v>
          </cell>
          <cell r="J530" t="str">
            <v>96.1460975722276</v>
          </cell>
          <cell r="K530" t="str">
            <v>23.7498292733654</v>
          </cell>
          <cell r="L530" t="str">
            <v>SubUrban</v>
          </cell>
          <cell r="M530" t="str">
            <v>Sagaing</v>
          </cell>
          <cell r="N530" t="str">
            <v>Tigyaing</v>
          </cell>
          <cell r="O530" t="str">
            <v>Tigyaing</v>
          </cell>
          <cell r="P530" t="str">
            <v>Sagaing</v>
          </cell>
          <cell r="Q530" t="str">
            <v>11</v>
          </cell>
          <cell r="R530" t="str">
            <v>Tigyaing</v>
          </cell>
          <cell r="S530" t="str">
            <v>63</v>
          </cell>
          <cell r="T530" t="str">
            <v>GSM+UMTS</v>
          </cell>
          <cell r="W530" t="str">
            <v>Ph2-Priority</v>
          </cell>
          <cell r="X530" t="str">
            <v>35</v>
          </cell>
          <cell r="Y530" t="str">
            <v>37</v>
          </cell>
          <cell r="Z530" t="str">
            <v>GBT</v>
          </cell>
          <cell r="AA530" t="str">
            <v>250</v>
          </cell>
          <cell r="AB530" t="str">
            <v>Access</v>
          </cell>
          <cell r="AC530" t="str">
            <v>Class B</v>
          </cell>
          <cell r="BE530" t="str">
            <v>Indaw - Bhamo</v>
          </cell>
          <cell r="BH530" t="str">
            <v>Camusat</v>
          </cell>
          <cell r="BJ530">
            <v>42132</v>
          </cell>
          <cell r="BK530">
            <v>42130</v>
          </cell>
          <cell r="BL530">
            <v>42137</v>
          </cell>
          <cell r="BM530">
            <v>42138</v>
          </cell>
          <cell r="BT530">
            <v>83</v>
          </cell>
          <cell r="BU530">
            <v>42149</v>
          </cell>
          <cell r="BV530">
            <v>42213</v>
          </cell>
          <cell r="BW530" t="str">
            <v>96.14155</v>
          </cell>
          <cell r="BX530" t="str">
            <v>23.75065</v>
          </cell>
          <cell r="BY530" t="str">
            <v>C2</v>
          </cell>
          <cell r="BZ530" t="str">
            <v>Htee Chinke Townsip,Kyat Thwon Khin Village, Ko Min Ko Chin Street .</v>
          </cell>
          <cell r="CA530" t="str">
            <v>Mg Zaw YeAung</v>
          </cell>
          <cell r="CB530" t="str">
            <v>28 July 15:C2-SAR submission; C1-rejected due to NOC issue;16 Jun 15 : C1 TSSR app;15 Jun 15 : C1 TSSR sub;26 May 15 : C1 SAR app;25May15: C1 SAR Sub</v>
          </cell>
          <cell r="CC530" t="str">
            <v>Village</v>
          </cell>
          <cell r="CE530">
            <v>1</v>
          </cell>
          <cell r="CF530">
            <v>42150</v>
          </cell>
          <cell r="CG530">
            <v>42214</v>
          </cell>
          <cell r="CH530">
            <v>42165</v>
          </cell>
          <cell r="CJ530">
            <v>42232</v>
          </cell>
          <cell r="CK530" t="str">
            <v>35</v>
          </cell>
          <cell r="CL530" t="str">
            <v>37</v>
          </cell>
          <cell r="CM530" t="str">
            <v>50</v>
          </cell>
          <cell r="CN530">
            <v>19</v>
          </cell>
          <cell r="CO530">
            <v>42168</v>
          </cell>
          <cell r="CP530">
            <v>42234</v>
          </cell>
          <cell r="CQ530" t="str">
            <v>M1: grid power + battery</v>
          </cell>
          <cell r="CR530">
            <v>0</v>
          </cell>
          <cell r="CS530">
            <v>42169</v>
          </cell>
          <cell r="CT530">
            <v>42235</v>
          </cell>
          <cell r="CU530" t="str">
            <v>SG0382</v>
          </cell>
          <cell r="DH530">
            <v>0</v>
          </cell>
          <cell r="DI530">
            <v>42179</v>
          </cell>
          <cell r="DJ530">
            <v>42202</v>
          </cell>
          <cell r="DK530">
            <v>42176</v>
          </cell>
          <cell r="DL530">
            <v>42242</v>
          </cell>
          <cell r="DM530">
            <v>42180</v>
          </cell>
          <cell r="DN530">
            <v>42187</v>
          </cell>
          <cell r="DO530">
            <v>0</v>
          </cell>
          <cell r="DP530">
            <v>42179</v>
          </cell>
          <cell r="DQ530">
            <v>42202</v>
          </cell>
          <cell r="DT530">
            <v>31</v>
          </cell>
          <cell r="DU530">
            <v>42194</v>
          </cell>
          <cell r="DW530">
            <v>0</v>
          </cell>
          <cell r="DY530">
            <v>42180</v>
          </cell>
          <cell r="DZ530">
            <v>42249</v>
          </cell>
          <cell r="EA530" t="str">
            <v>Camusat</v>
          </cell>
          <cell r="ED530" t="str">
            <v>13Aug15 :KyawZay.Yar: Rebar for column done.Form work for column not started yet.
02Aug15 :KyawZay.Yar: Excavation done.Pouring lean concrete ongoing.Rebars on site.</v>
          </cell>
          <cell r="EJ530">
            <v>0</v>
          </cell>
          <cell r="EK530">
            <v>42197</v>
          </cell>
          <cell r="EL530">
            <v>42233</v>
          </cell>
          <cell r="EM530">
            <v>42198</v>
          </cell>
          <cell r="EQ530">
            <v>42207</v>
          </cell>
          <cell r="EW530">
            <v>0</v>
          </cell>
          <cell r="EX530">
            <v>42215</v>
          </cell>
          <cell r="EZ530">
            <v>42217</v>
          </cell>
          <cell r="FB530">
            <v>42219</v>
          </cell>
          <cell r="FU530">
            <v>42221</v>
          </cell>
          <cell r="FW530">
            <v>42221</v>
          </cell>
          <cell r="GI530">
            <v>42158</v>
          </cell>
          <cell r="GJ530">
            <v>0</v>
          </cell>
          <cell r="GN530" t="str">
            <v>ERICSSON</v>
          </cell>
          <cell r="GP530">
            <v>42206</v>
          </cell>
          <cell r="HD530">
            <v>1</v>
          </cell>
        </row>
        <row r="531">
          <cell r="A531" t="str">
            <v>SG0383</v>
          </cell>
          <cell r="B531" t="str">
            <v>ANSG_0406</v>
          </cell>
          <cell r="C531" t="str">
            <v>Apollo</v>
          </cell>
          <cell r="D531" t="str">
            <v>Adriaan Coetsee</v>
          </cell>
          <cell r="F531" t="str">
            <v>Aung Thu Win</v>
          </cell>
          <cell r="G531" t="str">
            <v>Kyaw Zay Yar</v>
          </cell>
          <cell r="H531" t="str">
            <v>RED</v>
          </cell>
          <cell r="I531" t="str">
            <v>North</v>
          </cell>
          <cell r="J531" t="str">
            <v>95.4226</v>
          </cell>
          <cell r="K531" t="str">
            <v>22.7292</v>
          </cell>
          <cell r="L531" t="str">
            <v>Rural</v>
          </cell>
          <cell r="M531" t="str">
            <v>Sagaing</v>
          </cell>
          <cell r="N531" t="str">
            <v>Ye-U</v>
          </cell>
          <cell r="O531" t="str">
            <v>Ye-U</v>
          </cell>
          <cell r="P531" t="str">
            <v>Sagaing</v>
          </cell>
          <cell r="Q531" t="str">
            <v>11</v>
          </cell>
          <cell r="R531" t="str">
            <v>Ye-U</v>
          </cell>
          <cell r="S531" t="str">
            <v>50</v>
          </cell>
          <cell r="T531" t="str">
            <v>GSM+UMTS</v>
          </cell>
          <cell r="W531" t="str">
            <v>Ph2-Priority</v>
          </cell>
          <cell r="X531" t="str">
            <v>45</v>
          </cell>
          <cell r="Y531" t="str">
            <v>47</v>
          </cell>
          <cell r="Z531" t="str">
            <v>GBT</v>
          </cell>
          <cell r="AA531" t="str">
            <v>250</v>
          </cell>
          <cell r="AB531" t="str">
            <v>Access</v>
          </cell>
          <cell r="AC531" t="str">
            <v>Class C</v>
          </cell>
          <cell r="BE531" t="str">
            <v>Route 10 Mandalay - Myitkyina</v>
          </cell>
          <cell r="BH531" t="str">
            <v>Camusat</v>
          </cell>
          <cell r="BJ531">
            <v>42167</v>
          </cell>
          <cell r="BK531">
            <v>42150</v>
          </cell>
          <cell r="BL531">
            <v>42172</v>
          </cell>
          <cell r="BM531">
            <v>42157</v>
          </cell>
          <cell r="BT531">
            <v>17</v>
          </cell>
          <cell r="BU531">
            <v>42253</v>
          </cell>
          <cell r="BV531">
            <v>42167</v>
          </cell>
          <cell r="BW531" t="str">
            <v>95.42114</v>
          </cell>
          <cell r="BX531" t="str">
            <v>22.72935</v>
          </cell>
          <cell r="BY531" t="str">
            <v>C1</v>
          </cell>
          <cell r="BZ531" t="str">
            <v>Ywar Tharlay Village, Ye-U Township, Sagaing Division.</v>
          </cell>
          <cell r="CA531" t="str">
            <v>Daw Yin Yin Aye;09 400532004</v>
          </cell>
          <cell r="CB531" t="str">
            <v>12Jun15: C1 SAR Sub</v>
          </cell>
          <cell r="CE531">
            <v>3</v>
          </cell>
          <cell r="CF531">
            <v>42254</v>
          </cell>
          <cell r="CG531">
            <v>42170</v>
          </cell>
          <cell r="CH531">
            <v>42256</v>
          </cell>
          <cell r="CJ531">
            <v>42179</v>
          </cell>
          <cell r="CK531" t="str">
            <v>45</v>
          </cell>
          <cell r="CL531" t="str">
            <v>47</v>
          </cell>
          <cell r="CM531" t="str">
            <v>50</v>
          </cell>
          <cell r="CN531">
            <v>11</v>
          </cell>
          <cell r="CO531">
            <v>42259</v>
          </cell>
          <cell r="CP531">
            <v>42181</v>
          </cell>
          <cell r="CQ531" t="str">
            <v>M4: solar + DG + battery</v>
          </cell>
          <cell r="CR531">
            <v>3</v>
          </cell>
          <cell r="CS531">
            <v>42260</v>
          </cell>
          <cell r="CT531">
            <v>42184</v>
          </cell>
          <cell r="CU531" t="str">
            <v>SG0383</v>
          </cell>
          <cell r="DH531">
            <v>33</v>
          </cell>
          <cell r="DI531">
            <v>42270</v>
          </cell>
          <cell r="DJ531">
            <v>42217</v>
          </cell>
          <cell r="DK531">
            <v>42267</v>
          </cell>
          <cell r="DL531">
            <v>42179</v>
          </cell>
          <cell r="DM531">
            <v>42271</v>
          </cell>
          <cell r="DO531">
            <v>0</v>
          </cell>
          <cell r="DP531">
            <v>42270</v>
          </cell>
          <cell r="DQ531">
            <v>42217</v>
          </cell>
          <cell r="DT531">
            <v>16</v>
          </cell>
          <cell r="DU531">
            <v>42285</v>
          </cell>
          <cell r="DW531">
            <v>0</v>
          </cell>
          <cell r="DY531">
            <v>42271</v>
          </cell>
          <cell r="EA531" t="str">
            <v>Camusat</v>
          </cell>
          <cell r="EB531">
            <v>42215</v>
          </cell>
          <cell r="EE531" t="str">
            <v xml:space="preserve">11 Aug  15:Flood Affected On Hold ;if not will move to WK 32 / 33/ 34								</v>
          </cell>
          <cell r="EJ531">
            <v>0</v>
          </cell>
          <cell r="EK531">
            <v>42288</v>
          </cell>
          <cell r="EM531">
            <v>42289</v>
          </cell>
          <cell r="EQ531">
            <v>42298</v>
          </cell>
          <cell r="EW531">
            <v>0</v>
          </cell>
          <cell r="EX531">
            <v>42312</v>
          </cell>
          <cell r="EZ531">
            <v>42308</v>
          </cell>
          <cell r="FB531">
            <v>42310</v>
          </cell>
          <cell r="FU531">
            <v>42312</v>
          </cell>
          <cell r="FW531">
            <v>42312</v>
          </cell>
          <cell r="GF531">
            <v>42118</v>
          </cell>
          <cell r="GJ531">
            <v>0</v>
          </cell>
          <cell r="GN531" t="str">
            <v>ERICSSON</v>
          </cell>
          <cell r="GO531">
            <v>42179</v>
          </cell>
          <cell r="HD531">
            <v>1</v>
          </cell>
        </row>
        <row r="532">
          <cell r="A532" t="str">
            <v>SG0386</v>
          </cell>
          <cell r="B532" t="str">
            <v>ANSG_0435</v>
          </cell>
          <cell r="C532" t="str">
            <v>Apollo</v>
          </cell>
          <cell r="D532" t="str">
            <v>Adriaan Coetsee</v>
          </cell>
          <cell r="F532" t="str">
            <v>Aung Thu Win</v>
          </cell>
          <cell r="G532" t="str">
            <v>Kyaw Zay Yar</v>
          </cell>
          <cell r="H532" t="str">
            <v>AMBER</v>
          </cell>
          <cell r="I532" t="str">
            <v>North</v>
          </cell>
          <cell r="J532" t="str">
            <v>95.965418</v>
          </cell>
          <cell r="K532" t="str">
            <v>21.92932</v>
          </cell>
          <cell r="L532" t="str">
            <v>SubUrban</v>
          </cell>
          <cell r="M532" t="str">
            <v>Sagaing</v>
          </cell>
          <cell r="N532" t="str">
            <v>Sagaing</v>
          </cell>
          <cell r="O532" t="str">
            <v>Sagaing</v>
          </cell>
          <cell r="P532" t="str">
            <v>Sagaing</v>
          </cell>
          <cell r="Q532" t="str">
            <v>11</v>
          </cell>
          <cell r="R532" t="str">
            <v>Sagaing</v>
          </cell>
          <cell r="S532" t="str">
            <v>42</v>
          </cell>
          <cell r="T532" t="str">
            <v>GSM+UMTS</v>
          </cell>
          <cell r="W532" t="str">
            <v>Ph2-Priority</v>
          </cell>
          <cell r="X532" t="str">
            <v>35</v>
          </cell>
          <cell r="Y532" t="str">
            <v>37</v>
          </cell>
          <cell r="Z532" t="str">
            <v>GBT</v>
          </cell>
          <cell r="AA532" t="str">
            <v>250</v>
          </cell>
          <cell r="AB532" t="str">
            <v>Access</v>
          </cell>
          <cell r="AC532" t="str">
            <v>Class B</v>
          </cell>
          <cell r="BE532" t="str">
            <v>Route 8 Mandalay - Magwe</v>
          </cell>
          <cell r="BH532" t="str">
            <v>Camusat</v>
          </cell>
          <cell r="BJ532">
            <v>42130</v>
          </cell>
          <cell r="BK532">
            <v>42130</v>
          </cell>
          <cell r="BL532">
            <v>42135</v>
          </cell>
          <cell r="BM532">
            <v>42138</v>
          </cell>
          <cell r="BT532">
            <v>18</v>
          </cell>
          <cell r="BU532">
            <v>42143</v>
          </cell>
          <cell r="BV532">
            <v>42148</v>
          </cell>
          <cell r="BW532" t="str">
            <v>95.96547</v>
          </cell>
          <cell r="BX532" t="str">
            <v>21.92815</v>
          </cell>
          <cell r="BY532" t="str">
            <v>C1</v>
          </cell>
          <cell r="BZ532" t="str">
            <v>Padamyar Industrial Zone, Sagaing.</v>
          </cell>
          <cell r="CA532" t="str">
            <v>Daw Khin Htay Kyu;Padamyar Industrial Zone, Sagaing;09-798880104</v>
          </cell>
          <cell r="CB532" t="str">
            <v>24May15: C1 SAR Sub.</v>
          </cell>
          <cell r="CE532">
            <v>2</v>
          </cell>
          <cell r="CF532">
            <v>42144</v>
          </cell>
          <cell r="CG532">
            <v>42150</v>
          </cell>
          <cell r="CH532">
            <v>42165</v>
          </cell>
          <cell r="CJ532">
            <v>42168</v>
          </cell>
          <cell r="CK532" t="str">
            <v>35</v>
          </cell>
          <cell r="CL532" t="str">
            <v>37</v>
          </cell>
          <cell r="CM532" t="str">
            <v>50</v>
          </cell>
          <cell r="CN532">
            <v>20</v>
          </cell>
          <cell r="CO532">
            <v>42168</v>
          </cell>
          <cell r="CP532">
            <v>42170</v>
          </cell>
          <cell r="CQ532" t="str">
            <v>M1: grid power + battery</v>
          </cell>
          <cell r="CR532">
            <v>0</v>
          </cell>
          <cell r="CS532">
            <v>42169</v>
          </cell>
          <cell r="CT532">
            <v>42170</v>
          </cell>
          <cell r="CU532" t="str">
            <v>SG0386</v>
          </cell>
          <cell r="DH532">
            <v>15</v>
          </cell>
          <cell r="DI532">
            <v>42179</v>
          </cell>
          <cell r="DJ532">
            <v>42185</v>
          </cell>
          <cell r="DK532">
            <v>42176</v>
          </cell>
          <cell r="DL532">
            <v>42168</v>
          </cell>
          <cell r="DM532">
            <v>42180</v>
          </cell>
          <cell r="DN532">
            <v>42187</v>
          </cell>
          <cell r="DO532">
            <v>0</v>
          </cell>
          <cell r="DP532">
            <v>42179</v>
          </cell>
          <cell r="DQ532">
            <v>42185</v>
          </cell>
          <cell r="DT532">
            <v>48</v>
          </cell>
          <cell r="DU532">
            <v>42194</v>
          </cell>
          <cell r="DW532">
            <v>0</v>
          </cell>
          <cell r="DY532">
            <v>42180</v>
          </cell>
          <cell r="DZ532">
            <v>42186</v>
          </cell>
          <cell r="EA532" t="str">
            <v>Camusat</v>
          </cell>
          <cell r="ED532" t="str">
            <v>13Aug15 :KyawZay.Yar: Rebar for column done.Form work for column not started yet.
02Aug15 :KyawZay.Yar: Excavation done.Pouring lean concrete ongoing.Rebars on site.</v>
          </cell>
          <cell r="EE532" t="str">
            <v xml:space="preserve">10 Aug 15:Rain affected_Progress affected; 4-Aug-15: Awaiting tower EDA 8/15. Tower foundation and equipment slab casted								</v>
          </cell>
          <cell r="EI532" t="str">
            <v>M5: grid power + DG + battery      </v>
          </cell>
          <cell r="EJ532">
            <v>47</v>
          </cell>
          <cell r="EK532">
            <v>42197</v>
          </cell>
          <cell r="EL532">
            <v>42233</v>
          </cell>
          <cell r="EM532">
            <v>42198</v>
          </cell>
          <cell r="EN532">
            <v>42244</v>
          </cell>
          <cell r="EQ532">
            <v>42207</v>
          </cell>
          <cell r="ER532">
            <v>42247</v>
          </cell>
          <cell r="ES532">
            <v>42250</v>
          </cell>
          <cell r="EW532">
            <v>47</v>
          </cell>
          <cell r="EX532">
            <v>42215</v>
          </cell>
          <cell r="EZ532">
            <v>42217</v>
          </cell>
          <cell r="FA532">
            <v>42207</v>
          </cell>
          <cell r="FB532">
            <v>42219</v>
          </cell>
          <cell r="FC532">
            <v>42213</v>
          </cell>
          <cell r="FU532">
            <v>42221</v>
          </cell>
          <cell r="FW532">
            <v>42221</v>
          </cell>
          <cell r="FY532" t="str">
            <v>EM</v>
          </cell>
          <cell r="FZ532">
            <v>42209</v>
          </cell>
          <cell r="GA532">
            <v>42213</v>
          </cell>
          <cell r="GI532">
            <v>42158</v>
          </cell>
          <cell r="GJ532" t="str">
            <v>40-2015</v>
          </cell>
          <cell r="GL532" t="str">
            <v>Infra Dep.: Tower is not ready</v>
          </cell>
          <cell r="GN532" t="str">
            <v>ERICSSON</v>
          </cell>
          <cell r="GO532">
            <v>42149</v>
          </cell>
          <cell r="GP532">
            <v>42206</v>
          </cell>
          <cell r="GQ532" t="str">
            <v xml:space="preserve">Infra Issue; </v>
          </cell>
          <cell r="HD532">
            <v>1</v>
          </cell>
        </row>
        <row r="533">
          <cell r="A533" t="str">
            <v>SG0393</v>
          </cell>
          <cell r="B533" t="str">
            <v>ANSG_0436</v>
          </cell>
          <cell r="C533" t="str">
            <v>Apollo</v>
          </cell>
          <cell r="D533" t="str">
            <v>Adriaan Coetsee</v>
          </cell>
          <cell r="F533" t="str">
            <v>Aung Thu Win</v>
          </cell>
          <cell r="G533" t="str">
            <v>Kyaw Zay Yar</v>
          </cell>
          <cell r="H533" t="str">
            <v>AMBER</v>
          </cell>
          <cell r="I533" t="str">
            <v>North</v>
          </cell>
          <cell r="J533" t="str">
            <v>95.9443</v>
          </cell>
          <cell r="K533" t="str">
            <v>21.8787</v>
          </cell>
          <cell r="L533" t="str">
            <v>SubUrban</v>
          </cell>
          <cell r="M533" t="str">
            <v>Sagaing</v>
          </cell>
          <cell r="N533" t="str">
            <v>Sagaing</v>
          </cell>
          <cell r="O533" t="str">
            <v>Sagaing</v>
          </cell>
          <cell r="P533" t="str">
            <v>Sagaing</v>
          </cell>
          <cell r="Q533" t="str">
            <v>11</v>
          </cell>
          <cell r="R533" t="str">
            <v>Sagaing</v>
          </cell>
          <cell r="S533" t="str">
            <v>42</v>
          </cell>
          <cell r="T533" t="str">
            <v>GSM+UMTS</v>
          </cell>
          <cell r="W533" t="str">
            <v>Ph2-Priority</v>
          </cell>
          <cell r="X533" t="str">
            <v>35</v>
          </cell>
          <cell r="Y533" t="str">
            <v>37</v>
          </cell>
          <cell r="Z533" t="str">
            <v>GBT</v>
          </cell>
          <cell r="AA533" t="str">
            <v>250</v>
          </cell>
          <cell r="AB533" t="str">
            <v>Access</v>
          </cell>
          <cell r="AC533" t="str">
            <v>Class B</v>
          </cell>
          <cell r="BE533" t="str">
            <v>Route 6 Mandalay - Monywa</v>
          </cell>
          <cell r="BH533" t="str">
            <v>Camusat</v>
          </cell>
          <cell r="BJ533">
            <v>42130</v>
          </cell>
          <cell r="BK533">
            <v>42130</v>
          </cell>
          <cell r="BL533">
            <v>42135</v>
          </cell>
          <cell r="BM533">
            <v>42138</v>
          </cell>
          <cell r="BT533">
            <v>54</v>
          </cell>
          <cell r="BU533">
            <v>42142</v>
          </cell>
          <cell r="BV533">
            <v>42184</v>
          </cell>
          <cell r="BW533" t="str">
            <v>95.94554</v>
          </cell>
          <cell r="BX533" t="str">
            <v>21.879212</v>
          </cell>
          <cell r="BY533" t="str">
            <v>C2</v>
          </cell>
          <cell r="BZ533" t="str">
            <v>Thalunphyu Village, Kwelue village group, Sagaing Township, Sagaing Division</v>
          </cell>
          <cell r="CA533" t="str">
            <v>U Maw Naing</v>
          </cell>
          <cell r="CB533" t="str">
            <v>29 June 15:C2- SAR submission( C1-NOC issue);8 June 15 : C1 TSSR app;24May15: C1 SAR Sub.</v>
          </cell>
          <cell r="CC533" t="str">
            <v>Village</v>
          </cell>
          <cell r="CE533">
            <v>2</v>
          </cell>
          <cell r="CF533">
            <v>42143</v>
          </cell>
          <cell r="CG533">
            <v>42186</v>
          </cell>
          <cell r="CH533">
            <v>42159</v>
          </cell>
          <cell r="CJ533">
            <v>42195</v>
          </cell>
          <cell r="CK533" t="str">
            <v>35</v>
          </cell>
          <cell r="CL533" t="str">
            <v>37</v>
          </cell>
          <cell r="CM533" t="str">
            <v>40</v>
          </cell>
          <cell r="CN533">
            <v>11</v>
          </cell>
          <cell r="CO533">
            <v>42162</v>
          </cell>
          <cell r="CP533">
            <v>42197</v>
          </cell>
          <cell r="CQ533" t="str">
            <v>M1: grid power + battery</v>
          </cell>
          <cell r="CR533">
            <v>2</v>
          </cell>
          <cell r="CS533">
            <v>42163</v>
          </cell>
          <cell r="CT533">
            <v>42199</v>
          </cell>
          <cell r="CU533" t="str">
            <v>SG0393</v>
          </cell>
          <cell r="DH533">
            <v>18</v>
          </cell>
          <cell r="DI533">
            <v>42173</v>
          </cell>
          <cell r="DJ533">
            <v>42217</v>
          </cell>
          <cell r="DK533">
            <v>42170</v>
          </cell>
          <cell r="DL533">
            <v>42172</v>
          </cell>
          <cell r="DM533">
            <v>42174</v>
          </cell>
          <cell r="DO533">
            <v>0</v>
          </cell>
          <cell r="DP533">
            <v>42173</v>
          </cell>
          <cell r="DQ533">
            <v>42217</v>
          </cell>
          <cell r="DT533">
            <v>16</v>
          </cell>
          <cell r="DU533">
            <v>42188</v>
          </cell>
          <cell r="DW533">
            <v>0</v>
          </cell>
          <cell r="DY533">
            <v>42174</v>
          </cell>
          <cell r="DZ533">
            <v>42207</v>
          </cell>
          <cell r="EA533" t="str">
            <v>Camusat</v>
          </cell>
          <cell r="ED533" t="str">
            <v xml:space="preserve">02Aug15 :KyawZay.Yar: Excavation ongoing.
</v>
          </cell>
          <cell r="EJ533">
            <v>26</v>
          </cell>
          <cell r="EK533">
            <v>42189</v>
          </cell>
          <cell r="EL533">
            <v>42237</v>
          </cell>
          <cell r="EM533">
            <v>42190</v>
          </cell>
          <cell r="EN533">
            <v>42238</v>
          </cell>
          <cell r="EQ533">
            <v>42197</v>
          </cell>
          <cell r="ER533">
            <v>42247</v>
          </cell>
          <cell r="ES533">
            <v>42241</v>
          </cell>
          <cell r="ET533">
            <v>42247</v>
          </cell>
          <cell r="EU533">
            <v>42247</v>
          </cell>
          <cell r="EW533">
            <v>26</v>
          </cell>
          <cell r="EX533">
            <v>42211</v>
          </cell>
          <cell r="EZ533">
            <v>42207</v>
          </cell>
          <cell r="FA533">
            <v>42245</v>
          </cell>
          <cell r="FB533">
            <v>42209</v>
          </cell>
          <cell r="FC533">
            <v>42247</v>
          </cell>
          <cell r="FU533">
            <v>42211</v>
          </cell>
          <cell r="FW533">
            <v>42211</v>
          </cell>
          <cell r="FX533">
            <v>42247</v>
          </cell>
          <cell r="FY533" t="str">
            <v>TN</v>
          </cell>
          <cell r="FZ533">
            <v>42245</v>
          </cell>
          <cell r="GA533">
            <v>42249</v>
          </cell>
          <cell r="GI533">
            <v>42246</v>
          </cell>
          <cell r="GJ533" t="str">
            <v>44-2015</v>
          </cell>
          <cell r="GN533" t="str">
            <v>ERICSSON</v>
          </cell>
          <cell r="GO533">
            <v>42185</v>
          </cell>
          <cell r="GS533" t="str">
            <v>4/4/4</v>
          </cell>
          <cell r="GU533" t="str">
            <v xml:space="preserve">		</v>
          </cell>
          <cell r="HD533">
            <v>1</v>
          </cell>
        </row>
        <row r="534">
          <cell r="A534" t="str">
            <v>SG0395</v>
          </cell>
          <cell r="B534" t="str">
            <v>ANSG_0437</v>
          </cell>
          <cell r="C534" t="str">
            <v>Apollo</v>
          </cell>
          <cell r="D534" t="str">
            <v>Adriaan Coetsee</v>
          </cell>
          <cell r="F534" t="str">
            <v>Aung Thu Win</v>
          </cell>
          <cell r="G534" t="str">
            <v>Kyaw Zay Yar</v>
          </cell>
          <cell r="H534" t="str">
            <v>AMBER</v>
          </cell>
          <cell r="I534" t="str">
            <v>North</v>
          </cell>
          <cell r="J534" t="str">
            <v>95.5664</v>
          </cell>
          <cell r="K534" t="str">
            <v>21.9306</v>
          </cell>
          <cell r="L534" t="str">
            <v>SubUrban</v>
          </cell>
          <cell r="M534" t="str">
            <v>Sagaing</v>
          </cell>
          <cell r="N534" t="str">
            <v>Myinmu</v>
          </cell>
          <cell r="O534" t="str">
            <v>Myinmu</v>
          </cell>
          <cell r="P534" t="str">
            <v>Sagaing</v>
          </cell>
          <cell r="Q534" t="str">
            <v>11</v>
          </cell>
          <cell r="R534" t="str">
            <v>Myinmu</v>
          </cell>
          <cell r="S534" t="str">
            <v>43</v>
          </cell>
          <cell r="T534" t="str">
            <v>GSM+UMTS</v>
          </cell>
          <cell r="W534" t="str">
            <v>Ph2-Priority</v>
          </cell>
          <cell r="X534" t="str">
            <v>35</v>
          </cell>
          <cell r="Y534" t="str">
            <v>37</v>
          </cell>
          <cell r="Z534" t="str">
            <v>GBT</v>
          </cell>
          <cell r="AA534" t="str">
            <v>250</v>
          </cell>
          <cell r="AB534" t="str">
            <v>Access</v>
          </cell>
          <cell r="AC534" t="str">
            <v>Class B</v>
          </cell>
          <cell r="BE534" t="str">
            <v>Route 6 Mandalay - Monywa</v>
          </cell>
          <cell r="BH534" t="str">
            <v>Camusat</v>
          </cell>
          <cell r="BJ534">
            <v>42153</v>
          </cell>
          <cell r="BK534">
            <v>42148</v>
          </cell>
          <cell r="BL534">
            <v>42158</v>
          </cell>
          <cell r="BM534">
            <v>42155</v>
          </cell>
          <cell r="BT534">
            <v>17</v>
          </cell>
          <cell r="BU534">
            <v>42164</v>
          </cell>
          <cell r="BV534">
            <v>42165</v>
          </cell>
          <cell r="BW534" t="str">
            <v>95.5683</v>
          </cell>
          <cell r="BX534" t="str">
            <v>21.93249</v>
          </cell>
          <cell r="BY534" t="str">
            <v>C1</v>
          </cell>
          <cell r="BZ534" t="str">
            <v>No.(1/1104), Aung Zay Ya Quarter, No(1) Group, Myinmu.</v>
          </cell>
          <cell r="CA534" t="str">
            <v>U Tae;No.(1/1104), Aung Zay Ya Quarter, No(1) Group, Myinmu;09-791176597; 09-402789816</v>
          </cell>
          <cell r="CB534" t="str">
            <v>10Jun15:C1 SAR Sub</v>
          </cell>
          <cell r="CE534">
            <v>0</v>
          </cell>
          <cell r="CF534">
            <v>42165</v>
          </cell>
          <cell r="CG534">
            <v>42165</v>
          </cell>
          <cell r="CH534">
            <v>42167</v>
          </cell>
          <cell r="CJ534">
            <v>42186</v>
          </cell>
          <cell r="CK534" t="str">
            <v>35</v>
          </cell>
          <cell r="CL534" t="str">
            <v>37</v>
          </cell>
          <cell r="CM534" t="str">
            <v>50</v>
          </cell>
          <cell r="CN534">
            <v>23</v>
          </cell>
          <cell r="CO534">
            <v>42170</v>
          </cell>
          <cell r="CP534">
            <v>42188</v>
          </cell>
          <cell r="CQ534" t="str">
            <v>M1: grid power + battery</v>
          </cell>
          <cell r="CR534">
            <v>4</v>
          </cell>
          <cell r="CS534">
            <v>42171</v>
          </cell>
          <cell r="CT534">
            <v>42192</v>
          </cell>
          <cell r="CU534" t="str">
            <v>SG0395</v>
          </cell>
          <cell r="DH534">
            <v>41</v>
          </cell>
          <cell r="DI534">
            <v>42181</v>
          </cell>
          <cell r="DK534">
            <v>42178</v>
          </cell>
          <cell r="DL534">
            <v>42179</v>
          </cell>
          <cell r="DM534">
            <v>42182</v>
          </cell>
          <cell r="DO534">
            <v>0</v>
          </cell>
          <cell r="DP534">
            <v>42181</v>
          </cell>
          <cell r="DT534">
            <v>0</v>
          </cell>
          <cell r="DU534">
            <v>42196</v>
          </cell>
          <cell r="DW534">
            <v>0</v>
          </cell>
          <cell r="DY534">
            <v>42182</v>
          </cell>
          <cell r="DZ534">
            <v>42229</v>
          </cell>
          <cell r="EA534" t="str">
            <v>Camusat</v>
          </cell>
          <cell r="ED534" t="str">
            <v xml:space="preserve">28Aug15 :KyawZay.Yar: Excavation done.Pouring lean done.
</v>
          </cell>
          <cell r="EJ534">
            <v>4</v>
          </cell>
          <cell r="EK534">
            <v>42199</v>
          </cell>
          <cell r="EL534">
            <v>42250</v>
          </cell>
          <cell r="EM534">
            <v>42200</v>
          </cell>
          <cell r="EQ534">
            <v>42209</v>
          </cell>
          <cell r="EW534">
            <v>4</v>
          </cell>
          <cell r="EX534">
            <v>42223</v>
          </cell>
          <cell r="EZ534">
            <v>42219</v>
          </cell>
          <cell r="FB534">
            <v>42221</v>
          </cell>
          <cell r="FU534">
            <v>42223</v>
          </cell>
          <cell r="FW534">
            <v>42223</v>
          </cell>
          <cell r="FY534" t="str">
            <v>TN</v>
          </cell>
          <cell r="GJ534">
            <v>0</v>
          </cell>
          <cell r="GN534" t="str">
            <v>ERICSSON</v>
          </cell>
          <cell r="GO534">
            <v>42186</v>
          </cell>
          <cell r="GS534" t="str">
            <v>4/4/4</v>
          </cell>
          <cell r="GU534" t="str">
            <v xml:space="preserve">		</v>
          </cell>
          <cell r="HD534">
            <v>1</v>
          </cell>
        </row>
        <row r="535">
          <cell r="A535" t="str">
            <v>SG0396</v>
          </cell>
          <cell r="B535" t="str">
            <v>ANSG_0407</v>
          </cell>
          <cell r="C535" t="str">
            <v>Apollo</v>
          </cell>
          <cell r="D535" t="str">
            <v>Adriaan Coetsee</v>
          </cell>
          <cell r="F535" t="str">
            <v>Aung Thu Win</v>
          </cell>
          <cell r="G535" t="str">
            <v>Kyaw Zay Yar</v>
          </cell>
          <cell r="H535" t="str">
            <v>YELLOW</v>
          </cell>
          <cell r="I535" t="str">
            <v>North</v>
          </cell>
          <cell r="J535" t="str">
            <v>95.5927</v>
          </cell>
          <cell r="K535" t="str">
            <v>21.9281</v>
          </cell>
          <cell r="L535" t="str">
            <v>SubUrban</v>
          </cell>
          <cell r="M535" t="str">
            <v>Sagaing</v>
          </cell>
          <cell r="N535" t="str">
            <v>Myinmu</v>
          </cell>
          <cell r="O535" t="str">
            <v>Myinmu</v>
          </cell>
          <cell r="P535" t="str">
            <v>Sagaing</v>
          </cell>
          <cell r="Q535" t="str">
            <v>11</v>
          </cell>
          <cell r="R535" t="str">
            <v>Myinmu</v>
          </cell>
          <cell r="S535" t="str">
            <v>43</v>
          </cell>
          <cell r="T535" t="str">
            <v>GSM+UMTS</v>
          </cell>
          <cell r="W535" t="str">
            <v>Ph2-Priority</v>
          </cell>
          <cell r="X535" t="str">
            <v>35</v>
          </cell>
          <cell r="Y535" t="str">
            <v>37</v>
          </cell>
          <cell r="Z535" t="str">
            <v>GBT</v>
          </cell>
          <cell r="AA535" t="str">
            <v>250</v>
          </cell>
          <cell r="AB535" t="str">
            <v>Access</v>
          </cell>
          <cell r="AC535" t="str">
            <v>Class B</v>
          </cell>
          <cell r="BE535" t="str">
            <v>Route 6 Mandalay - Monywa</v>
          </cell>
          <cell r="BH535" t="str">
            <v>Camusat</v>
          </cell>
          <cell r="BJ535">
            <v>42153</v>
          </cell>
          <cell r="BK535">
            <v>42130</v>
          </cell>
          <cell r="BL535">
            <v>42158</v>
          </cell>
          <cell r="BM535">
            <v>42143</v>
          </cell>
          <cell r="BT535">
            <v>23</v>
          </cell>
          <cell r="BU535">
            <v>42163</v>
          </cell>
          <cell r="BV535">
            <v>42153</v>
          </cell>
          <cell r="BW535" t="str">
            <v>95.591365</v>
          </cell>
          <cell r="BX535" t="str">
            <v>21.927566</v>
          </cell>
          <cell r="BY535" t="str">
            <v>C1</v>
          </cell>
          <cell r="BZ535" t="str">
            <v>East Quarter ,Nyaung Oo Pye,Myin Mu Township ,Sagaing Division.</v>
          </cell>
          <cell r="CA535" t="str">
            <v>Daw Naw Thida;East Quarter ,Nyaung Oo Pye,Myin Mu Township ,Sagaing Division;09-33195452/09-795120520</v>
          </cell>
          <cell r="CB535" t="str">
            <v>29May15: C1 SAR Sub</v>
          </cell>
          <cell r="CE535">
            <v>3</v>
          </cell>
          <cell r="CF535">
            <v>42164</v>
          </cell>
          <cell r="CG535">
            <v>42156</v>
          </cell>
          <cell r="CH535">
            <v>42166</v>
          </cell>
          <cell r="CJ535">
            <v>42163</v>
          </cell>
          <cell r="CK535" t="str">
            <v>35</v>
          </cell>
          <cell r="CL535" t="str">
            <v>37</v>
          </cell>
          <cell r="CM535" t="str">
            <v>40</v>
          </cell>
          <cell r="CN535">
            <v>9</v>
          </cell>
          <cell r="CO535">
            <v>42169</v>
          </cell>
          <cell r="CP535">
            <v>42165</v>
          </cell>
          <cell r="CQ535" t="str">
            <v>M1: grid power + battery</v>
          </cell>
          <cell r="CR535">
            <v>1</v>
          </cell>
          <cell r="CS535">
            <v>42170</v>
          </cell>
          <cell r="CT535">
            <v>42166</v>
          </cell>
          <cell r="CU535" t="str">
            <v>SG0396</v>
          </cell>
          <cell r="DH535">
            <v>36</v>
          </cell>
          <cell r="DI535">
            <v>42180</v>
          </cell>
          <cell r="DJ535">
            <v>42202</v>
          </cell>
          <cell r="DK535">
            <v>42177</v>
          </cell>
          <cell r="DL535">
            <v>42172</v>
          </cell>
          <cell r="DM535">
            <v>42181</v>
          </cell>
          <cell r="DN535">
            <v>42200</v>
          </cell>
          <cell r="DO535">
            <v>-1</v>
          </cell>
          <cell r="DP535">
            <v>42180</v>
          </cell>
          <cell r="DQ535">
            <v>42201</v>
          </cell>
          <cell r="DT535">
            <v>32</v>
          </cell>
          <cell r="DU535">
            <v>42195</v>
          </cell>
          <cell r="DW535">
            <v>0</v>
          </cell>
          <cell r="DY535">
            <v>42181</v>
          </cell>
          <cell r="DZ535">
            <v>42200</v>
          </cell>
          <cell r="EA535" t="str">
            <v>Camusat</v>
          </cell>
          <cell r="ED535" t="str">
            <v xml:space="preserve">27Jul15 :KyawZay.Yar: Excavation done.Rebar for footing done.
</v>
          </cell>
          <cell r="EJ535">
            <v>27</v>
          </cell>
          <cell r="EK535">
            <v>42196</v>
          </cell>
          <cell r="EL535">
            <v>42227</v>
          </cell>
          <cell r="EM535">
            <v>42197</v>
          </cell>
          <cell r="EN535">
            <v>42235</v>
          </cell>
          <cell r="EQ535">
            <v>42204</v>
          </cell>
          <cell r="ER535">
            <v>42241</v>
          </cell>
          <cell r="ES535">
            <v>42237</v>
          </cell>
          <cell r="ET535">
            <v>42243</v>
          </cell>
          <cell r="EU535">
            <v>42243</v>
          </cell>
          <cell r="EW535">
            <v>33</v>
          </cell>
          <cell r="EX535">
            <v>42218</v>
          </cell>
          <cell r="EZ535">
            <v>42214</v>
          </cell>
          <cell r="FA535">
            <v>42245</v>
          </cell>
          <cell r="FB535">
            <v>42216</v>
          </cell>
          <cell r="FC535">
            <v>42245</v>
          </cell>
          <cell r="FU535">
            <v>42218</v>
          </cell>
          <cell r="FW535">
            <v>42218</v>
          </cell>
          <cell r="FX535">
            <v>42245</v>
          </cell>
          <cell r="FY535" t="str">
            <v>EM</v>
          </cell>
          <cell r="FZ535">
            <v>42241</v>
          </cell>
          <cell r="GA535">
            <v>42244</v>
          </cell>
          <cell r="GB535">
            <v>42244</v>
          </cell>
          <cell r="GC535">
            <v>42244</v>
          </cell>
          <cell r="GD535">
            <v>42244</v>
          </cell>
          <cell r="GE535">
            <v>42245</v>
          </cell>
          <cell r="GF535">
            <v>42154</v>
          </cell>
          <cell r="GG535">
            <v>42246</v>
          </cell>
          <cell r="GH535">
            <v>42246</v>
          </cell>
          <cell r="GI535">
            <v>42307</v>
          </cell>
          <cell r="GJ535" t="str">
            <v>44-2015</v>
          </cell>
          <cell r="GK535">
            <v>42246</v>
          </cell>
          <cell r="GN535" t="str">
            <v>ERICSSON</v>
          </cell>
          <cell r="GO535">
            <v>42186</v>
          </cell>
          <cell r="GP535">
            <v>42206</v>
          </cell>
          <cell r="GS535" t="str">
            <v>4/4/4</v>
          </cell>
          <cell r="GU535" t="str">
            <v xml:space="preserve">		</v>
          </cell>
          <cell r="HD535">
            <v>1</v>
          </cell>
        </row>
        <row r="536">
          <cell r="A536" t="str">
            <v>SG0415</v>
          </cell>
          <cell r="B536" t="str">
            <v>ANSG_0438</v>
          </cell>
          <cell r="C536" t="str">
            <v>Apollo</v>
          </cell>
          <cell r="D536" t="str">
            <v>Adriaan Coetsee</v>
          </cell>
          <cell r="F536" t="str">
            <v>Aung Thu Win</v>
          </cell>
          <cell r="G536" t="str">
            <v>Kyaw Zay Yar</v>
          </cell>
          <cell r="H536" t="str">
            <v>RED</v>
          </cell>
          <cell r="I536" t="str">
            <v>North</v>
          </cell>
          <cell r="J536" t="str">
            <v>94.0258</v>
          </cell>
          <cell r="K536" t="str">
            <v>23.332</v>
          </cell>
          <cell r="L536" t="str">
            <v>Rural</v>
          </cell>
          <cell r="M536" t="str">
            <v>Sagaing</v>
          </cell>
          <cell r="N536" t="str">
            <v>Kale</v>
          </cell>
          <cell r="O536" t="str">
            <v>Kale</v>
          </cell>
          <cell r="P536" t="str">
            <v>Sagaing</v>
          </cell>
          <cell r="Q536" t="str">
            <v>11</v>
          </cell>
          <cell r="R536" t="str">
            <v>Kale</v>
          </cell>
          <cell r="S536" t="str">
            <v>68</v>
          </cell>
          <cell r="T536" t="str">
            <v>GSM+UMTS</v>
          </cell>
          <cell r="W536" t="str">
            <v>Ph2-Priority</v>
          </cell>
          <cell r="X536" t="str">
            <v>45</v>
          </cell>
          <cell r="Y536" t="str">
            <v>47</v>
          </cell>
          <cell r="Z536" t="str">
            <v>GBT</v>
          </cell>
          <cell r="AA536" t="str">
            <v>500</v>
          </cell>
          <cell r="AB536" t="str">
            <v>Access</v>
          </cell>
          <cell r="AC536" t="str">
            <v>Class C</v>
          </cell>
          <cell r="BE536" t="str">
            <v>Route 10 Mandalay - Myitkyina</v>
          </cell>
          <cell r="BH536" t="str">
            <v>Camusat</v>
          </cell>
          <cell r="BJ536">
            <v>42167</v>
          </cell>
          <cell r="BK536">
            <v>42108</v>
          </cell>
          <cell r="BL536">
            <v>42172</v>
          </cell>
          <cell r="BM536">
            <v>42115</v>
          </cell>
          <cell r="BT536">
            <v>17</v>
          </cell>
          <cell r="BU536">
            <v>42166</v>
          </cell>
          <cell r="BV536">
            <v>42125</v>
          </cell>
          <cell r="BW536" t="str">
            <v>94.02674</v>
          </cell>
          <cell r="BX536" t="str">
            <v>23.33228</v>
          </cell>
          <cell r="BY536" t="str">
            <v>C1</v>
          </cell>
          <cell r="BZ536" t="str">
            <v>Kalay Township, MountLin Group, Latpanchaung Village</v>
          </cell>
          <cell r="CA536" t="str">
            <v>U Byat Late;09-256301435</v>
          </cell>
          <cell r="CB536" t="str">
            <v>10Jun15: C1 Ractivated, Issue resolved. C2-SAR submission; C1-Rejected during TSS
4Jun15: C2 SAR Sub. C1 Rejected during TSS. 1May15: C1 SAR Sub</v>
          </cell>
          <cell r="CE536">
            <v>1</v>
          </cell>
          <cell r="CF536">
            <v>42167</v>
          </cell>
          <cell r="CG536">
            <v>42126</v>
          </cell>
          <cell r="CH536">
            <v>42169</v>
          </cell>
          <cell r="CJ536">
            <v>42163</v>
          </cell>
          <cell r="CK536" t="str">
            <v>45</v>
          </cell>
          <cell r="CL536" t="str">
            <v>47</v>
          </cell>
          <cell r="CM536" t="str">
            <v>60</v>
          </cell>
          <cell r="CN536">
            <v>39</v>
          </cell>
          <cell r="CO536">
            <v>42172</v>
          </cell>
          <cell r="CP536">
            <v>42165</v>
          </cell>
          <cell r="CQ536" t="str">
            <v>M4: solar + DG + battery</v>
          </cell>
          <cell r="CR536">
            <v>1</v>
          </cell>
          <cell r="CS536">
            <v>42173</v>
          </cell>
          <cell r="CT536">
            <v>42166</v>
          </cell>
          <cell r="CU536" t="str">
            <v>SG0415</v>
          </cell>
          <cell r="DH536">
            <v>13</v>
          </cell>
          <cell r="DI536">
            <v>42183</v>
          </cell>
          <cell r="DJ536">
            <v>42179</v>
          </cell>
          <cell r="DK536">
            <v>42180</v>
          </cell>
          <cell r="DL536">
            <v>42168</v>
          </cell>
          <cell r="DM536">
            <v>42184</v>
          </cell>
          <cell r="DO536">
            <v>0</v>
          </cell>
          <cell r="DP536">
            <v>42183</v>
          </cell>
          <cell r="DQ536">
            <v>42179</v>
          </cell>
          <cell r="DT536">
            <v>54</v>
          </cell>
          <cell r="DU536">
            <v>42198</v>
          </cell>
          <cell r="DW536">
            <v>0</v>
          </cell>
          <cell r="DY536">
            <v>42184</v>
          </cell>
          <cell r="EA536" t="str">
            <v>Camusat</v>
          </cell>
          <cell r="EB536">
            <v>42220</v>
          </cell>
          <cell r="EE536" t="str">
            <v xml:space="preserve">10 Aug 15:Flood affected_Hold-No access; 4-Aug-15:Lessor canÆt contact for confirmation about the flooding.								</v>
          </cell>
          <cell r="EJ536">
            <v>0</v>
          </cell>
          <cell r="EK536">
            <v>42206</v>
          </cell>
          <cell r="EM536">
            <v>42207</v>
          </cell>
          <cell r="EQ536">
            <v>42219</v>
          </cell>
          <cell r="EW536">
            <v>0</v>
          </cell>
          <cell r="EX536">
            <v>42233</v>
          </cell>
          <cell r="EZ536">
            <v>42229</v>
          </cell>
          <cell r="FB536">
            <v>42231</v>
          </cell>
          <cell r="FU536">
            <v>42233</v>
          </cell>
          <cell r="FW536">
            <v>42233</v>
          </cell>
          <cell r="FY536" t="str">
            <v>GTL</v>
          </cell>
          <cell r="GJ536">
            <v>0</v>
          </cell>
          <cell r="GN536" t="str">
            <v>ERICSSON</v>
          </cell>
          <cell r="HD536">
            <v>1</v>
          </cell>
        </row>
        <row r="537">
          <cell r="A537" t="str">
            <v>SG0416</v>
          </cell>
          <cell r="B537" t="str">
            <v>ANSG_0439</v>
          </cell>
          <cell r="C537" t="str">
            <v>Apollo</v>
          </cell>
          <cell r="D537" t="str">
            <v>Adriaan Coetsee</v>
          </cell>
          <cell r="F537" t="str">
            <v>Aung Thu Win</v>
          </cell>
          <cell r="G537" t="str">
            <v>Kyaw Zay Yar</v>
          </cell>
          <cell r="H537" t="str">
            <v>RED</v>
          </cell>
          <cell r="I537" t="str">
            <v>North</v>
          </cell>
          <cell r="J537" t="str">
            <v>96.3222</v>
          </cell>
          <cell r="K537" t="str">
            <v>24.1921</v>
          </cell>
          <cell r="L537" t="str">
            <v>Rural</v>
          </cell>
          <cell r="M537" t="str">
            <v>Sagaing</v>
          </cell>
          <cell r="N537" t="str">
            <v>Katha</v>
          </cell>
          <cell r="O537" t="str">
            <v>Katha</v>
          </cell>
          <cell r="P537" t="str">
            <v>Sagaing</v>
          </cell>
          <cell r="Q537" t="str">
            <v>11</v>
          </cell>
          <cell r="R537" t="str">
            <v>Katha</v>
          </cell>
          <cell r="S537" t="str">
            <v>61</v>
          </cell>
          <cell r="T537" t="str">
            <v>GSM+UMTS</v>
          </cell>
          <cell r="W537" t="str">
            <v>Ph2-Priority</v>
          </cell>
          <cell r="X537" t="str">
            <v>45</v>
          </cell>
          <cell r="Y537" t="str">
            <v>47</v>
          </cell>
          <cell r="Z537" t="str">
            <v>GBT</v>
          </cell>
          <cell r="AA537" t="str">
            <v>250</v>
          </cell>
          <cell r="AB537" t="str">
            <v>Access</v>
          </cell>
          <cell r="AC537" t="str">
            <v>Class C</v>
          </cell>
          <cell r="BE537" t="str">
            <v>Indaw - Bhamo</v>
          </cell>
          <cell r="BH537" t="str">
            <v>Camusat</v>
          </cell>
          <cell r="BJ537">
            <v>42167</v>
          </cell>
          <cell r="BK537">
            <v>42141</v>
          </cell>
          <cell r="BL537">
            <v>42172</v>
          </cell>
          <cell r="BM537">
            <v>42174</v>
          </cell>
          <cell r="BT537">
            <v>68</v>
          </cell>
          <cell r="BU537">
            <v>42253</v>
          </cell>
          <cell r="BV537">
            <v>42209</v>
          </cell>
          <cell r="BW537" t="str">
            <v>96.319924</v>
          </cell>
          <cell r="BX537" t="str">
            <v>24.19129</v>
          </cell>
          <cell r="BY537" t="str">
            <v>C2</v>
          </cell>
          <cell r="BZ537" t="str">
            <v>No.(9), Quarter, Katha Township, Sagaing Division.</v>
          </cell>
          <cell r="CA537" t="str">
            <v>Daw Phyu Phyu San</v>
          </cell>
          <cell r="CB537" t="str">
            <v>24 July 15 :C2-SAR submission; C1-Owner's declined;6 July 15 : C1 TSSR app;22 June 15 : C1 SAR app;21Jun15: C1- SAR_REV1 submission (coordinates adjustment)3Jun15: C1 SAR Sub</v>
          </cell>
          <cell r="CC537" t="str">
            <v>Town</v>
          </cell>
          <cell r="CE537">
            <v>3</v>
          </cell>
          <cell r="CF537">
            <v>42254</v>
          </cell>
          <cell r="CG537">
            <v>42212</v>
          </cell>
          <cell r="CH537">
            <v>42256</v>
          </cell>
          <cell r="CJ537">
            <v>42232</v>
          </cell>
          <cell r="CK537" t="str">
            <v>45</v>
          </cell>
          <cell r="CL537" t="str">
            <v>47</v>
          </cell>
          <cell r="CM537" t="str">
            <v>50</v>
          </cell>
          <cell r="CN537">
            <v>21</v>
          </cell>
          <cell r="CO537">
            <v>42259</v>
          </cell>
          <cell r="CP537">
            <v>42234</v>
          </cell>
          <cell r="CQ537" t="str">
            <v>M1: grid power + battery</v>
          </cell>
          <cell r="CR537">
            <v>0</v>
          </cell>
          <cell r="CS537">
            <v>42260</v>
          </cell>
          <cell r="CT537">
            <v>42235</v>
          </cell>
          <cell r="CU537" t="str">
            <v>SG0416</v>
          </cell>
          <cell r="DH537">
            <v>0</v>
          </cell>
          <cell r="DI537">
            <v>42270</v>
          </cell>
          <cell r="DJ537">
            <v>42217</v>
          </cell>
          <cell r="DK537">
            <v>42267</v>
          </cell>
          <cell r="DM537">
            <v>42271</v>
          </cell>
          <cell r="DO537">
            <v>16</v>
          </cell>
          <cell r="DP537">
            <v>42270</v>
          </cell>
          <cell r="DT537">
            <v>0</v>
          </cell>
          <cell r="DU537">
            <v>42285</v>
          </cell>
          <cell r="DW537">
            <v>0</v>
          </cell>
          <cell r="DY537">
            <v>42271</v>
          </cell>
          <cell r="DZ537">
            <v>42250</v>
          </cell>
          <cell r="EA537" t="str">
            <v>Camusat</v>
          </cell>
          <cell r="EJ537">
            <v>0</v>
          </cell>
          <cell r="EK537">
            <v>42288</v>
          </cell>
          <cell r="EM537">
            <v>42289</v>
          </cell>
          <cell r="EQ537">
            <v>42298</v>
          </cell>
          <cell r="EW537">
            <v>0</v>
          </cell>
          <cell r="EX537">
            <v>42312</v>
          </cell>
          <cell r="EZ537">
            <v>42308</v>
          </cell>
          <cell r="FB537">
            <v>42310</v>
          </cell>
          <cell r="FU537">
            <v>42312</v>
          </cell>
          <cell r="FW537">
            <v>42312</v>
          </cell>
          <cell r="GI537">
            <v>42000</v>
          </cell>
          <cell r="GJ537">
            <v>0</v>
          </cell>
          <cell r="GN537" t="str">
            <v>ERICSSON</v>
          </cell>
          <cell r="HD537">
            <v>1</v>
          </cell>
        </row>
        <row r="538">
          <cell r="A538" t="str">
            <v>SG0417</v>
          </cell>
          <cell r="B538" t="str">
            <v>ANSG_0414</v>
          </cell>
          <cell r="C538" t="str">
            <v>Apollo</v>
          </cell>
          <cell r="D538" t="str">
            <v>Adriaan Coetsee</v>
          </cell>
          <cell r="F538" t="str">
            <v>Aung Thu Win</v>
          </cell>
          <cell r="G538" t="str">
            <v>Kyaw Zay Yar</v>
          </cell>
          <cell r="H538" t="str">
            <v>AMBER</v>
          </cell>
          <cell r="I538" t="str">
            <v>North</v>
          </cell>
          <cell r="J538" t="str">
            <v>96.3364</v>
          </cell>
          <cell r="K538" t="str">
            <v>24.1593</v>
          </cell>
          <cell r="L538" t="str">
            <v>Rural</v>
          </cell>
          <cell r="M538" t="str">
            <v>Sagaing</v>
          </cell>
          <cell r="N538" t="str">
            <v>Katha</v>
          </cell>
          <cell r="O538" t="str">
            <v>Katha</v>
          </cell>
          <cell r="P538" t="str">
            <v>Sagaing</v>
          </cell>
          <cell r="Q538" t="str">
            <v>11</v>
          </cell>
          <cell r="R538" t="str">
            <v>Katha</v>
          </cell>
          <cell r="S538" t="str">
            <v>61</v>
          </cell>
          <cell r="T538" t="str">
            <v>GSM+UMTS</v>
          </cell>
          <cell r="W538" t="str">
            <v>Ph2-Priority</v>
          </cell>
          <cell r="X538" t="str">
            <v>45</v>
          </cell>
          <cell r="Y538" t="str">
            <v>47</v>
          </cell>
          <cell r="Z538" t="str">
            <v>GBT</v>
          </cell>
          <cell r="AA538" t="str">
            <v>250</v>
          </cell>
          <cell r="AB538" t="str">
            <v>Access</v>
          </cell>
          <cell r="AC538" t="str">
            <v>Class C</v>
          </cell>
          <cell r="BE538" t="str">
            <v>Indaw - Bhamo</v>
          </cell>
          <cell r="BH538" t="str">
            <v>Camusat</v>
          </cell>
          <cell r="BJ538">
            <v>42167</v>
          </cell>
          <cell r="BK538">
            <v>42150</v>
          </cell>
          <cell r="BL538">
            <v>42172</v>
          </cell>
          <cell r="BM538">
            <v>42157</v>
          </cell>
          <cell r="BT538">
            <v>17</v>
          </cell>
          <cell r="BU538">
            <v>42253</v>
          </cell>
          <cell r="BV538">
            <v>42167</v>
          </cell>
          <cell r="BW538" t="str">
            <v>96.33279</v>
          </cell>
          <cell r="BX538" t="str">
            <v>24.15637</v>
          </cell>
          <cell r="BY538" t="str">
            <v>C1</v>
          </cell>
          <cell r="BZ538" t="str">
            <v>Bo Gone Village, Tone Paw Village Track,Katha Township,Katha  district Sagaing</v>
          </cell>
          <cell r="CA538" t="str">
            <v>U Peter Bran;09-259856241</v>
          </cell>
          <cell r="CB538" t="str">
            <v>12Jun15: C1 SAR Sub</v>
          </cell>
          <cell r="CC538" t="str">
            <v>Village</v>
          </cell>
          <cell r="CE538">
            <v>3</v>
          </cell>
          <cell r="CF538">
            <v>42254</v>
          </cell>
          <cell r="CG538">
            <v>42170</v>
          </cell>
          <cell r="CH538">
            <v>42256</v>
          </cell>
          <cell r="CJ538">
            <v>42176</v>
          </cell>
          <cell r="CK538" t="str">
            <v>45</v>
          </cell>
          <cell r="CL538" t="str">
            <v>47</v>
          </cell>
          <cell r="CM538" t="str">
            <v>50</v>
          </cell>
          <cell r="CN538">
            <v>8</v>
          </cell>
          <cell r="CO538">
            <v>42259</v>
          </cell>
          <cell r="CP538">
            <v>42178</v>
          </cell>
          <cell r="CQ538" t="str">
            <v>M1: grid power + battery</v>
          </cell>
          <cell r="CR538">
            <v>1</v>
          </cell>
          <cell r="CS538">
            <v>42260</v>
          </cell>
          <cell r="CT538">
            <v>42179</v>
          </cell>
          <cell r="CU538" t="str">
            <v>SG0417</v>
          </cell>
          <cell r="DH538">
            <v>38</v>
          </cell>
          <cell r="DI538">
            <v>42270</v>
          </cell>
          <cell r="DJ538">
            <v>42217</v>
          </cell>
          <cell r="DK538">
            <v>42267</v>
          </cell>
          <cell r="DL538">
            <v>42198</v>
          </cell>
          <cell r="DM538">
            <v>42271</v>
          </cell>
          <cell r="DN538">
            <v>42202</v>
          </cell>
          <cell r="DO538">
            <v>0</v>
          </cell>
          <cell r="DP538">
            <v>42270</v>
          </cell>
          <cell r="DQ538">
            <v>42217</v>
          </cell>
          <cell r="DT538">
            <v>16</v>
          </cell>
          <cell r="DU538">
            <v>42285</v>
          </cell>
          <cell r="DW538">
            <v>0</v>
          </cell>
          <cell r="DY538">
            <v>42271</v>
          </cell>
          <cell r="DZ538">
            <v>42201</v>
          </cell>
          <cell r="EA538" t="str">
            <v>Camusat</v>
          </cell>
          <cell r="EJ538">
            <v>32</v>
          </cell>
          <cell r="EK538">
            <v>42288</v>
          </cell>
          <cell r="EL538">
            <v>42241</v>
          </cell>
          <cell r="EM538">
            <v>42289</v>
          </cell>
          <cell r="EN538">
            <v>42241</v>
          </cell>
          <cell r="EQ538">
            <v>42298</v>
          </cell>
          <cell r="ES538">
            <v>42245</v>
          </cell>
          <cell r="EW538">
            <v>32</v>
          </cell>
          <cell r="EX538">
            <v>42312</v>
          </cell>
          <cell r="EZ538">
            <v>42308</v>
          </cell>
          <cell r="FB538">
            <v>42310</v>
          </cell>
          <cell r="FU538">
            <v>42312</v>
          </cell>
          <cell r="FW538">
            <v>42312</v>
          </cell>
          <cell r="FY538" t="str">
            <v>EM</v>
          </cell>
          <cell r="GI538">
            <v>42307</v>
          </cell>
          <cell r="GJ538" t="str">
            <v>44-2015</v>
          </cell>
          <cell r="GN538" t="str">
            <v>ERICSSON</v>
          </cell>
          <cell r="HD538">
            <v>1</v>
          </cell>
        </row>
        <row r="539">
          <cell r="A539" t="str">
            <v>SG0418</v>
          </cell>
          <cell r="B539" t="str">
            <v>ANSG_0415</v>
          </cell>
          <cell r="C539" t="str">
            <v>Apollo</v>
          </cell>
          <cell r="D539" t="str">
            <v>Adriaan Coetsee</v>
          </cell>
          <cell r="F539" t="str">
            <v>Aung Thu Win</v>
          </cell>
          <cell r="G539" t="str">
            <v>Kyaw Zay Yar</v>
          </cell>
          <cell r="H539" t="str">
            <v>AMBER</v>
          </cell>
          <cell r="I539" t="str">
            <v>North</v>
          </cell>
          <cell r="J539" t="str">
            <v>96.3258</v>
          </cell>
          <cell r="K539" t="str">
            <v>24.1778</v>
          </cell>
          <cell r="L539" t="str">
            <v>SubUrban</v>
          </cell>
          <cell r="M539" t="str">
            <v>Sagaing</v>
          </cell>
          <cell r="N539" t="str">
            <v>Katha</v>
          </cell>
          <cell r="O539" t="str">
            <v>Katha</v>
          </cell>
          <cell r="P539" t="str">
            <v>Sagaing</v>
          </cell>
          <cell r="Q539" t="str">
            <v>11</v>
          </cell>
          <cell r="R539" t="str">
            <v>Katha</v>
          </cell>
          <cell r="S539" t="str">
            <v>61</v>
          </cell>
          <cell r="T539" t="str">
            <v>GSM+UMTS</v>
          </cell>
          <cell r="W539" t="str">
            <v>Ph2-Priority</v>
          </cell>
          <cell r="X539" t="str">
            <v>35</v>
          </cell>
          <cell r="Y539" t="str">
            <v>37</v>
          </cell>
          <cell r="Z539" t="str">
            <v>GBT</v>
          </cell>
          <cell r="AA539" t="str">
            <v>100</v>
          </cell>
          <cell r="AB539" t="str">
            <v>Access</v>
          </cell>
          <cell r="AC539" t="str">
            <v>Class B</v>
          </cell>
          <cell r="BE539" t="str">
            <v>Indaw - Bhamo</v>
          </cell>
          <cell r="BH539" t="str">
            <v>Camusat</v>
          </cell>
          <cell r="BJ539">
            <v>42167</v>
          </cell>
          <cell r="BK539">
            <v>42150</v>
          </cell>
          <cell r="BL539">
            <v>42172</v>
          </cell>
          <cell r="BM539">
            <v>42157</v>
          </cell>
          <cell r="BT539">
            <v>17</v>
          </cell>
          <cell r="BU539">
            <v>42209</v>
          </cell>
          <cell r="BV539">
            <v>42167</v>
          </cell>
          <cell r="BW539" t="str">
            <v>96.32433</v>
          </cell>
          <cell r="BX539" t="str">
            <v>24.17866</v>
          </cell>
          <cell r="BY539" t="str">
            <v>C1</v>
          </cell>
          <cell r="BZ539" t="str">
            <v>Pyi Thar Yar Ward, Katha</v>
          </cell>
          <cell r="CA539" t="str">
            <v>U Tin Phae;09-259970300</v>
          </cell>
          <cell r="CB539" t="str">
            <v>12Jun15: C1 SAR Sub</v>
          </cell>
          <cell r="CC539" t="str">
            <v>RESIDENTIAL</v>
          </cell>
          <cell r="CE539">
            <v>3</v>
          </cell>
          <cell r="CF539">
            <v>42210</v>
          </cell>
          <cell r="CG539">
            <v>42170</v>
          </cell>
          <cell r="CH539">
            <v>42212</v>
          </cell>
          <cell r="CJ539">
            <v>42176</v>
          </cell>
          <cell r="CK539" t="str">
            <v>36</v>
          </cell>
          <cell r="CL539" t="str">
            <v>40</v>
          </cell>
          <cell r="CM539" t="str">
            <v>40</v>
          </cell>
          <cell r="CN539">
            <v>8</v>
          </cell>
          <cell r="CO539">
            <v>42215</v>
          </cell>
          <cell r="CP539">
            <v>42178</v>
          </cell>
          <cell r="CQ539" t="str">
            <v>M1: grid power + battery</v>
          </cell>
          <cell r="CR539">
            <v>1</v>
          </cell>
          <cell r="CS539">
            <v>42216</v>
          </cell>
          <cell r="CT539">
            <v>42179</v>
          </cell>
          <cell r="CU539" t="str">
            <v>SG0418</v>
          </cell>
          <cell r="DH539">
            <v>38</v>
          </cell>
          <cell r="DI539">
            <v>42226</v>
          </cell>
          <cell r="DJ539">
            <v>42217</v>
          </cell>
          <cell r="DK539">
            <v>42223</v>
          </cell>
          <cell r="DL539">
            <v>42198</v>
          </cell>
          <cell r="DM539">
            <v>42227</v>
          </cell>
          <cell r="DN539">
            <v>42198</v>
          </cell>
          <cell r="DO539">
            <v>0</v>
          </cell>
          <cell r="DP539">
            <v>42226</v>
          </cell>
          <cell r="DQ539">
            <v>42217</v>
          </cell>
          <cell r="DT539">
            <v>16</v>
          </cell>
          <cell r="DU539">
            <v>42241</v>
          </cell>
          <cell r="DW539">
            <v>0</v>
          </cell>
          <cell r="DY539">
            <v>42227</v>
          </cell>
          <cell r="DZ539">
            <v>42201</v>
          </cell>
          <cell r="EA539" t="str">
            <v>Camusat</v>
          </cell>
          <cell r="EB539">
            <v>42202</v>
          </cell>
          <cell r="ED539" t="str">
            <v xml:space="preserve">17Aug15 :ThantZin.Oo: 8/8/15 : Excavation started . 12/8/115 : Footing rebar-work in progress .
</v>
          </cell>
          <cell r="EE539" t="str">
            <v xml:space="preserve">10 Aug 15:Flood affected_Hold-No access; 17-Jul-15: Flooded access or site is flooded_ we canÆt proceed to this site for now								</v>
          </cell>
          <cell r="EJ539">
            <v>32</v>
          </cell>
          <cell r="EK539">
            <v>42242</v>
          </cell>
          <cell r="EL539">
            <v>42233</v>
          </cell>
          <cell r="EM539">
            <v>42243</v>
          </cell>
          <cell r="EQ539">
            <v>42250</v>
          </cell>
          <cell r="EW539">
            <v>32</v>
          </cell>
          <cell r="EX539">
            <v>42221</v>
          </cell>
          <cell r="EZ539">
            <v>42260</v>
          </cell>
          <cell r="FB539">
            <v>42262</v>
          </cell>
          <cell r="FU539">
            <v>42264</v>
          </cell>
          <cell r="FW539">
            <v>42264</v>
          </cell>
          <cell r="GI539">
            <v>42307</v>
          </cell>
          <cell r="GJ539" t="str">
            <v>44-2015</v>
          </cell>
          <cell r="GN539" t="str">
            <v>ERICSSON</v>
          </cell>
          <cell r="GS539" t="str">
            <v>4/4/4</v>
          </cell>
          <cell r="GU539" t="str">
            <v xml:space="preserve">		</v>
          </cell>
          <cell r="HD539">
            <v>1</v>
          </cell>
        </row>
        <row r="540">
          <cell r="A540" t="str">
            <v>SG0419</v>
          </cell>
          <cell r="B540" t="str">
            <v>ANSG_0440</v>
          </cell>
          <cell r="C540" t="str">
            <v>Apollo</v>
          </cell>
          <cell r="D540" t="str">
            <v>Adriaan Coetsee</v>
          </cell>
          <cell r="F540" t="str">
            <v>Aung Thu Win</v>
          </cell>
          <cell r="G540" t="str">
            <v>Kyaw Zay Yar</v>
          </cell>
          <cell r="H540" t="str">
            <v>RED</v>
          </cell>
          <cell r="I540" t="str">
            <v>North</v>
          </cell>
          <cell r="J540" t="str">
            <v>96.33</v>
          </cell>
          <cell r="K540" t="str">
            <v>24.1837</v>
          </cell>
          <cell r="L540" t="str">
            <v>SubUrban</v>
          </cell>
          <cell r="M540" t="str">
            <v>Sagaing</v>
          </cell>
          <cell r="N540" t="str">
            <v>Katha</v>
          </cell>
          <cell r="O540" t="str">
            <v>Katha</v>
          </cell>
          <cell r="P540" t="str">
            <v>Sagaing</v>
          </cell>
          <cell r="Q540" t="str">
            <v>11</v>
          </cell>
          <cell r="R540" t="str">
            <v>Katha</v>
          </cell>
          <cell r="S540" t="str">
            <v>61</v>
          </cell>
          <cell r="T540" t="str">
            <v>GSM+UMTS</v>
          </cell>
          <cell r="W540" t="str">
            <v>Ph2-Priority</v>
          </cell>
          <cell r="X540" t="str">
            <v>35</v>
          </cell>
          <cell r="Y540" t="str">
            <v>37</v>
          </cell>
          <cell r="Z540" t="str">
            <v>GBT</v>
          </cell>
          <cell r="AA540" t="str">
            <v>100</v>
          </cell>
          <cell r="AB540" t="str">
            <v>Access</v>
          </cell>
          <cell r="AC540" t="str">
            <v>Class B</v>
          </cell>
          <cell r="BE540" t="str">
            <v>Indaw - Bhamo</v>
          </cell>
          <cell r="BH540" t="str">
            <v>Camusat</v>
          </cell>
          <cell r="BJ540">
            <v>42130</v>
          </cell>
          <cell r="BK540">
            <v>42130</v>
          </cell>
          <cell r="BL540">
            <v>42135</v>
          </cell>
          <cell r="BM540">
            <v>42141</v>
          </cell>
          <cell r="BT540">
            <v>58</v>
          </cell>
          <cell r="BU540">
            <v>42142</v>
          </cell>
          <cell r="BV540">
            <v>42188</v>
          </cell>
          <cell r="BW540" t="str">
            <v>96.33248</v>
          </cell>
          <cell r="BX540" t="str">
            <v>24.18364</v>
          </cell>
          <cell r="BY540" t="str">
            <v>C2</v>
          </cell>
          <cell r="BZ540" t="str">
            <v>No(9) Qtr, Part (1), Kathar Township.</v>
          </cell>
          <cell r="CA540" t="str">
            <v>Daw Aye Aye Thant;No(9) Qtr, Part (1), Kathar Township;09-257863730, 09-256308033</v>
          </cell>
          <cell r="CB540" t="str">
            <v>3 July 15 : C2-SAR submission(C1- owner's declined since lessors property is now for sale);16 June 15 : C1 TSSR app;28 May 15 : C1 SAR app;27May15: C1 SAR Sub</v>
          </cell>
          <cell r="CC540" t="str">
            <v>Town</v>
          </cell>
          <cell r="CE540">
            <v>4</v>
          </cell>
          <cell r="CF540">
            <v>42156</v>
          </cell>
          <cell r="CG540">
            <v>42192</v>
          </cell>
          <cell r="CH540">
            <v>42165</v>
          </cell>
          <cell r="CJ540">
            <v>42168</v>
          </cell>
          <cell r="CK540" t="str">
            <v>35</v>
          </cell>
          <cell r="CL540" t="str">
            <v>37</v>
          </cell>
          <cell r="CM540" t="str">
            <v>40</v>
          </cell>
          <cell r="CN540">
            <v>41</v>
          </cell>
          <cell r="CO540">
            <v>42168</v>
          </cell>
          <cell r="CP540">
            <v>42191</v>
          </cell>
          <cell r="CQ540" t="str">
            <v>M4: solar + DG + battery</v>
          </cell>
          <cell r="CR540">
            <v>0</v>
          </cell>
          <cell r="CS540">
            <v>42169</v>
          </cell>
          <cell r="CT540">
            <v>42192</v>
          </cell>
          <cell r="CU540" t="str">
            <v>SG0419</v>
          </cell>
          <cell r="DH540">
            <v>0</v>
          </cell>
          <cell r="DI540">
            <v>42179</v>
          </cell>
          <cell r="DJ540">
            <v>42198</v>
          </cell>
          <cell r="DK540">
            <v>42176</v>
          </cell>
          <cell r="DL540">
            <v>42201</v>
          </cell>
          <cell r="DM540">
            <v>42180</v>
          </cell>
          <cell r="DN540">
            <v>42201</v>
          </cell>
          <cell r="DO540">
            <v>0</v>
          </cell>
          <cell r="DP540">
            <v>42179</v>
          </cell>
          <cell r="DQ540">
            <v>42198</v>
          </cell>
          <cell r="DT540">
            <v>0</v>
          </cell>
          <cell r="DU540">
            <v>42194</v>
          </cell>
          <cell r="DW540">
            <v>0</v>
          </cell>
          <cell r="DY540">
            <v>42180</v>
          </cell>
          <cell r="DZ540">
            <v>42201</v>
          </cell>
          <cell r="EA540" t="str">
            <v>Camusat</v>
          </cell>
          <cell r="ED540" t="str">
            <v xml:space="preserve">17Aug15 :ThantZin.Oo: 13/8/15 : Tower erection in progress . 40% done .
</v>
          </cell>
          <cell r="EE540" t="str">
            <v xml:space="preserve">10 Aug 15:Rain affected_Progress affected; 4-Aug-15: muddy access road -slow progress								</v>
          </cell>
          <cell r="EJ540">
            <v>0</v>
          </cell>
          <cell r="EK540">
            <v>42195</v>
          </cell>
          <cell r="EL540">
            <v>42220</v>
          </cell>
          <cell r="EM540">
            <v>42196</v>
          </cell>
          <cell r="EN540">
            <v>42225</v>
          </cell>
          <cell r="EQ540">
            <v>42203</v>
          </cell>
          <cell r="ER540">
            <v>42234</v>
          </cell>
          <cell r="ES540">
            <v>42221</v>
          </cell>
          <cell r="ET540">
            <v>42234</v>
          </cell>
          <cell r="EU540">
            <v>42234</v>
          </cell>
          <cell r="EW540">
            <v>0</v>
          </cell>
          <cell r="EX540">
            <v>42210</v>
          </cell>
          <cell r="EZ540">
            <v>42213</v>
          </cell>
          <cell r="FA540">
            <v>42229</v>
          </cell>
          <cell r="FB540">
            <v>42215</v>
          </cell>
          <cell r="FC540">
            <v>42229</v>
          </cell>
          <cell r="FU540">
            <v>42217</v>
          </cell>
          <cell r="FW540">
            <v>42217</v>
          </cell>
          <cell r="FX540">
            <v>42235</v>
          </cell>
          <cell r="FY540" t="str">
            <v>CFVL</v>
          </cell>
          <cell r="FZ540">
            <v>42227</v>
          </cell>
          <cell r="GA540">
            <v>42229</v>
          </cell>
          <cell r="GI540">
            <v>42246</v>
          </cell>
          <cell r="GJ540">
            <v>0</v>
          </cell>
          <cell r="GN540" t="str">
            <v xml:space="preserve">ERICSSON </v>
          </cell>
          <cell r="GU540" t="str">
            <v xml:space="preserve">		</v>
          </cell>
          <cell r="HD540">
            <v>1</v>
          </cell>
        </row>
        <row r="541">
          <cell r="A541" t="str">
            <v>SG0420</v>
          </cell>
          <cell r="B541" t="str">
            <v>ANSG_0441</v>
          </cell>
          <cell r="C541" t="str">
            <v>Apollo</v>
          </cell>
          <cell r="D541" t="str">
            <v>Adriaan Coetsee</v>
          </cell>
          <cell r="F541" t="str">
            <v>Aung Thu Win</v>
          </cell>
          <cell r="G541" t="str">
            <v>Kyaw Zay Yar</v>
          </cell>
          <cell r="H541" t="str">
            <v>GREEN</v>
          </cell>
          <cell r="I541" t="str">
            <v>North</v>
          </cell>
          <cell r="J541" t="str">
            <v>96.3429</v>
          </cell>
          <cell r="K541" t="str">
            <v>24.1729</v>
          </cell>
          <cell r="L541" t="str">
            <v>SubUrban</v>
          </cell>
          <cell r="M541" t="str">
            <v>Sagaing</v>
          </cell>
          <cell r="N541" t="str">
            <v>Katha</v>
          </cell>
          <cell r="O541" t="str">
            <v>Katha</v>
          </cell>
          <cell r="P541" t="str">
            <v>Sagaing</v>
          </cell>
          <cell r="Q541" t="str">
            <v>11</v>
          </cell>
          <cell r="R541" t="str">
            <v>Katha</v>
          </cell>
          <cell r="S541" t="str">
            <v>61</v>
          </cell>
          <cell r="T541" t="str">
            <v>GSM+UMTS</v>
          </cell>
          <cell r="W541" t="str">
            <v>Ph2-Priority</v>
          </cell>
          <cell r="X541" t="str">
            <v>35</v>
          </cell>
          <cell r="Y541" t="str">
            <v>37</v>
          </cell>
          <cell r="Z541" t="str">
            <v>GBT</v>
          </cell>
          <cell r="AA541" t="str">
            <v>100</v>
          </cell>
          <cell r="AB541" t="str">
            <v>Access</v>
          </cell>
          <cell r="AC541" t="str">
            <v>Class B</v>
          </cell>
          <cell r="BE541" t="str">
            <v>Indaw - Bhamo</v>
          </cell>
          <cell r="BH541" t="str">
            <v>Camusat</v>
          </cell>
          <cell r="BJ541">
            <v>42130</v>
          </cell>
          <cell r="BK541">
            <v>42130</v>
          </cell>
          <cell r="BL541">
            <v>42135</v>
          </cell>
          <cell r="BM541">
            <v>42177</v>
          </cell>
          <cell r="BT541">
            <v>47</v>
          </cell>
          <cell r="BU541">
            <v>42212</v>
          </cell>
          <cell r="BV541">
            <v>42177</v>
          </cell>
          <cell r="BW541" t="str">
            <v>96.3417</v>
          </cell>
          <cell r="BX541" t="str">
            <v>24.173855</v>
          </cell>
          <cell r="BY541" t="str">
            <v>C1</v>
          </cell>
          <cell r="BZ541" t="str">
            <v>No(4) Quarter, Ka Thar Township,Sagaing Division.</v>
          </cell>
          <cell r="CA541" t="str">
            <v>U Aung Lwin;075-25343,075 25821;09 259970300</v>
          </cell>
          <cell r="CB541" t="str">
            <v>22 Jun 15 :(C1_SAR_REV2 submission);11Jun15: C1 SAR sub date cleared. 27May15: C1 SAR Sub</v>
          </cell>
          <cell r="CC541" t="str">
            <v>Village</v>
          </cell>
          <cell r="CD541" t="str">
            <v>16.3</v>
          </cell>
          <cell r="CE541">
            <v>1</v>
          </cell>
          <cell r="CF541">
            <v>42213</v>
          </cell>
          <cell r="CG541">
            <v>42178</v>
          </cell>
          <cell r="CH541">
            <v>42215</v>
          </cell>
          <cell r="CJ541">
            <v>42195</v>
          </cell>
          <cell r="CK541" t="str">
            <v>22</v>
          </cell>
          <cell r="CL541" t="str">
            <v>6</v>
          </cell>
          <cell r="CM541" t="str">
            <v>6</v>
          </cell>
          <cell r="CN541">
            <v>19</v>
          </cell>
          <cell r="CO541">
            <v>42218</v>
          </cell>
          <cell r="CP541">
            <v>42197</v>
          </cell>
          <cell r="CQ541" t="str">
            <v>M1: grid power + battery</v>
          </cell>
          <cell r="CR541">
            <v>4</v>
          </cell>
          <cell r="CS541">
            <v>42219</v>
          </cell>
          <cell r="CT541">
            <v>42201</v>
          </cell>
          <cell r="CU541" t="str">
            <v>SG0420</v>
          </cell>
          <cell r="DH541">
            <v>16</v>
          </cell>
          <cell r="DI541">
            <v>42229</v>
          </cell>
          <cell r="DJ541">
            <v>42217</v>
          </cell>
          <cell r="DK541">
            <v>42226</v>
          </cell>
          <cell r="DL541">
            <v>42198</v>
          </cell>
          <cell r="DM541">
            <v>42230</v>
          </cell>
          <cell r="DN541">
            <v>42202</v>
          </cell>
          <cell r="DO541">
            <v>0</v>
          </cell>
          <cell r="DP541">
            <v>42229</v>
          </cell>
          <cell r="DQ541">
            <v>42217</v>
          </cell>
          <cell r="DT541">
            <v>16</v>
          </cell>
          <cell r="DU541">
            <v>42244</v>
          </cell>
          <cell r="DW541">
            <v>0</v>
          </cell>
          <cell r="DY541">
            <v>42230</v>
          </cell>
          <cell r="DZ541">
            <v>42202</v>
          </cell>
          <cell r="EA541" t="str">
            <v>Camusat</v>
          </cell>
          <cell r="ED541" t="str">
            <v xml:space="preserve">17Aug15 :SiThu.Moe: 4/8/15:Excavation is done.Tower materials are not at site.They not wear PPE and have not Emergency Contacts No.
</v>
          </cell>
          <cell r="EE541" t="str">
            <v xml:space="preserve">10 Aug 15:Rain affected_Progress affected; 3-Aug-15: Rain affected_ Site is progressing but rain is affecting the work every day. Excavation IP								</v>
          </cell>
          <cell r="EJ541">
            <v>8</v>
          </cell>
          <cell r="EK541">
            <v>42247</v>
          </cell>
          <cell r="EL541">
            <v>42210</v>
          </cell>
          <cell r="EM541">
            <v>42248</v>
          </cell>
          <cell r="EN541">
            <v>42209</v>
          </cell>
          <cell r="EQ541">
            <v>42257</v>
          </cell>
          <cell r="ER541">
            <v>42214</v>
          </cell>
          <cell r="ES541">
            <v>42212</v>
          </cell>
          <cell r="ET541">
            <v>42214</v>
          </cell>
          <cell r="EU541">
            <v>42214</v>
          </cell>
          <cell r="EW541">
            <v>31</v>
          </cell>
          <cell r="EX541">
            <v>42214</v>
          </cell>
          <cell r="EZ541">
            <v>42267</v>
          </cell>
          <cell r="FA541">
            <v>42223</v>
          </cell>
          <cell r="FB541">
            <v>42269</v>
          </cell>
          <cell r="FC541">
            <v>42226</v>
          </cell>
          <cell r="FU541">
            <v>42271</v>
          </cell>
          <cell r="FW541">
            <v>42271</v>
          </cell>
          <cell r="FX541">
            <v>42226</v>
          </cell>
          <cell r="FY541" t="str">
            <v>EM</v>
          </cell>
          <cell r="FZ541">
            <v>42217</v>
          </cell>
          <cell r="GA541">
            <v>42241</v>
          </cell>
          <cell r="GB541">
            <v>42243</v>
          </cell>
          <cell r="GC541">
            <v>42245</v>
          </cell>
          <cell r="GD541">
            <v>42243</v>
          </cell>
          <cell r="GE541">
            <v>42245</v>
          </cell>
          <cell r="GI541">
            <v>42246</v>
          </cell>
          <cell r="GJ541" t="str">
            <v>36-2015</v>
          </cell>
          <cell r="GL541" t="str">
            <v>Due to Flood equipment could not be delivered</v>
          </cell>
          <cell r="GN541" t="str">
            <v>ERICSSON</v>
          </cell>
          <cell r="GO541">
            <v>42199</v>
          </cell>
          <cell r="GQ541" t="str">
            <v xml:space="preserve">Equipment Not Delivered; </v>
          </cell>
          <cell r="HD541">
            <v>1</v>
          </cell>
        </row>
        <row r="542">
          <cell r="A542" t="str">
            <v>SG0421</v>
          </cell>
          <cell r="B542" t="str">
            <v>ANSG_0416</v>
          </cell>
          <cell r="C542" t="str">
            <v>Apollo</v>
          </cell>
          <cell r="D542" t="str">
            <v>Adriaan Coetsee</v>
          </cell>
          <cell r="F542" t="str">
            <v>Aung Thu Win</v>
          </cell>
          <cell r="G542" t="str">
            <v>Kyaw Zay Yar</v>
          </cell>
          <cell r="H542" t="str">
            <v>AMBER</v>
          </cell>
          <cell r="I542" t="str">
            <v>North</v>
          </cell>
          <cell r="J542" t="str">
            <v>95.7858</v>
          </cell>
          <cell r="K542" t="str">
            <v>22.3637</v>
          </cell>
          <cell r="L542" t="str">
            <v>SubUrban</v>
          </cell>
          <cell r="M542" t="str">
            <v>Sagaing</v>
          </cell>
          <cell r="N542" t="str">
            <v>Wetlet</v>
          </cell>
          <cell r="O542" t="str">
            <v>Wetlet</v>
          </cell>
          <cell r="P542" t="str">
            <v>Sagaing</v>
          </cell>
          <cell r="Q542" t="str">
            <v>11</v>
          </cell>
          <cell r="R542" t="str">
            <v>Wetlet</v>
          </cell>
          <cell r="S542" t="str">
            <v>47</v>
          </cell>
          <cell r="T542" t="str">
            <v>GSM+UMTS</v>
          </cell>
          <cell r="W542" t="str">
            <v>Ph2-Priority</v>
          </cell>
          <cell r="X542" t="str">
            <v>35</v>
          </cell>
          <cell r="Y542" t="str">
            <v>37</v>
          </cell>
          <cell r="Z542" t="str">
            <v>GBT</v>
          </cell>
          <cell r="AA542" t="str">
            <v>250</v>
          </cell>
          <cell r="AB542" t="str">
            <v>Access</v>
          </cell>
          <cell r="AC542" t="str">
            <v>Class B</v>
          </cell>
          <cell r="BE542" t="str">
            <v>Route 10 Mandalay - Myitkyina</v>
          </cell>
          <cell r="BH542" t="str">
            <v>Camusat</v>
          </cell>
          <cell r="BJ542">
            <v>42153</v>
          </cell>
          <cell r="BK542">
            <v>42139</v>
          </cell>
          <cell r="BL542">
            <v>42158</v>
          </cell>
          <cell r="BM542">
            <v>42146</v>
          </cell>
          <cell r="BT542">
            <v>17</v>
          </cell>
          <cell r="BU542">
            <v>42163</v>
          </cell>
          <cell r="BV542">
            <v>42156</v>
          </cell>
          <cell r="BW542" t="str">
            <v>95.78762</v>
          </cell>
          <cell r="BX542" t="str">
            <v>22.36219</v>
          </cell>
          <cell r="BY542" t="str">
            <v>C1</v>
          </cell>
          <cell r="BZ542" t="str">
            <v>WatLat No(3) Quarter , Shwe Phone Myint Quarter.</v>
          </cell>
          <cell r="CA542" t="str">
            <v>U Nyunt Hlaing;WatLat No(3) Quarter , Shwe Phone Myint Quarter;09-250096939</v>
          </cell>
          <cell r="CB542" t="str">
            <v>1May15: C1 SAR Sub</v>
          </cell>
          <cell r="CC542" t="str">
            <v>Residential</v>
          </cell>
          <cell r="CE542">
            <v>0</v>
          </cell>
          <cell r="CF542">
            <v>42164</v>
          </cell>
          <cell r="CG542">
            <v>42156</v>
          </cell>
          <cell r="CH542">
            <v>42166</v>
          </cell>
          <cell r="CJ542">
            <v>42163</v>
          </cell>
          <cell r="CK542" t="str">
            <v>35</v>
          </cell>
          <cell r="CL542" t="str">
            <v>37</v>
          </cell>
          <cell r="CM542" t="str">
            <v>40</v>
          </cell>
          <cell r="CN542">
            <v>9</v>
          </cell>
          <cell r="CO542">
            <v>42169</v>
          </cell>
          <cell r="CP542">
            <v>42165</v>
          </cell>
          <cell r="CQ542" t="str">
            <v>M1: grid power + battery</v>
          </cell>
          <cell r="CR542">
            <v>1</v>
          </cell>
          <cell r="CS542">
            <v>42170</v>
          </cell>
          <cell r="CT542">
            <v>42166</v>
          </cell>
          <cell r="CU542" t="str">
            <v>SG0421</v>
          </cell>
          <cell r="DH542">
            <v>8</v>
          </cell>
          <cell r="DI542">
            <v>42180</v>
          </cell>
          <cell r="DJ542">
            <v>42174</v>
          </cell>
          <cell r="DK542">
            <v>42177</v>
          </cell>
          <cell r="DL542">
            <v>42168</v>
          </cell>
          <cell r="DM542">
            <v>42181</v>
          </cell>
          <cell r="DN542">
            <v>42187</v>
          </cell>
          <cell r="DO542">
            <v>0</v>
          </cell>
          <cell r="DP542">
            <v>42180</v>
          </cell>
          <cell r="DQ542">
            <v>42174</v>
          </cell>
          <cell r="DT542">
            <v>14</v>
          </cell>
          <cell r="DU542">
            <v>42195</v>
          </cell>
          <cell r="DV542">
            <v>42188</v>
          </cell>
          <cell r="DW542">
            <v>-1</v>
          </cell>
          <cell r="DY542">
            <v>42181</v>
          </cell>
          <cell r="DZ542">
            <v>42187</v>
          </cell>
          <cell r="EA542" t="str">
            <v>Camusat</v>
          </cell>
          <cell r="ED542" t="str">
            <v xml:space="preserve">13Aug15 :KyawZay.Yar: Rebar for column done.
</v>
          </cell>
          <cell r="EE542" t="str">
            <v xml:space="preserve">13Aug15 :KyawZay.Yar: Site was filled with water.Need to pump the water out.
</v>
          </cell>
          <cell r="EJ542">
            <v>46</v>
          </cell>
          <cell r="EK542">
            <v>42196</v>
          </cell>
          <cell r="EL542">
            <v>42248</v>
          </cell>
          <cell r="EM542">
            <v>42197</v>
          </cell>
          <cell r="EN542">
            <v>42250</v>
          </cell>
          <cell r="EQ542">
            <v>42204</v>
          </cell>
          <cell r="EW542">
            <v>46</v>
          </cell>
          <cell r="EX542">
            <v>42218</v>
          </cell>
          <cell r="EZ542">
            <v>42214</v>
          </cell>
          <cell r="FB542">
            <v>42216</v>
          </cell>
          <cell r="FU542">
            <v>42218</v>
          </cell>
          <cell r="FW542">
            <v>42218</v>
          </cell>
          <cell r="FY542" t="str">
            <v>EM</v>
          </cell>
          <cell r="GI542">
            <v>42277</v>
          </cell>
          <cell r="GJ542" t="str">
            <v>40-2015</v>
          </cell>
          <cell r="GN542" t="str">
            <v>ERICSSON</v>
          </cell>
          <cell r="HD542">
            <v>1</v>
          </cell>
        </row>
        <row r="543">
          <cell r="A543" t="str">
            <v>SG0422</v>
          </cell>
          <cell r="B543" t="str">
            <v>ANSG_0442</v>
          </cell>
          <cell r="C543" t="str">
            <v>Apollo</v>
          </cell>
          <cell r="D543" t="str">
            <v>Adriaan Coetsee</v>
          </cell>
          <cell r="F543" t="str">
            <v>Aung Thu Win</v>
          </cell>
          <cell r="G543" t="str">
            <v>Kyaw Zay Yar</v>
          </cell>
          <cell r="H543" t="str">
            <v>RED</v>
          </cell>
          <cell r="I543" t="str">
            <v>North</v>
          </cell>
          <cell r="J543" t="str">
            <v>94.4032</v>
          </cell>
          <cell r="K543" t="str">
            <v>23.646</v>
          </cell>
          <cell r="L543" t="str">
            <v>SubUrban</v>
          </cell>
          <cell r="M543" t="str">
            <v>Sagaing</v>
          </cell>
          <cell r="N543" t="str">
            <v>Mawlaik</v>
          </cell>
          <cell r="O543" t="str">
            <v>Mawlaik</v>
          </cell>
          <cell r="P543" t="str">
            <v>Sagaing</v>
          </cell>
          <cell r="Q543" t="str">
            <v>11</v>
          </cell>
          <cell r="R543" t="str">
            <v>Mawlaik</v>
          </cell>
          <cell r="S543" t="str">
            <v>72</v>
          </cell>
          <cell r="T543" t="str">
            <v>GSM+UMTS</v>
          </cell>
          <cell r="W543" t="str">
            <v>Ph2-Priority</v>
          </cell>
          <cell r="X543" t="str">
            <v>35</v>
          </cell>
          <cell r="Y543" t="str">
            <v>37</v>
          </cell>
          <cell r="Z543" t="str">
            <v>GBT</v>
          </cell>
          <cell r="AA543" t="str">
            <v>250</v>
          </cell>
          <cell r="AB543" t="str">
            <v>Access</v>
          </cell>
          <cell r="AC543" t="str">
            <v>Class B</v>
          </cell>
          <cell r="BE543" t="str">
            <v>Monywa - Tamu</v>
          </cell>
          <cell r="BH543" t="str">
            <v>Camusat</v>
          </cell>
          <cell r="BJ543">
            <v>42132</v>
          </cell>
          <cell r="BK543">
            <v>42130</v>
          </cell>
          <cell r="BL543">
            <v>42137</v>
          </cell>
          <cell r="BM543">
            <v>42141</v>
          </cell>
          <cell r="BT543">
            <v>70</v>
          </cell>
          <cell r="BU543">
            <v>42187</v>
          </cell>
          <cell r="BV543">
            <v>42200</v>
          </cell>
          <cell r="BW543" t="str">
            <v>94.41726</v>
          </cell>
          <cell r="BX543" t="str">
            <v>23.64666</v>
          </cell>
          <cell r="BY543" t="str">
            <v>C2</v>
          </cell>
          <cell r="BZ543" t="str">
            <v>Han Myint Mo Village,Kyauk Sel Township,Mandalay Division.</v>
          </cell>
          <cell r="CA543" t="str">
            <v>Daw Kyin Swe</v>
          </cell>
          <cell r="CB543" t="str">
            <v>15 July 15 :C2-SAR submission + justification;28 May 15: C1 SAR rejected(RND rejected because this site is 1.4km far from the nominal point. Please find the new candidate at near the nominal point within SR.);27May15: C1 SAR Sub</v>
          </cell>
          <cell r="CC543" t="str">
            <v>Farmland</v>
          </cell>
          <cell r="CE543">
            <v>5</v>
          </cell>
          <cell r="CF543">
            <v>42188</v>
          </cell>
          <cell r="CG543">
            <v>42205</v>
          </cell>
          <cell r="CH543">
            <v>42190</v>
          </cell>
          <cell r="CJ543">
            <v>42232</v>
          </cell>
          <cell r="CN543">
            <v>28</v>
          </cell>
          <cell r="CO543">
            <v>42193</v>
          </cell>
          <cell r="CP543">
            <v>42234</v>
          </cell>
          <cell r="CQ543" t="str">
            <v>M1: grid power + battery</v>
          </cell>
          <cell r="CR543">
            <v>0</v>
          </cell>
          <cell r="CS543">
            <v>42194</v>
          </cell>
          <cell r="CU543" t="str">
            <v>SG0422</v>
          </cell>
          <cell r="DH543">
            <v>0</v>
          </cell>
          <cell r="DI543">
            <v>42204</v>
          </cell>
          <cell r="DK543">
            <v>42201</v>
          </cell>
          <cell r="DM543">
            <v>42205</v>
          </cell>
          <cell r="DO543">
            <v>0</v>
          </cell>
          <cell r="DP543">
            <v>42204</v>
          </cell>
          <cell r="DT543">
            <v>0</v>
          </cell>
          <cell r="DU543">
            <v>42219</v>
          </cell>
          <cell r="DW543">
            <v>0</v>
          </cell>
          <cell r="DY543">
            <v>42205</v>
          </cell>
          <cell r="EA543" t="str">
            <v>Camusat</v>
          </cell>
          <cell r="EJ543">
            <v>0</v>
          </cell>
          <cell r="EK543">
            <v>42220</v>
          </cell>
          <cell r="EM543">
            <v>42221</v>
          </cell>
          <cell r="EQ543">
            <v>42228</v>
          </cell>
          <cell r="EW543">
            <v>0</v>
          </cell>
          <cell r="EX543">
            <v>42210</v>
          </cell>
          <cell r="EZ543">
            <v>42238</v>
          </cell>
          <cell r="FB543">
            <v>42240</v>
          </cell>
          <cell r="FU543">
            <v>42242</v>
          </cell>
          <cell r="FW543">
            <v>42242</v>
          </cell>
          <cell r="GJ543">
            <v>0</v>
          </cell>
          <cell r="GN543" t="str">
            <v>ERICSSON</v>
          </cell>
          <cell r="HD543">
            <v>1</v>
          </cell>
        </row>
        <row r="544">
          <cell r="A544" t="str">
            <v>SG0423</v>
          </cell>
          <cell r="B544" t="str">
            <v>ANSG_0443</v>
          </cell>
          <cell r="C544" t="str">
            <v>Apollo</v>
          </cell>
          <cell r="D544" t="str">
            <v>Adriaan Coetsee</v>
          </cell>
          <cell r="F544" t="str">
            <v>Aung Thu Win</v>
          </cell>
          <cell r="G544" t="str">
            <v>Kyaw Zay Yar</v>
          </cell>
          <cell r="H544" t="str">
            <v>AMBER</v>
          </cell>
          <cell r="I544" t="str">
            <v>North</v>
          </cell>
          <cell r="J544" t="str">
            <v>95.5651</v>
          </cell>
          <cell r="K544" t="str">
            <v>22.9308</v>
          </cell>
          <cell r="L544" t="str">
            <v>Rural</v>
          </cell>
          <cell r="M544" t="str">
            <v>Sagaing</v>
          </cell>
          <cell r="N544" t="str">
            <v>Kanbalu</v>
          </cell>
          <cell r="O544" t="str">
            <v>Kanbalu</v>
          </cell>
          <cell r="P544" t="str">
            <v>Sagaing</v>
          </cell>
          <cell r="Q544" t="str">
            <v>11</v>
          </cell>
          <cell r="R544" t="str">
            <v>Kanbalu</v>
          </cell>
          <cell r="S544" t="str">
            <v>48</v>
          </cell>
          <cell r="T544" t="str">
            <v>GSM+UMTS</v>
          </cell>
          <cell r="W544" t="str">
            <v>Ph2-Priority</v>
          </cell>
          <cell r="X544" t="str">
            <v>45</v>
          </cell>
          <cell r="Y544" t="str">
            <v>47</v>
          </cell>
          <cell r="Z544" t="str">
            <v>GBT</v>
          </cell>
          <cell r="AA544" t="str">
            <v>500</v>
          </cell>
          <cell r="AB544" t="str">
            <v>Access</v>
          </cell>
          <cell r="AC544" t="str">
            <v>Class C</v>
          </cell>
          <cell r="BE544" t="str">
            <v>Route 10 Mandalay - Myitkyina</v>
          </cell>
          <cell r="BH544" t="str">
            <v>Camusat</v>
          </cell>
          <cell r="BJ544">
            <v>42167</v>
          </cell>
          <cell r="BK544">
            <v>42170</v>
          </cell>
          <cell r="BL544">
            <v>42172</v>
          </cell>
          <cell r="BM544">
            <v>42153</v>
          </cell>
          <cell r="BT544">
            <v>10</v>
          </cell>
          <cell r="BU544">
            <v>42255</v>
          </cell>
          <cell r="BV544">
            <v>42180</v>
          </cell>
          <cell r="BW544" t="str">
            <v>95.56822</v>
          </cell>
          <cell r="BX544" t="str">
            <v>22.93028</v>
          </cell>
          <cell r="BY544" t="str">
            <v>C2</v>
          </cell>
          <cell r="BZ544" t="str">
            <v>ZinKhom Village ,Kiamtbalu Township,Yan Gyi Aung quarter, Sagaing Division</v>
          </cell>
          <cell r="CA544" t="str">
            <v>U Win Thaung Oo</v>
          </cell>
          <cell r="CB544" t="str">
            <v>25 June 15 : C2 SAR sub;24 Jun 15: C1 SAR rejected( RND rejected as it is 680m far from the nominal and ut of search ring. Please find the candidate within SR and so we can get more coverage.)</v>
          </cell>
          <cell r="CC544" t="str">
            <v>Village</v>
          </cell>
          <cell r="CE544">
            <v>2</v>
          </cell>
          <cell r="CF544">
            <v>42256</v>
          </cell>
          <cell r="CG544">
            <v>42182</v>
          </cell>
          <cell r="CH544">
            <v>42258</v>
          </cell>
          <cell r="CJ544">
            <v>42193</v>
          </cell>
          <cell r="CK544" t="str">
            <v>45</v>
          </cell>
          <cell r="CL544" t="str">
            <v>47</v>
          </cell>
          <cell r="CM544" t="str">
            <v>60</v>
          </cell>
          <cell r="CN544">
            <v>13</v>
          </cell>
          <cell r="CO544">
            <v>42261</v>
          </cell>
          <cell r="CP544">
            <v>42195</v>
          </cell>
          <cell r="CQ544" t="str">
            <v>M1: grid power + battery</v>
          </cell>
          <cell r="CR544">
            <v>4</v>
          </cell>
          <cell r="CS544">
            <v>42262</v>
          </cell>
          <cell r="CT544">
            <v>42199</v>
          </cell>
          <cell r="CU544" t="str">
            <v>SG0423</v>
          </cell>
          <cell r="DH544">
            <v>34</v>
          </cell>
          <cell r="DI544">
            <v>42272</v>
          </cell>
          <cell r="DJ544">
            <v>42217</v>
          </cell>
          <cell r="DK544">
            <v>42269</v>
          </cell>
          <cell r="DL544">
            <v>42198</v>
          </cell>
          <cell r="DM544">
            <v>42273</v>
          </cell>
          <cell r="DO544">
            <v>0</v>
          </cell>
          <cell r="DP544">
            <v>42272</v>
          </cell>
          <cell r="DQ544">
            <v>42217</v>
          </cell>
          <cell r="DT544">
            <v>0</v>
          </cell>
          <cell r="DU544">
            <v>42287</v>
          </cell>
          <cell r="DW544">
            <v>0</v>
          </cell>
          <cell r="DY544">
            <v>42273</v>
          </cell>
          <cell r="DZ544">
            <v>42208</v>
          </cell>
          <cell r="EA544" t="str">
            <v>Camusat</v>
          </cell>
          <cell r="EB544">
            <v>42212</v>
          </cell>
          <cell r="EE544" t="str">
            <v xml:space="preserve">10 Aug 15:Flood affected_Hold-No access; 27-Jul-15: Flooded access or site is flooded_ we canÆt proceed to this site for now								</v>
          </cell>
          <cell r="EJ544">
            <v>25</v>
          </cell>
          <cell r="EK544">
            <v>42295</v>
          </cell>
          <cell r="EM544">
            <v>42296</v>
          </cell>
          <cell r="EQ544">
            <v>42308</v>
          </cell>
          <cell r="EW544">
            <v>25</v>
          </cell>
          <cell r="EX544">
            <v>42263</v>
          </cell>
          <cell r="EZ544">
            <v>42318</v>
          </cell>
          <cell r="FB544">
            <v>42320</v>
          </cell>
          <cell r="FU544">
            <v>42322</v>
          </cell>
          <cell r="FW544">
            <v>42322</v>
          </cell>
          <cell r="GF544">
            <v>42220</v>
          </cell>
          <cell r="GI544">
            <v>42307</v>
          </cell>
          <cell r="GJ544" t="str">
            <v>44-2015</v>
          </cell>
          <cell r="GN544" t="str">
            <v>ERICSSON</v>
          </cell>
          <cell r="HD544">
            <v>1</v>
          </cell>
        </row>
        <row r="545">
          <cell r="A545" t="str">
            <v>SG0424</v>
          </cell>
          <cell r="B545" t="str">
            <v>ANSG_0444</v>
          </cell>
          <cell r="C545" t="str">
            <v>Apollo</v>
          </cell>
          <cell r="D545" t="str">
            <v>Adriaan Coetsee</v>
          </cell>
          <cell r="F545" t="str">
            <v>Aung Thu Win</v>
          </cell>
          <cell r="G545" t="str">
            <v>Kyaw Zay Yar</v>
          </cell>
          <cell r="H545" t="str">
            <v>RED</v>
          </cell>
          <cell r="I545" t="str">
            <v>North</v>
          </cell>
          <cell r="J545" t="str">
            <v>94.144285</v>
          </cell>
          <cell r="K545" t="str">
            <v>23.783244</v>
          </cell>
          <cell r="L545" t="str">
            <v>SubUrban</v>
          </cell>
          <cell r="M545" t="str">
            <v>Sagaing</v>
          </cell>
          <cell r="N545" t="str">
            <v>Tamu</v>
          </cell>
          <cell r="O545" t="str">
            <v>Tamu</v>
          </cell>
          <cell r="P545" t="str">
            <v>Sagaing</v>
          </cell>
          <cell r="Q545" t="str">
            <v>11</v>
          </cell>
          <cell r="R545" t="str">
            <v>Tamu</v>
          </cell>
          <cell r="S545" t="str">
            <v>71</v>
          </cell>
          <cell r="T545" t="str">
            <v>GSM+UMTS</v>
          </cell>
          <cell r="W545" t="str">
            <v>Ph2-Priority</v>
          </cell>
          <cell r="X545" t="str">
            <v>35</v>
          </cell>
          <cell r="Y545" t="str">
            <v>37</v>
          </cell>
          <cell r="Z545" t="str">
            <v>GBT</v>
          </cell>
          <cell r="AA545" t="str">
            <v>250</v>
          </cell>
          <cell r="AB545" t="str">
            <v>Access</v>
          </cell>
          <cell r="AC545" t="str">
            <v>Class B</v>
          </cell>
          <cell r="BE545" t="str">
            <v>Route 17 Monywa - Tamu</v>
          </cell>
          <cell r="BH545" t="str">
            <v>Camusat</v>
          </cell>
          <cell r="BJ545">
            <v>42132</v>
          </cell>
          <cell r="BK545">
            <v>42130</v>
          </cell>
          <cell r="BL545">
            <v>42137</v>
          </cell>
          <cell r="BM545">
            <v>42141</v>
          </cell>
          <cell r="BT545">
            <v>21</v>
          </cell>
          <cell r="BU545">
            <v>42152</v>
          </cell>
          <cell r="BV545">
            <v>42151</v>
          </cell>
          <cell r="BW545" t="str">
            <v>94.14355</v>
          </cell>
          <cell r="BX545" t="str">
            <v>23.78321</v>
          </cell>
          <cell r="BY545" t="str">
            <v>C1</v>
          </cell>
          <cell r="BZ545" t="str">
            <v>Kham Pat No.(2) Quarter, Tamu Township, Sagaing</v>
          </cell>
          <cell r="CA545" t="str">
            <v>U Van Lar Maw Yar;(2) Quarter, Tamu Township, Sagaing;09-47172287</v>
          </cell>
          <cell r="CB545" t="str">
            <v>28May 15 : C1 SAR approved as an option 1(TND Approved. Fiber implementation will be finished Quarter 4 2015.Before that time, this site can't be on-air.); 27May15: C1 SAR Sub</v>
          </cell>
          <cell r="CE545">
            <v>1</v>
          </cell>
          <cell r="CF545">
            <v>42156</v>
          </cell>
          <cell r="CG545">
            <v>42152</v>
          </cell>
          <cell r="CH545">
            <v>42165</v>
          </cell>
          <cell r="CJ545">
            <v>42164</v>
          </cell>
          <cell r="CK545" t="str">
            <v>35</v>
          </cell>
          <cell r="CL545" t="str">
            <v>37</v>
          </cell>
          <cell r="CM545" t="str">
            <v>50</v>
          </cell>
          <cell r="CN545">
            <v>14</v>
          </cell>
          <cell r="CO545">
            <v>42168</v>
          </cell>
          <cell r="CP545">
            <v>42166</v>
          </cell>
          <cell r="CQ545" t="str">
            <v>M4: solar + DG + battery</v>
          </cell>
          <cell r="CR545">
            <v>1</v>
          </cell>
          <cell r="CS545">
            <v>42169</v>
          </cell>
          <cell r="CT545">
            <v>42167</v>
          </cell>
          <cell r="CU545" t="str">
            <v>SG0424</v>
          </cell>
          <cell r="DH545">
            <v>12</v>
          </cell>
          <cell r="DI545">
            <v>42179</v>
          </cell>
          <cell r="DJ545">
            <v>42179</v>
          </cell>
          <cell r="DK545">
            <v>42176</v>
          </cell>
          <cell r="DL545">
            <v>42168</v>
          </cell>
          <cell r="DM545">
            <v>42180</v>
          </cell>
          <cell r="DO545">
            <v>0</v>
          </cell>
          <cell r="DP545">
            <v>42179</v>
          </cell>
          <cell r="DQ545">
            <v>42179</v>
          </cell>
          <cell r="DT545">
            <v>54</v>
          </cell>
          <cell r="DU545">
            <v>42194</v>
          </cell>
          <cell r="DW545">
            <v>0</v>
          </cell>
          <cell r="DY545">
            <v>42180</v>
          </cell>
          <cell r="EA545" t="str">
            <v>Camusat</v>
          </cell>
          <cell r="EB545">
            <v>42220</v>
          </cell>
          <cell r="EE545" t="str">
            <v xml:space="preserve">10 Aug 15:Flood affected_Hold-No access; 4-Aug-15:As per lessor, site is not flooded but 5 bridges from Kale to Tamu were damaged. Not accessible. It might take months to access these sites								</v>
          </cell>
          <cell r="EJ545">
            <v>0</v>
          </cell>
          <cell r="EK545">
            <v>42197</v>
          </cell>
          <cell r="EM545">
            <v>42198</v>
          </cell>
          <cell r="EQ545">
            <v>42207</v>
          </cell>
          <cell r="EW545">
            <v>0</v>
          </cell>
          <cell r="EX545">
            <v>42214</v>
          </cell>
          <cell r="EZ545">
            <v>42217</v>
          </cell>
          <cell r="FB545">
            <v>42219</v>
          </cell>
          <cell r="FU545">
            <v>42221</v>
          </cell>
          <cell r="FW545">
            <v>42221</v>
          </cell>
          <cell r="GJ545">
            <v>0</v>
          </cell>
          <cell r="GN545" t="str">
            <v>ERICSSON</v>
          </cell>
          <cell r="HD545">
            <v>1</v>
          </cell>
        </row>
        <row r="546">
          <cell r="A546" t="str">
            <v>SG0425</v>
          </cell>
          <cell r="B546" t="str">
            <v>ANSG_0417</v>
          </cell>
          <cell r="C546" t="str">
            <v>Apollo</v>
          </cell>
          <cell r="D546" t="str">
            <v>Adriaan Coetsee</v>
          </cell>
          <cell r="F546" t="str">
            <v>Aung Thu Win</v>
          </cell>
          <cell r="G546" t="str">
            <v>Kyaw Zay Yar</v>
          </cell>
          <cell r="H546" t="str">
            <v>RED</v>
          </cell>
          <cell r="I546" t="str">
            <v>North</v>
          </cell>
          <cell r="J546" t="str">
            <v>94.3081</v>
          </cell>
          <cell r="K546" t="str">
            <v>24.2106</v>
          </cell>
          <cell r="L546" t="str">
            <v>Suburban</v>
          </cell>
          <cell r="M546" t="str">
            <v>Sagaing</v>
          </cell>
          <cell r="N546" t="str">
            <v>Tamu</v>
          </cell>
          <cell r="O546" t="str">
            <v>Tamu</v>
          </cell>
          <cell r="P546" t="str">
            <v>Sagaing</v>
          </cell>
          <cell r="Q546" t="str">
            <v>11</v>
          </cell>
          <cell r="R546" t="str">
            <v>Tamu</v>
          </cell>
          <cell r="S546" t="str">
            <v>71</v>
          </cell>
          <cell r="T546" t="str">
            <v>GSM+UMTS</v>
          </cell>
          <cell r="W546" t="str">
            <v>Ph2-Priority</v>
          </cell>
          <cell r="X546" t="str">
            <v>35</v>
          </cell>
          <cell r="Y546" t="str">
            <v>37</v>
          </cell>
          <cell r="Z546" t="str">
            <v>GBT</v>
          </cell>
          <cell r="AA546" t="str">
            <v>100</v>
          </cell>
          <cell r="AB546" t="str">
            <v>Access</v>
          </cell>
          <cell r="AC546" t="str">
            <v>Class B</v>
          </cell>
          <cell r="BE546" t="str">
            <v>Monywa - Tamu</v>
          </cell>
          <cell r="BH546" t="str">
            <v>Camusat</v>
          </cell>
          <cell r="BJ546">
            <v>42167</v>
          </cell>
          <cell r="BK546">
            <v>42132</v>
          </cell>
          <cell r="BL546">
            <v>42172</v>
          </cell>
          <cell r="BM546">
            <v>42142</v>
          </cell>
          <cell r="BT546">
            <v>20</v>
          </cell>
          <cell r="BU546">
            <v>42185</v>
          </cell>
          <cell r="BV546">
            <v>42152</v>
          </cell>
          <cell r="BW546" t="str">
            <v>94.30762</v>
          </cell>
          <cell r="BX546" t="str">
            <v>24.21154</v>
          </cell>
          <cell r="BY546" t="str">
            <v>C1</v>
          </cell>
          <cell r="BZ546" t="str">
            <v>Saw Bwar (1) Quarter, Tamu Township, Sagaing.</v>
          </cell>
          <cell r="CA546" t="str">
            <v>Daw Date Kho Nate Lan;Saw Bwar (1), Tamu Township, Sagaing;09-400536897</v>
          </cell>
          <cell r="CB546" t="str">
            <v>28May15: C1 SAR Sub</v>
          </cell>
          <cell r="CC546" t="str">
            <v>Farmland</v>
          </cell>
          <cell r="CE546">
            <v>1</v>
          </cell>
          <cell r="CF546">
            <v>42186</v>
          </cell>
          <cell r="CG546">
            <v>42153</v>
          </cell>
          <cell r="CH546">
            <v>42188</v>
          </cell>
          <cell r="CJ546">
            <v>42164</v>
          </cell>
          <cell r="CK546" t="str">
            <v>35</v>
          </cell>
          <cell r="CL546" t="str">
            <v>37</v>
          </cell>
          <cell r="CM546" t="str">
            <v>40</v>
          </cell>
          <cell r="CN546">
            <v>13</v>
          </cell>
          <cell r="CO546">
            <v>42191</v>
          </cell>
          <cell r="CP546">
            <v>42166</v>
          </cell>
          <cell r="CQ546" t="str">
            <v>M1: grid power + battery</v>
          </cell>
          <cell r="CR546">
            <v>1</v>
          </cell>
          <cell r="CS546">
            <v>42192</v>
          </cell>
          <cell r="CT546">
            <v>42167</v>
          </cell>
          <cell r="CU546" t="str">
            <v>SG0425</v>
          </cell>
          <cell r="DH546">
            <v>12</v>
          </cell>
          <cell r="DI546">
            <v>42202</v>
          </cell>
          <cell r="DJ546">
            <v>42179</v>
          </cell>
          <cell r="DK546">
            <v>42199</v>
          </cell>
          <cell r="DL546">
            <v>42168</v>
          </cell>
          <cell r="DM546">
            <v>42203</v>
          </cell>
          <cell r="DN546">
            <v>42200</v>
          </cell>
          <cell r="DO546">
            <v>0</v>
          </cell>
          <cell r="DP546">
            <v>42202</v>
          </cell>
          <cell r="DQ546">
            <v>42179</v>
          </cell>
          <cell r="DT546">
            <v>54</v>
          </cell>
          <cell r="DU546">
            <v>42217</v>
          </cell>
          <cell r="DW546">
            <v>0</v>
          </cell>
          <cell r="DY546">
            <v>42203</v>
          </cell>
          <cell r="DZ546">
            <v>42200</v>
          </cell>
          <cell r="EA546" t="str">
            <v>Camusat</v>
          </cell>
          <cell r="EB546">
            <v>42220</v>
          </cell>
          <cell r="EE546" t="str">
            <v xml:space="preserve">10 Aug 15:Flood affected_Hold-No access; 4-Aug-15:As per lessor, site is not flooded but 5 bridges from Kale to Tamu were damaged. Not accessible. It might take months to access these sites								</v>
          </cell>
          <cell r="EJ546">
            <v>0</v>
          </cell>
          <cell r="EK546">
            <v>42218</v>
          </cell>
          <cell r="EM546">
            <v>42219</v>
          </cell>
          <cell r="EQ546">
            <v>42226</v>
          </cell>
          <cell r="EW546">
            <v>0</v>
          </cell>
          <cell r="EX546">
            <v>42240</v>
          </cell>
          <cell r="EZ546">
            <v>42236</v>
          </cell>
          <cell r="FB546">
            <v>42238</v>
          </cell>
          <cell r="FU546">
            <v>42240</v>
          </cell>
          <cell r="FW546">
            <v>42240</v>
          </cell>
          <cell r="GI546">
            <v>42246</v>
          </cell>
          <cell r="GJ546">
            <v>0</v>
          </cell>
          <cell r="GN546" t="str">
            <v>ERICSSON</v>
          </cell>
          <cell r="HD546">
            <v>1</v>
          </cell>
        </row>
        <row r="547">
          <cell r="A547" t="str">
            <v>SG0426</v>
          </cell>
          <cell r="B547" t="str">
            <v>ANSG_0418</v>
          </cell>
          <cell r="C547" t="str">
            <v>Apollo</v>
          </cell>
          <cell r="D547" t="str">
            <v>Adriaan Coetsee</v>
          </cell>
          <cell r="F547" t="str">
            <v>Aung Thu Win</v>
          </cell>
          <cell r="G547" t="str">
            <v>Kyaw Zay Yar</v>
          </cell>
          <cell r="H547" t="str">
            <v>RED</v>
          </cell>
          <cell r="I547" t="str">
            <v>North</v>
          </cell>
          <cell r="J547" t="str">
            <v>94.3155</v>
          </cell>
          <cell r="K547" t="str">
            <v>24.2223</v>
          </cell>
          <cell r="L547" t="str">
            <v>Suburban</v>
          </cell>
          <cell r="M547" t="str">
            <v>Sagaing</v>
          </cell>
          <cell r="N547" t="str">
            <v>Tamu</v>
          </cell>
          <cell r="O547" t="str">
            <v>Tamu</v>
          </cell>
          <cell r="P547" t="str">
            <v>Sagaing</v>
          </cell>
          <cell r="Q547" t="str">
            <v>11</v>
          </cell>
          <cell r="R547" t="str">
            <v>Tamu</v>
          </cell>
          <cell r="S547" t="str">
            <v>71</v>
          </cell>
          <cell r="T547" t="str">
            <v>GSM+UMTS</v>
          </cell>
          <cell r="W547" t="str">
            <v>Ph2-Priority</v>
          </cell>
          <cell r="X547" t="str">
            <v>35</v>
          </cell>
          <cell r="Y547" t="str">
            <v>37</v>
          </cell>
          <cell r="Z547" t="str">
            <v>GBT</v>
          </cell>
          <cell r="AA547" t="str">
            <v>250</v>
          </cell>
          <cell r="AB547" t="str">
            <v>Access</v>
          </cell>
          <cell r="AC547" t="str">
            <v>Class B</v>
          </cell>
          <cell r="BE547" t="str">
            <v>Monywa - Tamu</v>
          </cell>
          <cell r="BH547" t="str">
            <v>Camusat</v>
          </cell>
          <cell r="BJ547">
            <v>42136</v>
          </cell>
          <cell r="BK547">
            <v>42130</v>
          </cell>
          <cell r="BL547">
            <v>42141</v>
          </cell>
          <cell r="BM547">
            <v>42141</v>
          </cell>
          <cell r="BT547">
            <v>21</v>
          </cell>
          <cell r="BU547">
            <v>42185</v>
          </cell>
          <cell r="BV547">
            <v>42151</v>
          </cell>
          <cell r="BW547" t="str">
            <v>94.31615</v>
          </cell>
          <cell r="BX547" t="str">
            <v>24.22113</v>
          </cell>
          <cell r="BY547" t="str">
            <v>C1</v>
          </cell>
          <cell r="BZ547" t="str">
            <v>Myat Thu Kha Road, Myoma (2) Quarter, Tamu Township, Sagaing.</v>
          </cell>
          <cell r="CA547" t="str">
            <v>Daw Khin Win;Myoma (2), Myoma Quarter, Tamu Township, Sagaing;09-400551779</v>
          </cell>
          <cell r="CB547" t="str">
            <v>27May15: C1 SAR Sub</v>
          </cell>
          <cell r="CC547" t="str">
            <v>Village</v>
          </cell>
          <cell r="CE547">
            <v>1</v>
          </cell>
          <cell r="CF547">
            <v>42186</v>
          </cell>
          <cell r="CG547">
            <v>42152</v>
          </cell>
          <cell r="CH547">
            <v>42188</v>
          </cell>
          <cell r="CJ547">
            <v>42164</v>
          </cell>
          <cell r="CK547" t="str">
            <v>35</v>
          </cell>
          <cell r="CL547" t="str">
            <v>37</v>
          </cell>
          <cell r="CM547" t="str">
            <v>40</v>
          </cell>
          <cell r="CN547">
            <v>14</v>
          </cell>
          <cell r="CO547">
            <v>42191</v>
          </cell>
          <cell r="CP547">
            <v>42166</v>
          </cell>
          <cell r="CQ547" t="str">
            <v>M4: solar + DG + battery</v>
          </cell>
          <cell r="CR547">
            <v>4</v>
          </cell>
          <cell r="CS547">
            <v>42192</v>
          </cell>
          <cell r="CT547">
            <v>42170</v>
          </cell>
          <cell r="CU547" t="str">
            <v>SG0426</v>
          </cell>
          <cell r="DH547">
            <v>9</v>
          </cell>
          <cell r="DI547">
            <v>42202</v>
          </cell>
          <cell r="DJ547">
            <v>42179</v>
          </cell>
          <cell r="DK547">
            <v>42199</v>
          </cell>
          <cell r="DL547">
            <v>42179</v>
          </cell>
          <cell r="DM547">
            <v>42203</v>
          </cell>
          <cell r="DO547">
            <v>0</v>
          </cell>
          <cell r="DP547">
            <v>42202</v>
          </cell>
          <cell r="DQ547">
            <v>42179</v>
          </cell>
          <cell r="DT547">
            <v>54</v>
          </cell>
          <cell r="DU547">
            <v>42217</v>
          </cell>
          <cell r="DW547">
            <v>0</v>
          </cell>
          <cell r="DY547">
            <v>42203</v>
          </cell>
          <cell r="DZ547">
            <v>42228</v>
          </cell>
          <cell r="EA547" t="str">
            <v>Camusat</v>
          </cell>
          <cell r="EB547">
            <v>42220</v>
          </cell>
          <cell r="EE547" t="str">
            <v xml:space="preserve">10 Aug 15:Flood affected_Hold-No access; 4-Aug-15:As per lessor, site is not flooded but 5 bridges from Kale to Tamu were damaged. Not accessible. It might take months to access these sites								</v>
          </cell>
          <cell r="EJ547">
            <v>0</v>
          </cell>
          <cell r="EK547">
            <v>42218</v>
          </cell>
          <cell r="EM547">
            <v>42219</v>
          </cell>
          <cell r="EQ547">
            <v>42226</v>
          </cell>
          <cell r="EW547">
            <v>0</v>
          </cell>
          <cell r="EX547">
            <v>42240</v>
          </cell>
          <cell r="EZ547">
            <v>42236</v>
          </cell>
          <cell r="FB547">
            <v>42238</v>
          </cell>
          <cell r="FU547">
            <v>42240</v>
          </cell>
          <cell r="FW547">
            <v>42240</v>
          </cell>
          <cell r="GJ547">
            <v>0</v>
          </cell>
          <cell r="GN547" t="str">
            <v>ERICSSON</v>
          </cell>
          <cell r="HD547">
            <v>1</v>
          </cell>
        </row>
        <row r="548">
          <cell r="A548" t="str">
            <v>SG0427</v>
          </cell>
          <cell r="B548" t="str">
            <v>ANSG_0445</v>
          </cell>
          <cell r="C548" t="str">
            <v>Apollo</v>
          </cell>
          <cell r="D548" t="str">
            <v>Adriaan Coetsee</v>
          </cell>
          <cell r="F548" t="str">
            <v>Aung Thu Win</v>
          </cell>
          <cell r="G548" t="str">
            <v>Kyaw Zay Yar</v>
          </cell>
          <cell r="H548" t="str">
            <v>YELLOW</v>
          </cell>
          <cell r="I548" t="str">
            <v>North</v>
          </cell>
          <cell r="J548" t="str">
            <v>95.6167779</v>
          </cell>
          <cell r="K548" t="str">
            <v>22.76992287</v>
          </cell>
          <cell r="L548" t="str">
            <v>SubUrban</v>
          </cell>
          <cell r="M548" t="str">
            <v>Sagaing</v>
          </cell>
          <cell r="N548" t="str">
            <v>Khin-U</v>
          </cell>
          <cell r="O548" t="str">
            <v>Khin-U</v>
          </cell>
          <cell r="P548" t="str">
            <v>Sagaing</v>
          </cell>
          <cell r="Q548" t="str">
            <v>11</v>
          </cell>
          <cell r="R548" t="str">
            <v>Khin-U</v>
          </cell>
          <cell r="S548" t="str">
            <v>46</v>
          </cell>
          <cell r="T548" t="str">
            <v>GSM+UMTS</v>
          </cell>
          <cell r="W548" t="str">
            <v>Ph2-Priority</v>
          </cell>
          <cell r="X548" t="str">
            <v>35</v>
          </cell>
          <cell r="Y548" t="str">
            <v>37</v>
          </cell>
          <cell r="Z548" t="str">
            <v>GBT</v>
          </cell>
          <cell r="AA548" t="str">
            <v>250</v>
          </cell>
          <cell r="AB548" t="str">
            <v>Access</v>
          </cell>
          <cell r="AC548" t="str">
            <v>Class B</v>
          </cell>
          <cell r="BE548" t="str">
            <v>Route 10 Mandalay - Myitkyina</v>
          </cell>
          <cell r="BH548" t="str">
            <v>Camusat</v>
          </cell>
          <cell r="BJ548">
            <v>42133</v>
          </cell>
          <cell r="BK548">
            <v>42130</v>
          </cell>
          <cell r="BL548">
            <v>42138</v>
          </cell>
          <cell r="BM548">
            <v>42139</v>
          </cell>
          <cell r="BT548">
            <v>19</v>
          </cell>
          <cell r="BU548">
            <v>42152</v>
          </cell>
          <cell r="BV548">
            <v>42149</v>
          </cell>
          <cell r="BW548" t="str">
            <v>95.61711</v>
          </cell>
          <cell r="BX548" t="str">
            <v>22.7679</v>
          </cell>
          <cell r="BY548" t="str">
            <v>C1</v>
          </cell>
          <cell r="BZ548" t="str">
            <v>No(491), Plot No_267, Mya Kan Thar Quarter, Khin Oo,Sagaing .</v>
          </cell>
          <cell r="CA548" t="str">
            <v>U Hla Maung;No(491), Plot No_267, Mya Kan Thar Quarter, Khin Oo Town, Shwe Bo District, Sagaing Division;09-250094766/09-250192134</v>
          </cell>
          <cell r="CB548" t="str">
            <v>25May15: C1 SAR Sub</v>
          </cell>
          <cell r="CC548" t="str">
            <v>village</v>
          </cell>
          <cell r="CE548">
            <v>1</v>
          </cell>
          <cell r="CF548">
            <v>42153</v>
          </cell>
          <cell r="CG548">
            <v>42150</v>
          </cell>
          <cell r="CH548">
            <v>42157</v>
          </cell>
          <cell r="CJ548">
            <v>42168</v>
          </cell>
          <cell r="CK548" t="str">
            <v>35</v>
          </cell>
          <cell r="CL548" t="str">
            <v>37</v>
          </cell>
          <cell r="CM548" t="str">
            <v>40</v>
          </cell>
          <cell r="CN548">
            <v>20</v>
          </cell>
          <cell r="CO548">
            <v>42160</v>
          </cell>
          <cell r="CP548">
            <v>42170</v>
          </cell>
          <cell r="CQ548" t="str">
            <v>M1: grid power + battery</v>
          </cell>
          <cell r="CR548">
            <v>1</v>
          </cell>
          <cell r="CS548">
            <v>42161</v>
          </cell>
          <cell r="CT548">
            <v>42171</v>
          </cell>
          <cell r="CU548" t="str">
            <v>SG0427</v>
          </cell>
          <cell r="DH548">
            <v>14</v>
          </cell>
          <cell r="DI548">
            <v>42171</v>
          </cell>
          <cell r="DJ548">
            <v>42185</v>
          </cell>
          <cell r="DK548">
            <v>42168</v>
          </cell>
          <cell r="DL548">
            <v>42168</v>
          </cell>
          <cell r="DM548">
            <v>42172</v>
          </cell>
          <cell r="DN548">
            <v>42187</v>
          </cell>
          <cell r="DO548">
            <v>0</v>
          </cell>
          <cell r="DP548">
            <v>42171</v>
          </cell>
          <cell r="DQ548">
            <v>42185</v>
          </cell>
          <cell r="DT548">
            <v>48</v>
          </cell>
          <cell r="DU548">
            <v>42186</v>
          </cell>
          <cell r="DW548">
            <v>0</v>
          </cell>
          <cell r="DY548">
            <v>42172</v>
          </cell>
          <cell r="DZ548">
            <v>42186</v>
          </cell>
          <cell r="EA548" t="str">
            <v>Camusat</v>
          </cell>
          <cell r="EJ548">
            <v>18</v>
          </cell>
          <cell r="EK548">
            <v>42187</v>
          </cell>
          <cell r="EL548">
            <v>42204</v>
          </cell>
          <cell r="EM548">
            <v>42188</v>
          </cell>
          <cell r="EN548">
            <v>42235</v>
          </cell>
          <cell r="EQ548">
            <v>42195</v>
          </cell>
          <cell r="ER548">
            <v>42241</v>
          </cell>
          <cell r="ES548">
            <v>42233</v>
          </cell>
          <cell r="ET548">
            <v>42243</v>
          </cell>
          <cell r="EU548">
            <v>42243</v>
          </cell>
          <cell r="EW548">
            <v>47</v>
          </cell>
          <cell r="EX548">
            <v>42209</v>
          </cell>
          <cell r="EZ548">
            <v>42205</v>
          </cell>
          <cell r="FA548">
            <v>42234</v>
          </cell>
          <cell r="FB548">
            <v>42207</v>
          </cell>
          <cell r="FC548">
            <v>42247</v>
          </cell>
          <cell r="FU548">
            <v>42209</v>
          </cell>
          <cell r="FW548">
            <v>42209</v>
          </cell>
          <cell r="FX548">
            <v>42247</v>
          </cell>
          <cell r="FY548" t="str">
            <v>EM</v>
          </cell>
          <cell r="FZ548">
            <v>42241</v>
          </cell>
          <cell r="GA548">
            <v>42244</v>
          </cell>
          <cell r="GI548">
            <v>42246</v>
          </cell>
          <cell r="GJ548" t="str">
            <v>36-2015</v>
          </cell>
          <cell r="GN548" t="str">
            <v>ERICSSON</v>
          </cell>
          <cell r="GO548">
            <v>42187</v>
          </cell>
          <cell r="HD548">
            <v>1</v>
          </cell>
        </row>
        <row r="549">
          <cell r="A549" t="str">
            <v>SG0429</v>
          </cell>
          <cell r="B549" t="str">
            <v>ANSG_0420</v>
          </cell>
          <cell r="C549" t="str">
            <v>Apollo</v>
          </cell>
          <cell r="D549" t="str">
            <v>Adriaan Coetsee</v>
          </cell>
          <cell r="F549" t="str">
            <v>Aung Thu Win</v>
          </cell>
          <cell r="G549" t="str">
            <v>Kyaw Zay Yar</v>
          </cell>
          <cell r="H549" t="str">
            <v>YELLOW</v>
          </cell>
          <cell r="I549" t="str">
            <v>North</v>
          </cell>
          <cell r="J549" t="str">
            <v>95.2668</v>
          </cell>
          <cell r="K549" t="str">
            <v>21.9656</v>
          </cell>
          <cell r="L549" t="str">
            <v>SubUrban</v>
          </cell>
          <cell r="M549" t="str">
            <v>Sagaing</v>
          </cell>
          <cell r="N549" t="str">
            <v>Chaung-U</v>
          </cell>
          <cell r="O549" t="str">
            <v>Chaung-U</v>
          </cell>
          <cell r="P549" t="str">
            <v>Sagaing</v>
          </cell>
          <cell r="Q549" t="str">
            <v>11</v>
          </cell>
          <cell r="R549" t="str">
            <v>Chaung-U</v>
          </cell>
          <cell r="S549" t="str">
            <v>56</v>
          </cell>
          <cell r="T549" t="str">
            <v>GSM+UMTS</v>
          </cell>
          <cell r="W549" t="str">
            <v>Ph2-Priority</v>
          </cell>
          <cell r="X549" t="str">
            <v>35</v>
          </cell>
          <cell r="Y549" t="str">
            <v>37</v>
          </cell>
          <cell r="Z549" t="str">
            <v>GBT</v>
          </cell>
          <cell r="AA549" t="str">
            <v>250</v>
          </cell>
          <cell r="AB549" t="str">
            <v>Access</v>
          </cell>
          <cell r="AC549" t="str">
            <v>Class B</v>
          </cell>
          <cell r="BE549" t="str">
            <v>Route 6 Mandalay - Monywa</v>
          </cell>
          <cell r="BH549" t="str">
            <v>Camusat</v>
          </cell>
          <cell r="BJ549">
            <v>42165</v>
          </cell>
          <cell r="BK549">
            <v>42139</v>
          </cell>
          <cell r="BL549">
            <v>42170</v>
          </cell>
          <cell r="BM549">
            <v>42146</v>
          </cell>
          <cell r="BT549">
            <v>17</v>
          </cell>
          <cell r="BU549">
            <v>42194</v>
          </cell>
          <cell r="BV549">
            <v>42156</v>
          </cell>
          <cell r="BW549" t="str">
            <v>95.26594</v>
          </cell>
          <cell r="BX549" t="str">
            <v>21.966265</v>
          </cell>
          <cell r="BY549" t="str">
            <v>C1</v>
          </cell>
          <cell r="BZ549" t="str">
            <v>North of Chaung Oo Quarter, Chaung Oo township, Sagaing Division.</v>
          </cell>
          <cell r="CA549" t="str">
            <v>U Aung Than Oo;Chaung OO North Ward, Chaung Oo township, Sagaing division;09-400459673</v>
          </cell>
          <cell r="CB549" t="str">
            <v>1May15: C1 SAR Sub</v>
          </cell>
          <cell r="CC549" t="str">
            <v>Farmland</v>
          </cell>
          <cell r="CE549">
            <v>1</v>
          </cell>
          <cell r="CF549">
            <v>42195</v>
          </cell>
          <cell r="CG549">
            <v>42157</v>
          </cell>
          <cell r="CH549">
            <v>42197</v>
          </cell>
          <cell r="CJ549">
            <v>42164</v>
          </cell>
          <cell r="CK549" t="str">
            <v>35</v>
          </cell>
          <cell r="CL549" t="str">
            <v>37</v>
          </cell>
          <cell r="CM549" t="str">
            <v>40</v>
          </cell>
          <cell r="CN549">
            <v>9</v>
          </cell>
          <cell r="CO549">
            <v>42200</v>
          </cell>
          <cell r="CP549">
            <v>42166</v>
          </cell>
          <cell r="CQ549" t="str">
            <v>M1: grid power + battery</v>
          </cell>
          <cell r="CR549">
            <v>1</v>
          </cell>
          <cell r="CS549">
            <v>42201</v>
          </cell>
          <cell r="CT549">
            <v>42167</v>
          </cell>
          <cell r="CU549" t="str">
            <v>SG0429</v>
          </cell>
          <cell r="DH549">
            <v>14</v>
          </cell>
          <cell r="DI549">
            <v>42211</v>
          </cell>
          <cell r="DJ549">
            <v>42181</v>
          </cell>
          <cell r="DK549">
            <v>42208</v>
          </cell>
          <cell r="DL549">
            <v>42172</v>
          </cell>
          <cell r="DM549">
            <v>42212</v>
          </cell>
          <cell r="DN549">
            <v>42187</v>
          </cell>
          <cell r="DO549">
            <v>0</v>
          </cell>
          <cell r="DP549">
            <v>42211</v>
          </cell>
          <cell r="DQ549">
            <v>42181</v>
          </cell>
          <cell r="DT549">
            <v>52</v>
          </cell>
          <cell r="DU549">
            <v>42226</v>
          </cell>
          <cell r="DW549">
            <v>0</v>
          </cell>
          <cell r="DY549">
            <v>42212</v>
          </cell>
          <cell r="DZ549">
            <v>42188</v>
          </cell>
          <cell r="EA549" t="str">
            <v>Camusat</v>
          </cell>
          <cell r="ED549" t="str">
            <v xml:space="preserve">25Jul15 :KyawZay.Yar: Rebar for column done.Form work will start today.
</v>
          </cell>
          <cell r="EJ549">
            <v>32</v>
          </cell>
          <cell r="EK549">
            <v>42227</v>
          </cell>
          <cell r="EL549">
            <v>42220</v>
          </cell>
          <cell r="EM549">
            <v>42228</v>
          </cell>
          <cell r="EN549">
            <v>42235</v>
          </cell>
          <cell r="EQ549">
            <v>42235</v>
          </cell>
          <cell r="ER549">
            <v>42241</v>
          </cell>
          <cell r="ES549">
            <v>42233</v>
          </cell>
          <cell r="ET549">
            <v>42244</v>
          </cell>
          <cell r="EU549">
            <v>42244</v>
          </cell>
          <cell r="EW549">
            <v>45</v>
          </cell>
          <cell r="EX549">
            <v>42249</v>
          </cell>
          <cell r="EZ549">
            <v>42245</v>
          </cell>
          <cell r="FA549">
            <v>42241</v>
          </cell>
          <cell r="FB549">
            <v>42247</v>
          </cell>
          <cell r="FC549">
            <v>42244</v>
          </cell>
          <cell r="FU549">
            <v>42249</v>
          </cell>
          <cell r="FW549">
            <v>42249</v>
          </cell>
          <cell r="FX549">
            <v>42244</v>
          </cell>
          <cell r="FY549" t="str">
            <v>AZM</v>
          </cell>
          <cell r="FZ549">
            <v>42238</v>
          </cell>
          <cell r="GA549">
            <v>42243</v>
          </cell>
          <cell r="GB549">
            <v>42244</v>
          </cell>
          <cell r="GC549">
            <v>42245</v>
          </cell>
          <cell r="GD549">
            <v>42245</v>
          </cell>
          <cell r="GE549">
            <v>42245</v>
          </cell>
          <cell r="GI549">
            <v>42277</v>
          </cell>
          <cell r="GJ549" t="str">
            <v>40-2015</v>
          </cell>
          <cell r="GN549" t="str">
            <v>ERICSSON</v>
          </cell>
          <cell r="GP549">
            <v>42206</v>
          </cell>
          <cell r="HD549">
            <v>1</v>
          </cell>
        </row>
        <row r="550">
          <cell r="A550" t="str">
            <v>SG0430</v>
          </cell>
          <cell r="B550" t="str">
            <v>ANSG_0446</v>
          </cell>
          <cell r="C550" t="str">
            <v>Apollo</v>
          </cell>
          <cell r="D550" t="str">
            <v>Adriaan Coetsee</v>
          </cell>
          <cell r="F550" t="str">
            <v>Aung Thu Win</v>
          </cell>
          <cell r="G550" t="str">
            <v>Kyaw Zay Yar</v>
          </cell>
          <cell r="H550" t="str">
            <v>RED</v>
          </cell>
          <cell r="I550" t="str">
            <v>North</v>
          </cell>
          <cell r="J550" t="str">
            <v>94.935567</v>
          </cell>
          <cell r="K550" t="str">
            <v>24.863564</v>
          </cell>
          <cell r="L550" t="str">
            <v>Suburban</v>
          </cell>
          <cell r="M550" t="str">
            <v>Sagaing</v>
          </cell>
          <cell r="N550" t="str">
            <v>Homalin</v>
          </cell>
          <cell r="O550" t="str">
            <v>Homalin</v>
          </cell>
          <cell r="P550" t="str">
            <v>Sagaing</v>
          </cell>
          <cell r="Q550" t="str">
            <v>11</v>
          </cell>
          <cell r="R550" t="str">
            <v>Homalin</v>
          </cell>
          <cell r="S550" t="str">
            <v>75</v>
          </cell>
          <cell r="T550" t="str">
            <v>GSM+UMTS</v>
          </cell>
          <cell r="W550" t="str">
            <v>Ph2-Priority</v>
          </cell>
          <cell r="X550" t="str">
            <v>35</v>
          </cell>
          <cell r="Y550" t="str">
            <v>37</v>
          </cell>
          <cell r="Z550" t="str">
            <v>GBT</v>
          </cell>
          <cell r="AA550" t="str">
            <v>250</v>
          </cell>
          <cell r="AB550" t="str">
            <v>Access</v>
          </cell>
          <cell r="AC550" t="str">
            <v>Class B</v>
          </cell>
          <cell r="BE550" t="str">
            <v>NPT Metro</v>
          </cell>
          <cell r="BH550" t="str">
            <v>Camusat</v>
          </cell>
          <cell r="BJ550">
            <v>42165</v>
          </cell>
          <cell r="BK550">
            <v>42157</v>
          </cell>
          <cell r="BL550">
            <v>42170</v>
          </cell>
          <cell r="BM550">
            <v>42164</v>
          </cell>
          <cell r="BT550">
            <v>17</v>
          </cell>
          <cell r="BU550">
            <v>42185</v>
          </cell>
          <cell r="BV550">
            <v>42174</v>
          </cell>
          <cell r="BW550" t="str">
            <v>94.93062</v>
          </cell>
          <cell r="BX550" t="str">
            <v>24.86389</v>
          </cell>
          <cell r="BY550" t="str">
            <v>C1</v>
          </cell>
          <cell r="BZ550" t="str">
            <v>Tha Pyay Pin Village, Zee Pin Kone Village Group, Monywa Township, Sagaing Division.</v>
          </cell>
          <cell r="CA550" t="str">
            <v>U Myint Maw;Tha Pyay Pin Su Village, Zee Gone Village Group, Monywa Township, Sagaing Division;09-256050332,09-33779345</v>
          </cell>
          <cell r="CB550" t="str">
            <v>6 July 15 : C1 SAR approved as an option 1 and Apollo can support 70 M Tower(  TND approved with 70M and 1.8m MW antenna for SG0430 and SG0445),(RND approved with 35m / 37m GBT as priority 1. This site is 500m far from the nominal point. Although it is far from nominal , it can cover the rural and population area.);19Jun15: C1 SAR Sub</v>
          </cell>
          <cell r="CC550" t="str">
            <v>Residential</v>
          </cell>
          <cell r="CE550">
            <v>17</v>
          </cell>
          <cell r="CF550">
            <v>42186</v>
          </cell>
          <cell r="CG550">
            <v>42191</v>
          </cell>
          <cell r="CH550">
            <v>42188</v>
          </cell>
          <cell r="CN550">
            <v>42</v>
          </cell>
          <cell r="CO550">
            <v>42191</v>
          </cell>
          <cell r="CQ550" t="str">
            <v>M4: solar + DG + battery</v>
          </cell>
          <cell r="CR550">
            <v>0</v>
          </cell>
          <cell r="CS550">
            <v>42192</v>
          </cell>
          <cell r="CU550" t="str">
            <v>SG0430</v>
          </cell>
          <cell r="DH550">
            <v>0</v>
          </cell>
          <cell r="DI550">
            <v>42202</v>
          </cell>
          <cell r="DK550">
            <v>42199</v>
          </cell>
          <cell r="DL550">
            <v>42242</v>
          </cell>
          <cell r="DM550">
            <v>42203</v>
          </cell>
          <cell r="DO550">
            <v>0</v>
          </cell>
          <cell r="DP550">
            <v>42202</v>
          </cell>
          <cell r="DT550">
            <v>0</v>
          </cell>
          <cell r="DU550">
            <v>42217</v>
          </cell>
          <cell r="DW550">
            <v>0</v>
          </cell>
          <cell r="DY550">
            <v>42203</v>
          </cell>
          <cell r="EA550" t="str">
            <v>Camusat</v>
          </cell>
          <cell r="EJ550">
            <v>0</v>
          </cell>
          <cell r="EK550">
            <v>42218</v>
          </cell>
          <cell r="EM550">
            <v>42219</v>
          </cell>
          <cell r="EQ550">
            <v>42226</v>
          </cell>
          <cell r="EW550">
            <v>0</v>
          </cell>
          <cell r="EX550">
            <v>42240</v>
          </cell>
          <cell r="EZ550">
            <v>42236</v>
          </cell>
          <cell r="FB550">
            <v>42238</v>
          </cell>
          <cell r="FU550">
            <v>42240</v>
          </cell>
          <cell r="FW550">
            <v>42240</v>
          </cell>
          <cell r="GJ550">
            <v>0</v>
          </cell>
          <cell r="GN550" t="str">
            <v>ERICSSON</v>
          </cell>
          <cell r="HD550">
            <v>1</v>
          </cell>
        </row>
        <row r="551">
          <cell r="A551" t="str">
            <v>SG0431</v>
          </cell>
          <cell r="B551" t="str">
            <v>ANSG_0447</v>
          </cell>
          <cell r="C551" t="str">
            <v>Apollo</v>
          </cell>
          <cell r="D551" t="str">
            <v>Adriaan Coetsee</v>
          </cell>
          <cell r="F551" t="str">
            <v>Aung Thu Win</v>
          </cell>
          <cell r="G551" t="str">
            <v>Kyaw Zay Yar</v>
          </cell>
          <cell r="H551" t="str">
            <v>RED</v>
          </cell>
          <cell r="I551" t="str">
            <v>North</v>
          </cell>
          <cell r="J551" t="str">
            <v>94.917197</v>
          </cell>
          <cell r="K551" t="str">
            <v>24.88086</v>
          </cell>
          <cell r="L551" t="str">
            <v>Suburban</v>
          </cell>
          <cell r="M551" t="str">
            <v>Sagaing</v>
          </cell>
          <cell r="N551" t="str">
            <v>Homalin</v>
          </cell>
          <cell r="O551" t="str">
            <v>Homalin</v>
          </cell>
          <cell r="P551" t="str">
            <v>Sagaing</v>
          </cell>
          <cell r="Q551" t="str">
            <v>11</v>
          </cell>
          <cell r="R551" t="str">
            <v>Homalin</v>
          </cell>
          <cell r="S551" t="str">
            <v>75</v>
          </cell>
          <cell r="T551" t="str">
            <v>GSM+UMTS</v>
          </cell>
          <cell r="W551" t="str">
            <v>Ph2-Priority</v>
          </cell>
          <cell r="X551" t="str">
            <v>35</v>
          </cell>
          <cell r="Y551" t="str">
            <v>37</v>
          </cell>
          <cell r="Z551" t="str">
            <v>GBT</v>
          </cell>
          <cell r="AA551" t="str">
            <v>250</v>
          </cell>
          <cell r="AB551" t="str">
            <v>Access</v>
          </cell>
          <cell r="AC551" t="str">
            <v>Class B</v>
          </cell>
          <cell r="BH551" t="str">
            <v>Camusat</v>
          </cell>
          <cell r="BJ551">
            <v>42165</v>
          </cell>
          <cell r="BK551">
            <v>42157</v>
          </cell>
          <cell r="BL551">
            <v>42170</v>
          </cell>
          <cell r="BM551">
            <v>42164</v>
          </cell>
          <cell r="BT551">
            <v>17</v>
          </cell>
          <cell r="BU551">
            <v>42185</v>
          </cell>
          <cell r="BV551">
            <v>42174</v>
          </cell>
          <cell r="BW551" t="str">
            <v>94.91515</v>
          </cell>
          <cell r="BX551" t="str">
            <v>24.877542</v>
          </cell>
          <cell r="BY551" t="str">
            <v>C1</v>
          </cell>
          <cell r="BZ551" t="str">
            <v>Naungpakyat Quarter, Honemalin Township, Sagaing Division</v>
          </cell>
          <cell r="CA551" t="str">
            <v>U Htay Aung</v>
          </cell>
          <cell r="CB551" t="str">
            <v>19Jun15: C1 SAR Sub</v>
          </cell>
          <cell r="CC551" t="str">
            <v>Town</v>
          </cell>
          <cell r="CE551">
            <v>10</v>
          </cell>
          <cell r="CF551">
            <v>42186</v>
          </cell>
          <cell r="CG551">
            <v>42184</v>
          </cell>
          <cell r="CH551">
            <v>42188</v>
          </cell>
          <cell r="CJ551">
            <v>42212</v>
          </cell>
          <cell r="CK551" t="str">
            <v>35</v>
          </cell>
          <cell r="CL551" t="str">
            <v>37</v>
          </cell>
          <cell r="CM551" t="str">
            <v>40</v>
          </cell>
          <cell r="CN551">
            <v>30</v>
          </cell>
          <cell r="CO551">
            <v>42191</v>
          </cell>
          <cell r="CP551">
            <v>42214</v>
          </cell>
          <cell r="CQ551" t="str">
            <v>M1: grid power + battery</v>
          </cell>
          <cell r="CR551">
            <v>1</v>
          </cell>
          <cell r="CS551">
            <v>42192</v>
          </cell>
          <cell r="CT551">
            <v>42215</v>
          </cell>
          <cell r="CU551" t="str">
            <v>SG0431</v>
          </cell>
          <cell r="DH551">
            <v>18</v>
          </cell>
          <cell r="DI551">
            <v>42202</v>
          </cell>
          <cell r="DK551">
            <v>42199</v>
          </cell>
          <cell r="DL551">
            <v>42242</v>
          </cell>
          <cell r="DM551">
            <v>42203</v>
          </cell>
          <cell r="DO551">
            <v>0</v>
          </cell>
          <cell r="DP551">
            <v>42202</v>
          </cell>
          <cell r="DT551">
            <v>0</v>
          </cell>
          <cell r="DU551">
            <v>42217</v>
          </cell>
          <cell r="DW551">
            <v>0</v>
          </cell>
          <cell r="DY551">
            <v>42203</v>
          </cell>
          <cell r="DZ551">
            <v>42234</v>
          </cell>
          <cell r="EA551" t="str">
            <v>Camusat</v>
          </cell>
          <cell r="EJ551">
            <v>0</v>
          </cell>
          <cell r="EK551">
            <v>42218</v>
          </cell>
          <cell r="EM551">
            <v>42219</v>
          </cell>
          <cell r="EQ551">
            <v>42226</v>
          </cell>
          <cell r="EW551">
            <v>0</v>
          </cell>
          <cell r="EX551">
            <v>42240</v>
          </cell>
          <cell r="EZ551">
            <v>42236</v>
          </cell>
          <cell r="FB551">
            <v>42238</v>
          </cell>
          <cell r="FU551">
            <v>42240</v>
          </cell>
          <cell r="FW551">
            <v>42240</v>
          </cell>
          <cell r="GJ551">
            <v>0</v>
          </cell>
          <cell r="GN551" t="str">
            <v>ERICSSON</v>
          </cell>
          <cell r="HD551">
            <v>1</v>
          </cell>
        </row>
        <row r="552">
          <cell r="A552" t="str">
            <v>SG0448</v>
          </cell>
          <cell r="B552" t="str">
            <v>ANSG_0448</v>
          </cell>
          <cell r="C552" t="str">
            <v>Apollo</v>
          </cell>
          <cell r="D552" t="str">
            <v>Adriaan Coetsee</v>
          </cell>
          <cell r="F552" t="str">
            <v>Aung Thu Win</v>
          </cell>
          <cell r="G552" t="str">
            <v>Kyaw Zay Yar</v>
          </cell>
          <cell r="H552" t="str">
            <v>YELLOW</v>
          </cell>
          <cell r="I552" t="str">
            <v>North</v>
          </cell>
          <cell r="J552" t="str">
            <v>95.214893</v>
          </cell>
          <cell r="K552" t="str">
            <v>22.118133</v>
          </cell>
          <cell r="L552" t="str">
            <v>Rural</v>
          </cell>
          <cell r="M552" t="str">
            <v>Sagaing</v>
          </cell>
          <cell r="N552" t="str">
            <v>Monywa</v>
          </cell>
          <cell r="O552" t="str">
            <v>Monywa</v>
          </cell>
          <cell r="P552" t="str">
            <v>Sagaing</v>
          </cell>
          <cell r="Q552" t="str">
            <v>11</v>
          </cell>
          <cell r="R552" t="str">
            <v>Monywa</v>
          </cell>
          <cell r="S552" t="str">
            <v>53</v>
          </cell>
          <cell r="T552" t="str">
            <v>GSM+UMTS</v>
          </cell>
          <cell r="W552" t="str">
            <v>Ph2-Priority</v>
          </cell>
          <cell r="X552" t="str">
            <v>45</v>
          </cell>
          <cell r="Y552" t="str">
            <v>47</v>
          </cell>
          <cell r="Z552" t="str">
            <v>GBT</v>
          </cell>
          <cell r="AA552" t="str">
            <v>500</v>
          </cell>
          <cell r="AB552" t="str">
            <v>Access</v>
          </cell>
          <cell r="AC552" t="str">
            <v>Class C</v>
          </cell>
          <cell r="BH552" t="str">
            <v>Camusat</v>
          </cell>
          <cell r="BJ552">
            <v>42155</v>
          </cell>
          <cell r="BK552">
            <v>42130</v>
          </cell>
          <cell r="BL552">
            <v>42160</v>
          </cell>
          <cell r="BM552">
            <v>42137</v>
          </cell>
          <cell r="BT552">
            <v>17</v>
          </cell>
          <cell r="BU552">
            <v>42166</v>
          </cell>
          <cell r="BV552">
            <v>42147</v>
          </cell>
          <cell r="BW552" t="str">
            <v>95.21529</v>
          </cell>
          <cell r="BX552" t="str">
            <v>22.11841</v>
          </cell>
          <cell r="BY552" t="str">
            <v>C1</v>
          </cell>
          <cell r="BZ552" t="str">
            <v>Tha Pyay Pin Su Village, Zee Gone Village Group, Monywa Township, Sagaing.</v>
          </cell>
          <cell r="CA552" t="str">
            <v>U Myint Maw;Tha Pyay Pin Su Village, Zee Gone Village Group, Monywa Township, Sagaing Division;09-256050332,09-33779345</v>
          </cell>
          <cell r="CB552" t="str">
            <v>23May15: C1 SAR Sub</v>
          </cell>
          <cell r="CC552" t="str">
            <v>VILLAGE LAND</v>
          </cell>
          <cell r="CE552">
            <v>3</v>
          </cell>
          <cell r="CF552">
            <v>42167</v>
          </cell>
          <cell r="CG552">
            <v>42150</v>
          </cell>
          <cell r="CH552">
            <v>42169</v>
          </cell>
          <cell r="CJ552">
            <v>42157</v>
          </cell>
          <cell r="CK552" t="str">
            <v>45</v>
          </cell>
          <cell r="CL552" t="str">
            <v>47</v>
          </cell>
          <cell r="CM552" t="str">
            <v>50</v>
          </cell>
          <cell r="CN552">
            <v>9</v>
          </cell>
          <cell r="CO552">
            <v>42172</v>
          </cell>
          <cell r="CP552">
            <v>42159</v>
          </cell>
          <cell r="CQ552" t="str">
            <v>M1: grid power + battery</v>
          </cell>
          <cell r="CR552">
            <v>1</v>
          </cell>
          <cell r="CS552">
            <v>42173</v>
          </cell>
          <cell r="CT552">
            <v>42160</v>
          </cell>
          <cell r="CU552" t="str">
            <v>SG0448</v>
          </cell>
          <cell r="DH552">
            <v>11</v>
          </cell>
          <cell r="DI552">
            <v>42183</v>
          </cell>
          <cell r="DJ552">
            <v>42171</v>
          </cell>
          <cell r="DK552">
            <v>42180</v>
          </cell>
          <cell r="DL552">
            <v>42168</v>
          </cell>
          <cell r="DM552">
            <v>42184</v>
          </cell>
          <cell r="DN552">
            <v>42179</v>
          </cell>
          <cell r="DO552">
            <v>0</v>
          </cell>
          <cell r="DP552">
            <v>42183</v>
          </cell>
          <cell r="DQ552">
            <v>42171</v>
          </cell>
          <cell r="DT552">
            <v>62</v>
          </cell>
          <cell r="DU552">
            <v>42198</v>
          </cell>
          <cell r="DW552">
            <v>0</v>
          </cell>
          <cell r="DY552">
            <v>42184</v>
          </cell>
          <cell r="DZ552">
            <v>42179</v>
          </cell>
          <cell r="EA552" t="str">
            <v>Camusat</v>
          </cell>
          <cell r="ED552" t="str">
            <v>02Aug15 :KyawZay.Yar: Pedestal done together with back filling.Pending tower equip; delivery.PAD not started yet.
25Jul15 :KyawZay.Yar: Form work for column done.Template levelling ongoing.</v>
          </cell>
          <cell r="EJ552">
            <v>31</v>
          </cell>
          <cell r="EK552">
            <v>42201</v>
          </cell>
          <cell r="EL552">
            <v>42210</v>
          </cell>
          <cell r="EM552">
            <v>42202</v>
          </cell>
          <cell r="EN552">
            <v>42233</v>
          </cell>
          <cell r="EQ552">
            <v>42211</v>
          </cell>
          <cell r="ER552">
            <v>42236</v>
          </cell>
          <cell r="ES552">
            <v>42240</v>
          </cell>
          <cell r="ET552">
            <v>42240</v>
          </cell>
          <cell r="EU552">
            <v>42240</v>
          </cell>
          <cell r="EW552">
            <v>54</v>
          </cell>
          <cell r="EX552">
            <v>42225</v>
          </cell>
          <cell r="EZ552">
            <v>42221</v>
          </cell>
          <cell r="FA552">
            <v>42241</v>
          </cell>
          <cell r="FB552">
            <v>42223</v>
          </cell>
          <cell r="FC552">
            <v>42242</v>
          </cell>
          <cell r="FU552">
            <v>42225</v>
          </cell>
          <cell r="FW552">
            <v>42225</v>
          </cell>
          <cell r="FX552">
            <v>42242</v>
          </cell>
          <cell r="FY552" t="str">
            <v>ZM</v>
          </cell>
          <cell r="FZ552">
            <v>42245</v>
          </cell>
          <cell r="GA552">
            <v>42250</v>
          </cell>
          <cell r="GB552">
            <v>42250</v>
          </cell>
          <cell r="GC552">
            <v>42250</v>
          </cell>
          <cell r="GI552">
            <v>42246</v>
          </cell>
          <cell r="GJ552" t="str">
            <v>36-2015</v>
          </cell>
          <cell r="GN552" t="str">
            <v>ERICSSON</v>
          </cell>
          <cell r="GO552">
            <v>42166</v>
          </cell>
          <cell r="GS552" t="str">
            <v>4/4/4</v>
          </cell>
          <cell r="GU552" t="str">
            <v xml:space="preserve">		</v>
          </cell>
          <cell r="HD552">
            <v>1</v>
          </cell>
        </row>
        <row r="553">
          <cell r="A553" t="str">
            <v>SG0449</v>
          </cell>
          <cell r="B553" t="str">
            <v>ANSG_0449</v>
          </cell>
          <cell r="C553" t="str">
            <v>Apollo</v>
          </cell>
          <cell r="D553" t="str">
            <v>Adriaan Coetsee</v>
          </cell>
          <cell r="F553" t="str">
            <v>Aung Thu Win</v>
          </cell>
          <cell r="G553" t="str">
            <v>Kyaw Zay Yar</v>
          </cell>
          <cell r="H553" t="str">
            <v>RED</v>
          </cell>
          <cell r="I553" t="str">
            <v>North</v>
          </cell>
          <cell r="J553" t="str">
            <v>95.266562</v>
          </cell>
          <cell r="K553" t="str">
            <v>22.192337</v>
          </cell>
          <cell r="L553" t="str">
            <v>Rural</v>
          </cell>
          <cell r="M553" t="str">
            <v>Sagaing</v>
          </cell>
          <cell r="N553" t="str">
            <v>Monywa</v>
          </cell>
          <cell r="O553" t="str">
            <v>Monywa</v>
          </cell>
          <cell r="P553" t="str">
            <v>Sagaing</v>
          </cell>
          <cell r="Q553" t="str">
            <v>11</v>
          </cell>
          <cell r="R553" t="str">
            <v>Monywa</v>
          </cell>
          <cell r="S553" t="str">
            <v>53</v>
          </cell>
          <cell r="T553" t="str">
            <v>GSM+UMTS</v>
          </cell>
          <cell r="W553" t="str">
            <v>Ph2-Priority</v>
          </cell>
          <cell r="X553" t="str">
            <v>45</v>
          </cell>
          <cell r="Y553" t="str">
            <v>47</v>
          </cell>
          <cell r="Z553" t="str">
            <v>GBT</v>
          </cell>
          <cell r="AA553" t="str">
            <v>500</v>
          </cell>
          <cell r="AB553" t="str">
            <v>Access</v>
          </cell>
          <cell r="AC553" t="str">
            <v>Class C</v>
          </cell>
          <cell r="BH553" t="str">
            <v>Camusat</v>
          </cell>
          <cell r="BJ553">
            <v>42155</v>
          </cell>
          <cell r="BK553">
            <v>42149</v>
          </cell>
          <cell r="BL553">
            <v>42160</v>
          </cell>
          <cell r="BT553">
            <v>51</v>
          </cell>
          <cell r="BU553">
            <v>42211</v>
          </cell>
          <cell r="BV553">
            <v>42200</v>
          </cell>
          <cell r="BW553" t="str">
            <v>95.26865</v>
          </cell>
          <cell r="BX553" t="str">
            <v>22.18857</v>
          </cell>
          <cell r="BY553" t="str">
            <v>C2</v>
          </cell>
          <cell r="BZ553" t="str">
            <v>Kyauk Kar(Ma) Village, Kyauk Kar(Ma) Village Group, Monywa Township</v>
          </cell>
          <cell r="CA553" t="str">
            <v>U Kyaw Ngwe</v>
          </cell>
          <cell r="CB553" t="str">
            <v>15 July 15 :C2-SAR submission + justification;12 June 15 : C1 SAR rejected(RND rejected because this site is 501m far from the nominal point. Please find candidate near the nominal point); 11Jun15: C1 SAR Sub</v>
          </cell>
          <cell r="CC553" t="str">
            <v>Farmland</v>
          </cell>
          <cell r="CE553">
            <v>2</v>
          </cell>
          <cell r="CF553">
            <v>42212</v>
          </cell>
          <cell r="CG553">
            <v>42202</v>
          </cell>
          <cell r="CH553">
            <v>42214</v>
          </cell>
          <cell r="CJ553">
            <v>42217</v>
          </cell>
          <cell r="CK553" t="str">
            <v>45</v>
          </cell>
          <cell r="CL553" t="str">
            <v>47</v>
          </cell>
          <cell r="CM553" t="str">
            <v>50</v>
          </cell>
          <cell r="CN553">
            <v>17</v>
          </cell>
          <cell r="CO553">
            <v>42217</v>
          </cell>
          <cell r="CP553">
            <v>42219</v>
          </cell>
          <cell r="CQ553" t="str">
            <v>M1: grid power + battery</v>
          </cell>
          <cell r="CR553">
            <v>2</v>
          </cell>
          <cell r="CS553">
            <v>42218</v>
          </cell>
          <cell r="CT553">
            <v>42221</v>
          </cell>
          <cell r="CU553" t="str">
            <v>SG0449</v>
          </cell>
          <cell r="DH553">
            <v>12</v>
          </cell>
          <cell r="DI553">
            <v>42228</v>
          </cell>
          <cell r="DJ553">
            <v>42248</v>
          </cell>
          <cell r="DK553">
            <v>42225</v>
          </cell>
          <cell r="DM553">
            <v>42229</v>
          </cell>
          <cell r="DO553">
            <v>0</v>
          </cell>
          <cell r="DP553">
            <v>42228</v>
          </cell>
          <cell r="DQ553">
            <v>42248</v>
          </cell>
          <cell r="DT553">
            <v>0</v>
          </cell>
          <cell r="DU553">
            <v>42243</v>
          </cell>
          <cell r="DW553">
            <v>0</v>
          </cell>
          <cell r="DY553">
            <v>42229</v>
          </cell>
          <cell r="DZ553">
            <v>42242</v>
          </cell>
          <cell r="EA553" t="str">
            <v>Camusat</v>
          </cell>
          <cell r="EJ553">
            <v>0</v>
          </cell>
          <cell r="EK553">
            <v>42246</v>
          </cell>
          <cell r="EM553">
            <v>42247</v>
          </cell>
          <cell r="EQ553">
            <v>42256</v>
          </cell>
          <cell r="EW553">
            <v>0</v>
          </cell>
          <cell r="EX553">
            <v>42225</v>
          </cell>
          <cell r="EZ553">
            <v>42266</v>
          </cell>
          <cell r="FB553">
            <v>42268</v>
          </cell>
          <cell r="FU553">
            <v>42270</v>
          </cell>
          <cell r="FW553">
            <v>42270</v>
          </cell>
          <cell r="GI553">
            <v>42246</v>
          </cell>
          <cell r="GJ553">
            <v>0</v>
          </cell>
          <cell r="GN553" t="str">
            <v>ERICSSON</v>
          </cell>
          <cell r="GO553">
            <v>42166</v>
          </cell>
          <cell r="GS553" t="str">
            <v>4/4/4</v>
          </cell>
          <cell r="GU553" t="str">
            <v xml:space="preserve">		</v>
          </cell>
          <cell r="HD553">
            <v>1</v>
          </cell>
        </row>
        <row r="554">
          <cell r="A554" t="str">
            <v>SG0450</v>
          </cell>
          <cell r="B554" t="str">
            <v>ANSG_0450</v>
          </cell>
          <cell r="C554" t="str">
            <v>Apollo</v>
          </cell>
          <cell r="D554" t="str">
            <v>Adriaan Coetsee</v>
          </cell>
          <cell r="F554" t="str">
            <v>Aung Thu Win</v>
          </cell>
          <cell r="G554" t="str">
            <v>Kyaw Zay Yar</v>
          </cell>
          <cell r="H554" t="str">
            <v>YELLOW</v>
          </cell>
          <cell r="I554" t="str">
            <v>North</v>
          </cell>
          <cell r="J554" t="str">
            <v>95.25313</v>
          </cell>
          <cell r="K554" t="str">
            <v>22.242042</v>
          </cell>
          <cell r="L554" t="str">
            <v>Rural</v>
          </cell>
          <cell r="M554" t="str">
            <v>Sagaing</v>
          </cell>
          <cell r="N554" t="str">
            <v>Monywa</v>
          </cell>
          <cell r="O554" t="str">
            <v>Monywa</v>
          </cell>
          <cell r="P554" t="str">
            <v>Sagaing</v>
          </cell>
          <cell r="Q554" t="str">
            <v>11</v>
          </cell>
          <cell r="R554" t="str">
            <v>Monywa</v>
          </cell>
          <cell r="S554" t="str">
            <v>53</v>
          </cell>
          <cell r="T554" t="str">
            <v>GSM+UMTS</v>
          </cell>
          <cell r="W554" t="str">
            <v>Ph2-Priority</v>
          </cell>
          <cell r="X554" t="str">
            <v>45</v>
          </cell>
          <cell r="Y554" t="str">
            <v>47</v>
          </cell>
          <cell r="Z554" t="str">
            <v>GBT</v>
          </cell>
          <cell r="AA554" t="str">
            <v>500</v>
          </cell>
          <cell r="AB554" t="str">
            <v>Access</v>
          </cell>
          <cell r="AC554" t="str">
            <v>Class C</v>
          </cell>
          <cell r="BH554" t="str">
            <v>Camusat</v>
          </cell>
          <cell r="BJ554">
            <v>42133</v>
          </cell>
          <cell r="BK554">
            <v>42130</v>
          </cell>
          <cell r="BL554">
            <v>42138</v>
          </cell>
          <cell r="BM554">
            <v>42138</v>
          </cell>
          <cell r="BT554">
            <v>18</v>
          </cell>
          <cell r="BU554">
            <v>42166</v>
          </cell>
          <cell r="BV554">
            <v>42148</v>
          </cell>
          <cell r="BW554" t="str">
            <v>95.25449</v>
          </cell>
          <cell r="BX554" t="str">
            <v>22.2407</v>
          </cell>
          <cell r="BY554" t="str">
            <v>C1</v>
          </cell>
          <cell r="BZ554" t="str">
            <v>Thar Si Village , Thar Si Village Group,Mon Ywar Township,Sagaing.</v>
          </cell>
          <cell r="CA554" t="str">
            <v>U Aung Tin Soe;Thar Si Village , Thar Si Village Group,Mon Ywar Township.;09 400523209</v>
          </cell>
          <cell r="CB554" t="str">
            <v>24May15: C1 SAR Sub.</v>
          </cell>
          <cell r="CC554" t="str">
            <v>Farmland</v>
          </cell>
          <cell r="CE554">
            <v>1</v>
          </cell>
          <cell r="CF554">
            <v>42167</v>
          </cell>
          <cell r="CG554">
            <v>42149</v>
          </cell>
          <cell r="CH554">
            <v>42169</v>
          </cell>
          <cell r="CJ554">
            <v>42157</v>
          </cell>
          <cell r="CK554" t="str">
            <v>45</v>
          </cell>
          <cell r="CL554" t="str">
            <v>47</v>
          </cell>
          <cell r="CM554" t="str">
            <v>50</v>
          </cell>
          <cell r="CN554">
            <v>10</v>
          </cell>
          <cell r="CO554">
            <v>42172</v>
          </cell>
          <cell r="CP554">
            <v>42159</v>
          </cell>
          <cell r="CQ554" t="str">
            <v>M1: grid power + battery</v>
          </cell>
          <cell r="CR554">
            <v>1</v>
          </cell>
          <cell r="CS554">
            <v>42173</v>
          </cell>
          <cell r="CT554">
            <v>42160</v>
          </cell>
          <cell r="CU554" t="str">
            <v>SG0450</v>
          </cell>
          <cell r="DH554">
            <v>11</v>
          </cell>
          <cell r="DI554">
            <v>42183</v>
          </cell>
          <cell r="DJ554">
            <v>42171</v>
          </cell>
          <cell r="DK554">
            <v>42180</v>
          </cell>
          <cell r="DL554">
            <v>42168</v>
          </cell>
          <cell r="DM554">
            <v>42184</v>
          </cell>
          <cell r="DN554">
            <v>42179</v>
          </cell>
          <cell r="DO554">
            <v>0</v>
          </cell>
          <cell r="DP554">
            <v>42183</v>
          </cell>
          <cell r="DQ554">
            <v>42171</v>
          </cell>
          <cell r="DT554">
            <v>62</v>
          </cell>
          <cell r="DU554">
            <v>42198</v>
          </cell>
          <cell r="DW554">
            <v>0</v>
          </cell>
          <cell r="DY554">
            <v>42184</v>
          </cell>
          <cell r="DZ554">
            <v>42180</v>
          </cell>
          <cell r="EA554" t="str">
            <v>Camusat</v>
          </cell>
          <cell r="ED554" t="str">
            <v>13Aug15 :KyawZay.Yar: No activity.In previous situation.Pending tower parts delivery.
02Aug15 :KyawZay.Yar: Pedestal done together with back filling.Pending tower equip; delivery.</v>
          </cell>
          <cell r="EJ554">
            <v>25</v>
          </cell>
          <cell r="EK554">
            <v>42201</v>
          </cell>
          <cell r="EL554">
            <v>42205</v>
          </cell>
          <cell r="EM554">
            <v>42202</v>
          </cell>
          <cell r="EN554">
            <v>42234</v>
          </cell>
          <cell r="EQ554">
            <v>42211</v>
          </cell>
          <cell r="ER554">
            <v>42237</v>
          </cell>
          <cell r="ES554">
            <v>42231</v>
          </cell>
          <cell r="ET554">
            <v>42242</v>
          </cell>
          <cell r="EU554">
            <v>42242</v>
          </cell>
          <cell r="EW554">
            <v>53</v>
          </cell>
          <cell r="EX554">
            <v>42225</v>
          </cell>
          <cell r="EZ554">
            <v>42221</v>
          </cell>
          <cell r="FA554">
            <v>42245</v>
          </cell>
          <cell r="FB554">
            <v>42223</v>
          </cell>
          <cell r="FC554">
            <v>42246</v>
          </cell>
          <cell r="FU554">
            <v>42225</v>
          </cell>
          <cell r="FW554">
            <v>42225</v>
          </cell>
          <cell r="FX554">
            <v>42246</v>
          </cell>
          <cell r="FY554" t="str">
            <v>CFVL</v>
          </cell>
          <cell r="FZ554">
            <v>42236</v>
          </cell>
          <cell r="GA554">
            <v>42239</v>
          </cell>
          <cell r="GB554">
            <v>42239</v>
          </cell>
          <cell r="GC554">
            <v>42240</v>
          </cell>
          <cell r="GD554">
            <v>42241</v>
          </cell>
          <cell r="GE554">
            <v>42241</v>
          </cell>
          <cell r="GF554">
            <v>42249</v>
          </cell>
          <cell r="GG554">
            <v>42249</v>
          </cell>
          <cell r="GH554">
            <v>42249</v>
          </cell>
          <cell r="GI554">
            <v>42246</v>
          </cell>
          <cell r="GJ554" t="str">
            <v>36-2015</v>
          </cell>
          <cell r="GK554">
            <v>42249</v>
          </cell>
          <cell r="GN554" t="str">
            <v>ERICSSON</v>
          </cell>
          <cell r="GP554">
            <v>42207</v>
          </cell>
          <cell r="HD554">
            <v>1</v>
          </cell>
        </row>
        <row r="555">
          <cell r="A555" t="str">
            <v>SG0452</v>
          </cell>
          <cell r="B555" t="str">
            <v>ANSG_0451</v>
          </cell>
          <cell r="C555" t="str">
            <v>Apollo</v>
          </cell>
          <cell r="D555" t="str">
            <v>Adriaan Coetsee</v>
          </cell>
          <cell r="F555" t="str">
            <v>Aung Thu Win</v>
          </cell>
          <cell r="G555" t="str">
            <v>Kyaw Zay Yar</v>
          </cell>
          <cell r="H555" t="str">
            <v>AMBER</v>
          </cell>
          <cell r="I555" t="str">
            <v>North</v>
          </cell>
          <cell r="J555" t="str">
            <v>94.917972</v>
          </cell>
          <cell r="K555" t="str">
            <v>21.901184</v>
          </cell>
          <cell r="L555" t="str">
            <v>Rural</v>
          </cell>
          <cell r="M555" t="str">
            <v>Sagaing</v>
          </cell>
          <cell r="N555" t="str">
            <v>Salingyi</v>
          </cell>
          <cell r="O555" t="str">
            <v>Salingyi</v>
          </cell>
          <cell r="P555" t="str">
            <v>Sagaing</v>
          </cell>
          <cell r="Q555" t="str">
            <v>11</v>
          </cell>
          <cell r="R555" t="str">
            <v>Salingyi</v>
          </cell>
          <cell r="S555" t="str">
            <v>59</v>
          </cell>
          <cell r="T555" t="str">
            <v>GSM+UMTS</v>
          </cell>
          <cell r="W555" t="str">
            <v>Ph2-Priority</v>
          </cell>
          <cell r="X555" t="str">
            <v>45</v>
          </cell>
          <cell r="Y555" t="str">
            <v>47</v>
          </cell>
          <cell r="Z555" t="str">
            <v>GBT</v>
          </cell>
          <cell r="AA555" t="str">
            <v>500</v>
          </cell>
          <cell r="AB555" t="str">
            <v>Access</v>
          </cell>
          <cell r="AC555" t="str">
            <v>Class C</v>
          </cell>
          <cell r="BH555" t="str">
            <v>Camusat</v>
          </cell>
          <cell r="BJ555">
            <v>42165</v>
          </cell>
          <cell r="BK555">
            <v>42168</v>
          </cell>
          <cell r="BL555">
            <v>42170</v>
          </cell>
          <cell r="BM555">
            <v>42177</v>
          </cell>
          <cell r="BT555">
            <v>10</v>
          </cell>
          <cell r="BU555">
            <v>42219</v>
          </cell>
          <cell r="BV555">
            <v>42178</v>
          </cell>
          <cell r="BW555" t="str">
            <v>94.92007</v>
          </cell>
          <cell r="BX555" t="str">
            <v>21.900551</v>
          </cell>
          <cell r="BY555" t="str">
            <v>C1</v>
          </cell>
          <cell r="BZ555" t="str">
            <v>Aung Pan Village,Ywa Thamin Village Group,Salingyi Township, Sagaing Division.</v>
          </cell>
          <cell r="CA555" t="str">
            <v>U Myint Aung</v>
          </cell>
          <cell r="CB555" t="str">
            <v>28 July 15 : C1 SAR approved as an option 1(TND approved with FE TN0495_New( 12.356492°, 98.785006°) 45M)</v>
          </cell>
          <cell r="CC555" t="str">
            <v>GARDEN LAND</v>
          </cell>
          <cell r="CE555">
            <v>1</v>
          </cell>
          <cell r="CF555">
            <v>42220</v>
          </cell>
          <cell r="CG555">
            <v>42179</v>
          </cell>
          <cell r="CH555">
            <v>42222</v>
          </cell>
          <cell r="CJ555">
            <v>42185</v>
          </cell>
          <cell r="CK555" t="str">
            <v>45</v>
          </cell>
          <cell r="CL555" t="str">
            <v>47</v>
          </cell>
          <cell r="CM555" t="str">
            <v>50</v>
          </cell>
          <cell r="CN555">
            <v>8</v>
          </cell>
          <cell r="CO555">
            <v>42225</v>
          </cell>
          <cell r="CP555">
            <v>42187</v>
          </cell>
          <cell r="CQ555" t="str">
            <v>M4: solar + DG + battery</v>
          </cell>
          <cell r="CR555">
            <v>4</v>
          </cell>
          <cell r="CS555">
            <v>42226</v>
          </cell>
          <cell r="CT555">
            <v>42191</v>
          </cell>
          <cell r="CU555" t="str">
            <v>SG0452</v>
          </cell>
          <cell r="DH555">
            <v>26</v>
          </cell>
          <cell r="DI555">
            <v>42236</v>
          </cell>
          <cell r="DJ555">
            <v>42217</v>
          </cell>
          <cell r="DK555">
            <v>42233</v>
          </cell>
          <cell r="DL555">
            <v>42188</v>
          </cell>
          <cell r="DM555">
            <v>42237</v>
          </cell>
          <cell r="DO555">
            <v>0</v>
          </cell>
          <cell r="DP555">
            <v>42236</v>
          </cell>
          <cell r="DQ555">
            <v>42217</v>
          </cell>
          <cell r="DT555">
            <v>16</v>
          </cell>
          <cell r="DU555">
            <v>42251</v>
          </cell>
          <cell r="DW555">
            <v>0</v>
          </cell>
          <cell r="DY555">
            <v>42237</v>
          </cell>
          <cell r="DZ555">
            <v>42214</v>
          </cell>
          <cell r="EA555" t="str">
            <v>Camusat</v>
          </cell>
          <cell r="EB555">
            <v>42214</v>
          </cell>
          <cell r="EE555" t="str">
            <v xml:space="preserve">10 Aug 15:Flood affected_Hold-No access; 29-Jul-15:  Flooded access or site is flooded_ we canÆt proceed to this site for now								</v>
          </cell>
          <cell r="EJ555">
            <v>19</v>
          </cell>
          <cell r="EK555">
            <v>42254</v>
          </cell>
          <cell r="EM555">
            <v>42255</v>
          </cell>
          <cell r="EQ555">
            <v>42264</v>
          </cell>
          <cell r="EW555">
            <v>19</v>
          </cell>
          <cell r="EX555">
            <v>42278</v>
          </cell>
          <cell r="EZ555">
            <v>42274</v>
          </cell>
          <cell r="FB555">
            <v>42276</v>
          </cell>
          <cell r="FU555">
            <v>42278</v>
          </cell>
          <cell r="FW555">
            <v>42278</v>
          </cell>
          <cell r="GI555">
            <v>42307</v>
          </cell>
          <cell r="GJ555" t="str">
            <v>44-2015</v>
          </cell>
          <cell r="GN555" t="str">
            <v>ERICSSON</v>
          </cell>
          <cell r="GU555" t="str">
            <v xml:space="preserve">		</v>
          </cell>
          <cell r="HD555">
            <v>1</v>
          </cell>
        </row>
        <row r="556">
          <cell r="A556" t="str">
            <v>SG0457</v>
          </cell>
          <cell r="B556" t="str">
            <v>ANSG_0452</v>
          </cell>
          <cell r="C556" t="str">
            <v>Apollo</v>
          </cell>
          <cell r="D556" t="str">
            <v>Adriaan Coetsee</v>
          </cell>
          <cell r="F556" t="str">
            <v>Aung Thu Win</v>
          </cell>
          <cell r="G556" t="str">
            <v>Kyaw Zay Yar</v>
          </cell>
          <cell r="H556" t="str">
            <v>RED</v>
          </cell>
          <cell r="I556" t="str">
            <v>North</v>
          </cell>
          <cell r="J556" t="str">
            <v>95.994441</v>
          </cell>
          <cell r="K556" t="str">
            <v>21.913299</v>
          </cell>
          <cell r="L556" t="str">
            <v>Rural</v>
          </cell>
          <cell r="M556" t="str">
            <v>Sagaing</v>
          </cell>
          <cell r="N556" t="str">
            <v>Sagaing</v>
          </cell>
          <cell r="O556" t="str">
            <v>Sagaing</v>
          </cell>
          <cell r="P556" t="str">
            <v>Sagaing</v>
          </cell>
          <cell r="Q556" t="str">
            <v>11</v>
          </cell>
          <cell r="R556" t="str">
            <v>Sagaing</v>
          </cell>
          <cell r="S556" t="str">
            <v>42</v>
          </cell>
          <cell r="T556" t="str">
            <v>GSM+UMTS</v>
          </cell>
          <cell r="U556" t="str">
            <v>YAN-N007</v>
          </cell>
          <cell r="V556" t="str">
            <v>1</v>
          </cell>
          <cell r="W556" t="str">
            <v>Ph2-Priority</v>
          </cell>
          <cell r="X556" t="str">
            <v>45</v>
          </cell>
          <cell r="Y556" t="str">
            <v>47</v>
          </cell>
          <cell r="Z556" t="str">
            <v>GBT</v>
          </cell>
          <cell r="AA556" t="str">
            <v>250</v>
          </cell>
          <cell r="AB556" t="str">
            <v>Access</v>
          </cell>
          <cell r="AC556" t="str">
            <v>Class C</v>
          </cell>
          <cell r="AD556" t="str">
            <v>1210.77</v>
          </cell>
          <cell r="AE556" t="str">
            <v>1836.84</v>
          </cell>
          <cell r="AF556" t="str">
            <v>1</v>
          </cell>
          <cell r="AG556" t="str">
            <v>YN0167</v>
          </cell>
          <cell r="AH556" t="str">
            <v>YN0155</v>
          </cell>
          <cell r="AI556" t="str">
            <v>YN0145</v>
          </cell>
          <cell r="BC556" t="str">
            <v>YN0145</v>
          </cell>
          <cell r="BE556" t="str">
            <v>Yangon Ring 1</v>
          </cell>
          <cell r="BF556">
            <v>41760</v>
          </cell>
          <cell r="BG556">
            <v>42033</v>
          </cell>
          <cell r="BH556" t="str">
            <v>Camusat</v>
          </cell>
          <cell r="BJ556">
            <v>42155</v>
          </cell>
          <cell r="BK556">
            <v>41766</v>
          </cell>
          <cell r="BL556">
            <v>42160</v>
          </cell>
          <cell r="BT556">
            <v>467</v>
          </cell>
          <cell r="BU556">
            <v>42219</v>
          </cell>
          <cell r="BY556" t="str">
            <v>Reject</v>
          </cell>
          <cell r="CB556" t="str">
            <v>13 Feb 15 : C1 SAR rejected again as per Ericsson request  ( RND rejected slim tower GBT. This site is 237m far from the nominal point and away from populated clutter. Need to find the site at 200 m from nominal at orientation of 300 degree to 350 degree, to serve the good coverage at center of populated area 11 Feb 15 : C1 SAR approved as an option 1(RND Approved 29m/30m as slim tower GBT and this site is 237m far from the nominal point.);prev plan tower height =35 M 10Feb15: C1 SAR Sub.</v>
          </cell>
          <cell r="CE556">
            <v>0</v>
          </cell>
          <cell r="CF556">
            <v>42220</v>
          </cell>
          <cell r="CH556">
            <v>42222</v>
          </cell>
          <cell r="CN556">
            <v>0</v>
          </cell>
          <cell r="CO556">
            <v>42225</v>
          </cell>
          <cell r="CQ556" t="str">
            <v>M1: grid power + battery</v>
          </cell>
          <cell r="CR556">
            <v>0</v>
          </cell>
          <cell r="CS556">
            <v>42226</v>
          </cell>
          <cell r="CU556" t="str">
            <v>SG0457</v>
          </cell>
          <cell r="DH556">
            <v>0</v>
          </cell>
          <cell r="DI556">
            <v>42236</v>
          </cell>
          <cell r="DK556">
            <v>42233</v>
          </cell>
          <cell r="DM556">
            <v>42237</v>
          </cell>
          <cell r="DO556">
            <v>0</v>
          </cell>
          <cell r="DP556">
            <v>42236</v>
          </cell>
          <cell r="DR556" t="str">
            <v>YCDC</v>
          </cell>
          <cell r="DT556">
            <v>0</v>
          </cell>
          <cell r="DU556">
            <v>42251</v>
          </cell>
          <cell r="DW556">
            <v>0</v>
          </cell>
          <cell r="DY556">
            <v>42237</v>
          </cell>
          <cell r="EA556" t="str">
            <v>Camusat</v>
          </cell>
          <cell r="EJ556">
            <v>0</v>
          </cell>
          <cell r="EK556">
            <v>42254</v>
          </cell>
          <cell r="EM556">
            <v>42255</v>
          </cell>
          <cell r="EQ556">
            <v>42264</v>
          </cell>
          <cell r="EW556">
            <v>0</v>
          </cell>
          <cell r="EX556">
            <v>42278</v>
          </cell>
          <cell r="EZ556">
            <v>42274</v>
          </cell>
          <cell r="FB556">
            <v>42276</v>
          </cell>
          <cell r="FD556">
            <v>41937</v>
          </cell>
          <cell r="FF556">
            <v>41944</v>
          </cell>
          <cell r="FH556">
            <v>41946</v>
          </cell>
          <cell r="FJ556">
            <v>41949</v>
          </cell>
          <cell r="FN556">
            <v>41953</v>
          </cell>
          <cell r="FP556">
            <v>41955</v>
          </cell>
          <cell r="FR556">
            <v>41969</v>
          </cell>
          <cell r="FU556">
            <v>42278</v>
          </cell>
          <cell r="FW556">
            <v>42278</v>
          </cell>
          <cell r="GJ556">
            <v>0</v>
          </cell>
          <cell r="GN556" t="str">
            <v>ERICSSON</v>
          </cell>
          <cell r="GS556" t="str">
            <v>4/4/4</v>
          </cell>
          <cell r="GU556" t="str">
            <v xml:space="preserve">		</v>
          </cell>
          <cell r="HD556">
            <v>1</v>
          </cell>
        </row>
        <row r="557">
          <cell r="A557" t="str">
            <v>SG0458</v>
          </cell>
          <cell r="B557" t="str">
            <v>ANSG_0453</v>
          </cell>
          <cell r="C557" t="str">
            <v>Apollo</v>
          </cell>
          <cell r="D557" t="str">
            <v>Adriaan Coetsee</v>
          </cell>
          <cell r="F557" t="str">
            <v>Aung Thu Win</v>
          </cell>
          <cell r="G557" t="str">
            <v>Kyaw Zay Yar</v>
          </cell>
          <cell r="H557" t="str">
            <v>RED</v>
          </cell>
          <cell r="I557" t="str">
            <v>North</v>
          </cell>
          <cell r="J557" t="str">
            <v>95.590716</v>
          </cell>
          <cell r="K557" t="str">
            <v>22.633419</v>
          </cell>
          <cell r="L557" t="str">
            <v>Rural</v>
          </cell>
          <cell r="M557" t="str">
            <v>Sagaing</v>
          </cell>
          <cell r="N557" t="str">
            <v>Shwebo</v>
          </cell>
          <cell r="O557" t="str">
            <v>Shwebo</v>
          </cell>
          <cell r="P557" t="str">
            <v>Sagaing</v>
          </cell>
          <cell r="Q557" t="str">
            <v>11</v>
          </cell>
          <cell r="R557" t="str">
            <v>Shwebo</v>
          </cell>
          <cell r="S557" t="str">
            <v>45</v>
          </cell>
          <cell r="T557" t="str">
            <v>GSM+UMTS</v>
          </cell>
          <cell r="W557" t="str">
            <v>Ph2-Priority</v>
          </cell>
          <cell r="X557" t="str">
            <v>45</v>
          </cell>
          <cell r="Y557" t="str">
            <v>47</v>
          </cell>
          <cell r="Z557" t="str">
            <v>GBT</v>
          </cell>
          <cell r="AA557" t="str">
            <v>500</v>
          </cell>
          <cell r="AB557" t="str">
            <v>Access</v>
          </cell>
          <cell r="AC557" t="str">
            <v>Class C</v>
          </cell>
          <cell r="BE557" t="str">
            <v>Route 15 Taunggyi - Tachileik</v>
          </cell>
          <cell r="BH557" t="str">
            <v>Camusat</v>
          </cell>
          <cell r="BJ557">
            <v>42165</v>
          </cell>
          <cell r="BK557">
            <v>42148</v>
          </cell>
          <cell r="BL557">
            <v>42170</v>
          </cell>
          <cell r="BM557">
            <v>42155</v>
          </cell>
          <cell r="BT557">
            <v>40</v>
          </cell>
          <cell r="BU557">
            <v>42223</v>
          </cell>
          <cell r="BV557">
            <v>42188</v>
          </cell>
          <cell r="BW557" t="str">
            <v>95.59367</v>
          </cell>
          <cell r="BX557" t="str">
            <v>22.63061</v>
          </cell>
          <cell r="BY557" t="str">
            <v>C3</v>
          </cell>
          <cell r="BZ557" t="str">
            <v>Latechin Village, Shwebo Township, Sagaing Division</v>
          </cell>
          <cell r="CA557" t="str">
            <v>U Nyo Min</v>
          </cell>
          <cell r="CB557" t="str">
            <v>14 July15 : C3 Rev 1 TSSR pdf approved;6 July 15 : C3 and C2 SAR approved toghther;3 July 15 :C3-SAR submission; C1 &amp; C2 NOC issues;1 July 15: C2-SAR submission(Not approve yet); C1-NOC issue occurred during soil test and lessor already declined due to NOC;11 June 15 : C1 SAR app;10Jun15:C1 SAR Sub</v>
          </cell>
          <cell r="CC557" t="str">
            <v>Village</v>
          </cell>
          <cell r="CE557">
            <v>3</v>
          </cell>
          <cell r="CF557">
            <v>42224</v>
          </cell>
          <cell r="CG557">
            <v>42191</v>
          </cell>
          <cell r="CH557">
            <v>42226</v>
          </cell>
          <cell r="CJ557">
            <v>42195</v>
          </cell>
          <cell r="CK557" t="str">
            <v>45</v>
          </cell>
          <cell r="CL557" t="str">
            <v>47</v>
          </cell>
          <cell r="CM557" t="str">
            <v>50</v>
          </cell>
          <cell r="CN557">
            <v>6</v>
          </cell>
          <cell r="CO557">
            <v>42229</v>
          </cell>
          <cell r="CP557">
            <v>42197</v>
          </cell>
          <cell r="CQ557" t="str">
            <v>M1: grid power + battery</v>
          </cell>
          <cell r="CR557">
            <v>2</v>
          </cell>
          <cell r="CS557">
            <v>42230</v>
          </cell>
          <cell r="CT557">
            <v>42199</v>
          </cell>
          <cell r="CU557" t="str">
            <v>SG0458</v>
          </cell>
          <cell r="DH557">
            <v>34</v>
          </cell>
          <cell r="DI557">
            <v>42240</v>
          </cell>
          <cell r="DJ557">
            <v>42250</v>
          </cell>
          <cell r="DK557">
            <v>42237</v>
          </cell>
          <cell r="DL557">
            <v>42242</v>
          </cell>
          <cell r="DM557">
            <v>42241</v>
          </cell>
          <cell r="DO557">
            <v>0</v>
          </cell>
          <cell r="DP557">
            <v>42240</v>
          </cell>
          <cell r="DQ557">
            <v>42250</v>
          </cell>
          <cell r="DT557">
            <v>0</v>
          </cell>
          <cell r="DU557">
            <v>42255</v>
          </cell>
          <cell r="DW557">
            <v>0</v>
          </cell>
          <cell r="DY557">
            <v>42241</v>
          </cell>
          <cell r="DZ557">
            <v>42249</v>
          </cell>
          <cell r="EA557" t="str">
            <v>Camusat</v>
          </cell>
          <cell r="EJ557">
            <v>0</v>
          </cell>
          <cell r="EK557">
            <v>42258</v>
          </cell>
          <cell r="EM557">
            <v>42259</v>
          </cell>
          <cell r="EQ557">
            <v>42268</v>
          </cell>
          <cell r="EW557">
            <v>0</v>
          </cell>
          <cell r="EX557">
            <v>42225</v>
          </cell>
          <cell r="EZ557">
            <v>42278</v>
          </cell>
          <cell r="FB557">
            <v>42280</v>
          </cell>
          <cell r="FU557">
            <v>42282</v>
          </cell>
          <cell r="FW557">
            <v>42282</v>
          </cell>
          <cell r="GI557">
            <v>42166</v>
          </cell>
          <cell r="GJ557">
            <v>0</v>
          </cell>
          <cell r="GN557" t="str">
            <v>ERICSSON</v>
          </cell>
          <cell r="HD557">
            <v>1</v>
          </cell>
        </row>
        <row r="558">
          <cell r="A558" t="str">
            <v>SG0459</v>
          </cell>
          <cell r="B558" t="str">
            <v>ANSG_0454</v>
          </cell>
          <cell r="C558" t="str">
            <v>Apollo</v>
          </cell>
          <cell r="D558" t="str">
            <v>Adriaan Coetsee</v>
          </cell>
          <cell r="F558" t="str">
            <v>Aung Thu Win</v>
          </cell>
          <cell r="G558" t="str">
            <v>Kyaw Zay Yar</v>
          </cell>
          <cell r="H558" t="str">
            <v>AMBER</v>
          </cell>
          <cell r="I558" t="str">
            <v>North</v>
          </cell>
          <cell r="J558" t="str">
            <v>95.6781699999999</v>
          </cell>
          <cell r="K558" t="str">
            <v>22.509996</v>
          </cell>
          <cell r="L558" t="str">
            <v>Rural</v>
          </cell>
          <cell r="M558" t="str">
            <v>Sagaing</v>
          </cell>
          <cell r="N558" t="str">
            <v>Shwebo</v>
          </cell>
          <cell r="O558" t="str">
            <v>Shwebo</v>
          </cell>
          <cell r="P558" t="str">
            <v>Sagaing</v>
          </cell>
          <cell r="Q558" t="str">
            <v>11</v>
          </cell>
          <cell r="R558" t="str">
            <v>Shwebo</v>
          </cell>
          <cell r="S558" t="str">
            <v>45</v>
          </cell>
          <cell r="T558" t="str">
            <v>GSM+UMTS</v>
          </cell>
          <cell r="W558" t="str">
            <v>Ph2-Priority</v>
          </cell>
          <cell r="X558" t="str">
            <v>45</v>
          </cell>
          <cell r="Y558" t="str">
            <v>47</v>
          </cell>
          <cell r="Z558" t="str">
            <v>GBT</v>
          </cell>
          <cell r="AA558" t="str">
            <v>500</v>
          </cell>
          <cell r="AB558" t="str">
            <v>Access</v>
          </cell>
          <cell r="AC558" t="str">
            <v>Class C</v>
          </cell>
          <cell r="BE558" t="str">
            <v>Route 4 Meiktila - Taunggyi</v>
          </cell>
          <cell r="BH558" t="str">
            <v>Camusat</v>
          </cell>
          <cell r="BJ558">
            <v>42165</v>
          </cell>
          <cell r="BK558">
            <v>42178</v>
          </cell>
          <cell r="BL558">
            <v>42170</v>
          </cell>
          <cell r="BM558">
            <v>42175</v>
          </cell>
          <cell r="BT558">
            <v>10</v>
          </cell>
          <cell r="BU558">
            <v>42231</v>
          </cell>
          <cell r="BV558">
            <v>42188</v>
          </cell>
          <cell r="BW558" t="str">
            <v>95.6615</v>
          </cell>
          <cell r="BX558" t="str">
            <v>22.50654</v>
          </cell>
          <cell r="BY558" t="str">
            <v>C1</v>
          </cell>
          <cell r="BZ558" t="str">
            <v>Shwe Bo Township, Aung Chan Thar Village .</v>
          </cell>
          <cell r="CA558" t="str">
            <v>Daw Nyo</v>
          </cell>
          <cell r="CB558" t="str">
            <v>3 July 15 :C1-SAR submission + Justification Letter sub</v>
          </cell>
          <cell r="CC558" t="str">
            <v>Village</v>
          </cell>
          <cell r="CE558">
            <v>3</v>
          </cell>
          <cell r="CF558">
            <v>42232</v>
          </cell>
          <cell r="CG558">
            <v>42191</v>
          </cell>
          <cell r="CH558">
            <v>42234</v>
          </cell>
          <cell r="CJ558">
            <v>42196</v>
          </cell>
          <cell r="CK558" t="str">
            <v>45</v>
          </cell>
          <cell r="CL558" t="str">
            <v>47</v>
          </cell>
          <cell r="CM558" t="str">
            <v>50</v>
          </cell>
          <cell r="CN558">
            <v>7</v>
          </cell>
          <cell r="CO558">
            <v>42237</v>
          </cell>
          <cell r="CP558">
            <v>42198</v>
          </cell>
          <cell r="CQ558" t="str">
            <v>M1: grid power + battery</v>
          </cell>
          <cell r="CR558">
            <v>1</v>
          </cell>
          <cell r="CS558">
            <v>42238</v>
          </cell>
          <cell r="CT558">
            <v>42199</v>
          </cell>
          <cell r="CU558" t="str">
            <v>SG0459</v>
          </cell>
          <cell r="DH558">
            <v>34</v>
          </cell>
          <cell r="DI558">
            <v>42248</v>
          </cell>
          <cell r="DK558">
            <v>42245</v>
          </cell>
          <cell r="DL558">
            <v>42201</v>
          </cell>
          <cell r="DM558">
            <v>42249</v>
          </cell>
          <cell r="DO558">
            <v>0</v>
          </cell>
          <cell r="DP558">
            <v>42248</v>
          </cell>
          <cell r="DT558">
            <v>0</v>
          </cell>
          <cell r="DU558">
            <v>42263</v>
          </cell>
          <cell r="DW558">
            <v>0</v>
          </cell>
          <cell r="DY558">
            <v>42249</v>
          </cell>
          <cell r="DZ558">
            <v>42228</v>
          </cell>
          <cell r="EA558" t="str">
            <v>Camusat</v>
          </cell>
          <cell r="EJ558">
            <v>5</v>
          </cell>
          <cell r="EK558">
            <v>42266</v>
          </cell>
          <cell r="EM558">
            <v>42267</v>
          </cell>
          <cell r="EQ558">
            <v>42276</v>
          </cell>
          <cell r="EW558">
            <v>5</v>
          </cell>
          <cell r="EX558">
            <v>42254</v>
          </cell>
          <cell r="EZ558">
            <v>42286</v>
          </cell>
          <cell r="FB558">
            <v>42288</v>
          </cell>
          <cell r="FU558">
            <v>42290</v>
          </cell>
          <cell r="FW558">
            <v>42290</v>
          </cell>
          <cell r="GF558">
            <v>42154</v>
          </cell>
          <cell r="GI558">
            <v>42246</v>
          </cell>
          <cell r="GJ558">
            <v>0</v>
          </cell>
          <cell r="GN558" t="str">
            <v>ERICSSON</v>
          </cell>
          <cell r="HD558">
            <v>1</v>
          </cell>
        </row>
        <row r="559">
          <cell r="A559" t="str">
            <v>SG0462</v>
          </cell>
          <cell r="B559" t="str">
            <v>ANSG_0455</v>
          </cell>
          <cell r="C559" t="str">
            <v>Apollo</v>
          </cell>
          <cell r="D559" t="str">
            <v>Adriaan Coetsee</v>
          </cell>
          <cell r="F559" t="str">
            <v>Aung Thu Win</v>
          </cell>
          <cell r="G559" t="str">
            <v>Kyaw Zay Yar</v>
          </cell>
          <cell r="H559" t="str">
            <v>WHITE</v>
          </cell>
          <cell r="I559" t="str">
            <v>North</v>
          </cell>
          <cell r="J559" t="str">
            <v>95.325123</v>
          </cell>
          <cell r="K559" t="str">
            <v>22.010335</v>
          </cell>
          <cell r="L559" t="str">
            <v>Rural</v>
          </cell>
          <cell r="M559" t="str">
            <v>Sagaing</v>
          </cell>
          <cell r="N559" t="str">
            <v>Chaung-U</v>
          </cell>
          <cell r="O559" t="str">
            <v>Chaung-U</v>
          </cell>
          <cell r="P559" t="str">
            <v>Sagaing</v>
          </cell>
          <cell r="Q559" t="str">
            <v>11</v>
          </cell>
          <cell r="R559" t="str">
            <v>Chaung-U</v>
          </cell>
          <cell r="S559" t="str">
            <v>56</v>
          </cell>
          <cell r="T559" t="str">
            <v>GSM+UMTS</v>
          </cell>
          <cell r="W559" t="str">
            <v>Ph2-Priority</v>
          </cell>
          <cell r="X559" t="str">
            <v>45</v>
          </cell>
          <cell r="Y559" t="str">
            <v>47</v>
          </cell>
          <cell r="Z559" t="str">
            <v>GBT</v>
          </cell>
          <cell r="AA559" t="str">
            <v>500</v>
          </cell>
          <cell r="AB559" t="str">
            <v>Access</v>
          </cell>
          <cell r="AC559" t="str">
            <v>Class C</v>
          </cell>
          <cell r="BE559" t="str">
            <v>Route 15 Taunggyi - Tachileik</v>
          </cell>
          <cell r="BH559" t="str">
            <v>Camusat</v>
          </cell>
          <cell r="BJ559">
            <v>42135</v>
          </cell>
          <cell r="BK559">
            <v>42130</v>
          </cell>
          <cell r="BL559">
            <v>42140</v>
          </cell>
          <cell r="BM559">
            <v>42141</v>
          </cell>
          <cell r="BT559">
            <v>21</v>
          </cell>
          <cell r="BU559">
            <v>42195</v>
          </cell>
          <cell r="BV559">
            <v>42151</v>
          </cell>
          <cell r="BW559" t="str">
            <v>95.32483</v>
          </cell>
          <cell r="BX559" t="str">
            <v>22.00909</v>
          </cell>
          <cell r="BY559" t="str">
            <v>C1</v>
          </cell>
          <cell r="BZ559" t="str">
            <v>Nwae Khway  Village, Chaung Oo.</v>
          </cell>
          <cell r="CA559" t="str">
            <v>(Owner Name- U Myint in TSSR pdf);U Maung Myint;New Gwe Village, Chaung Oo Township, Sagaing Division;09-33094643</v>
          </cell>
          <cell r="CB559" t="str">
            <v>10 Aug 15 :Deleted the date of  Actual power Equipment at site  because unable to deliver due to flooded access;9 June 15 : C1 TSSR app;5 June 15 : C1 TSSR sub;28 May 15 : C1 SAR app;27May15: C1 SAR Sub</v>
          </cell>
          <cell r="CC559" t="str">
            <v>Residential</v>
          </cell>
          <cell r="CE559">
            <v>1</v>
          </cell>
          <cell r="CF559">
            <v>42196</v>
          </cell>
          <cell r="CG559">
            <v>42152</v>
          </cell>
          <cell r="CH559">
            <v>42198</v>
          </cell>
          <cell r="CJ559">
            <v>42160</v>
          </cell>
          <cell r="CK559" t="str">
            <v>45</v>
          </cell>
          <cell r="CL559" t="str">
            <v>47</v>
          </cell>
          <cell r="CM559" t="str">
            <v>50</v>
          </cell>
          <cell r="CN559">
            <v>8</v>
          </cell>
          <cell r="CO559">
            <v>42201</v>
          </cell>
          <cell r="CP559">
            <v>42160</v>
          </cell>
          <cell r="CQ559" t="str">
            <v>M4: solar + DG + battery</v>
          </cell>
          <cell r="CR559">
            <v>4</v>
          </cell>
          <cell r="CS559">
            <v>42202</v>
          </cell>
          <cell r="CT559">
            <v>42164</v>
          </cell>
          <cell r="CU559" t="str">
            <v>SG0462</v>
          </cell>
          <cell r="DH559">
            <v>6</v>
          </cell>
          <cell r="DI559">
            <v>42212</v>
          </cell>
          <cell r="DJ559">
            <v>42170</v>
          </cell>
          <cell r="DK559">
            <v>42209</v>
          </cell>
          <cell r="DL559">
            <v>42168</v>
          </cell>
          <cell r="DM559">
            <v>42213</v>
          </cell>
          <cell r="DN559">
            <v>42174</v>
          </cell>
          <cell r="DO559">
            <v>0</v>
          </cell>
          <cell r="DP559">
            <v>42212</v>
          </cell>
          <cell r="DQ559">
            <v>42170</v>
          </cell>
          <cell r="DT559">
            <v>3</v>
          </cell>
          <cell r="DU559">
            <v>42227</v>
          </cell>
          <cell r="DV559">
            <v>42173</v>
          </cell>
          <cell r="DW559">
            <v>1</v>
          </cell>
          <cell r="DY559">
            <v>42213</v>
          </cell>
          <cell r="DZ559">
            <v>42174</v>
          </cell>
          <cell r="EA559" t="str">
            <v>Camusat</v>
          </cell>
          <cell r="EB559">
            <v>42217</v>
          </cell>
          <cell r="ED559" t="str">
            <v xml:space="preserve">25Jul15 :KyawZay.Yar: Erection ongoing.Equip; PAD ongoing.
</v>
          </cell>
          <cell r="EE559" t="str">
            <v xml:space="preserve">10 Aug 15:Flood affected_Hold-No access; 4-Aug-  As per Jimmy suggetion materials for SG0462 delivered SG0361
1-Aug-15: Flooded access or site is flooded_ we canÆt proceed to this site. CW RFI ,Power equipment to deliver
2 miles of road is very muddy and vehicles cannot go there, unless rain stops and flood water clear than only materials can be sent to site.
Condition is witnessed by Mr. Jimmy of Apollo
								</v>
          </cell>
          <cell r="EI559" t="str">
            <v>M5: grid power + DG + battery      </v>
          </cell>
          <cell r="EJ559">
            <v>27</v>
          </cell>
          <cell r="EK559">
            <v>42230</v>
          </cell>
          <cell r="EL559">
            <v>42201</v>
          </cell>
          <cell r="EM559">
            <v>42231</v>
          </cell>
          <cell r="EN559">
            <v>42204</v>
          </cell>
          <cell r="EQ559">
            <v>42240</v>
          </cell>
          <cell r="ER559">
            <v>42216</v>
          </cell>
          <cell r="ES559">
            <v>42208</v>
          </cell>
          <cell r="ET559">
            <v>42216</v>
          </cell>
          <cell r="EU559">
            <v>42216</v>
          </cell>
          <cell r="EW559">
            <v>59</v>
          </cell>
          <cell r="EX559">
            <v>42254</v>
          </cell>
          <cell r="EZ559">
            <v>42250</v>
          </cell>
          <cell r="FA559">
            <v>42229</v>
          </cell>
          <cell r="FB559">
            <v>42252</v>
          </cell>
          <cell r="FC559">
            <v>42229</v>
          </cell>
          <cell r="FU559">
            <v>42254</v>
          </cell>
          <cell r="FW559">
            <v>42254</v>
          </cell>
          <cell r="FX559">
            <v>42230</v>
          </cell>
          <cell r="FY559" t="str">
            <v>EM</v>
          </cell>
          <cell r="FZ559">
            <v>42217</v>
          </cell>
          <cell r="GA559">
            <v>42228</v>
          </cell>
          <cell r="GB559">
            <v>42229</v>
          </cell>
          <cell r="GC559">
            <v>42229</v>
          </cell>
          <cell r="GD559">
            <v>42229</v>
          </cell>
          <cell r="GE559">
            <v>42230</v>
          </cell>
          <cell r="GF559">
            <v>42231</v>
          </cell>
          <cell r="GG559">
            <v>42231</v>
          </cell>
          <cell r="GH559">
            <v>42231</v>
          </cell>
          <cell r="GI559">
            <v>42246</v>
          </cell>
          <cell r="GJ559" t="str">
            <v>36-2015</v>
          </cell>
          <cell r="GK559">
            <v>42231</v>
          </cell>
          <cell r="GL559" t="str">
            <v>Power :: Generator and DG not commissioned</v>
          </cell>
          <cell r="GN559" t="str">
            <v>ERICSSON</v>
          </cell>
          <cell r="GQ559">
            <v>0</v>
          </cell>
          <cell r="HD559">
            <v>1</v>
          </cell>
        </row>
        <row r="560">
          <cell r="A560" t="str">
            <v>SG0491</v>
          </cell>
          <cell r="B560" t="str">
            <v>ANSG_0456</v>
          </cell>
          <cell r="C560" t="str">
            <v>Apollo</v>
          </cell>
          <cell r="D560" t="str">
            <v>Adriaan Coetsee</v>
          </cell>
          <cell r="F560" t="str">
            <v>Aung Thu Win</v>
          </cell>
          <cell r="G560" t="str">
            <v>Kyaw Zay Yar</v>
          </cell>
          <cell r="H560" t="str">
            <v>AMBER</v>
          </cell>
          <cell r="I560" t="str">
            <v>North</v>
          </cell>
          <cell r="J560" t="str">
            <v>95.3741619999999</v>
          </cell>
          <cell r="K560" t="str">
            <v>24.071768</v>
          </cell>
          <cell r="L560" t="str">
            <v>Suburban</v>
          </cell>
          <cell r="M560" t="str">
            <v>Sagaing</v>
          </cell>
          <cell r="N560" t="str">
            <v>Pinlebu</v>
          </cell>
          <cell r="O560" t="str">
            <v>Pinlebu</v>
          </cell>
          <cell r="P560" t="str">
            <v>Sagaing</v>
          </cell>
          <cell r="Q560" t="str">
            <v>11</v>
          </cell>
          <cell r="R560" t="str">
            <v>Pinlebu</v>
          </cell>
          <cell r="S560" t="str">
            <v>67</v>
          </cell>
          <cell r="T560" t="str">
            <v>GSM+UMTS</v>
          </cell>
          <cell r="W560" t="str">
            <v>Ph2-Priority</v>
          </cell>
          <cell r="X560" t="str">
            <v>35</v>
          </cell>
          <cell r="Y560" t="str">
            <v>37</v>
          </cell>
          <cell r="Z560" t="str">
            <v>GBT</v>
          </cell>
          <cell r="AA560" t="str">
            <v>250</v>
          </cell>
          <cell r="AB560" t="str">
            <v>Access</v>
          </cell>
          <cell r="AC560" t="str">
            <v>Class B</v>
          </cell>
          <cell r="BE560" t="str">
            <v>Route 6 Mandalay - Monywa</v>
          </cell>
          <cell r="BH560" t="str">
            <v>Camusat</v>
          </cell>
          <cell r="BJ560">
            <v>42165</v>
          </cell>
          <cell r="BK560">
            <v>42158</v>
          </cell>
          <cell r="BL560">
            <v>42170</v>
          </cell>
          <cell r="BM560">
            <v>42165</v>
          </cell>
          <cell r="BT560">
            <v>17</v>
          </cell>
          <cell r="BU560">
            <v>42223</v>
          </cell>
          <cell r="BV560">
            <v>42175</v>
          </cell>
          <cell r="BW560" t="str">
            <v>95.37602</v>
          </cell>
          <cell r="BX560" t="str">
            <v>24.07161</v>
          </cell>
          <cell r="BY560" t="str">
            <v>C1</v>
          </cell>
          <cell r="BZ560" t="str">
            <v>Moekaung quarter, Pinlaebue Town, Sagaing Division</v>
          </cell>
          <cell r="CA560" t="str">
            <v>U Sein Myint</v>
          </cell>
          <cell r="CB560" t="str">
            <v>20Jun15: C1 SAR Sub</v>
          </cell>
          <cell r="CC560" t="str">
            <v>Village</v>
          </cell>
          <cell r="CE560">
            <v>6</v>
          </cell>
          <cell r="CF560">
            <v>42224</v>
          </cell>
          <cell r="CG560">
            <v>42181</v>
          </cell>
          <cell r="CH560">
            <v>42226</v>
          </cell>
          <cell r="CJ560">
            <v>42193</v>
          </cell>
          <cell r="CK560" t="str">
            <v>37</v>
          </cell>
          <cell r="CL560" t="str">
            <v>39</v>
          </cell>
          <cell r="CM560" t="str">
            <v>40</v>
          </cell>
          <cell r="CN560">
            <v>14</v>
          </cell>
          <cell r="CO560">
            <v>42229</v>
          </cell>
          <cell r="CP560">
            <v>42195</v>
          </cell>
          <cell r="CQ560" t="str">
            <v>M1: grid power + battery</v>
          </cell>
          <cell r="CR560">
            <v>4</v>
          </cell>
          <cell r="CS560">
            <v>42230</v>
          </cell>
          <cell r="CT560">
            <v>42199</v>
          </cell>
          <cell r="CU560" t="str">
            <v>SG0491</v>
          </cell>
          <cell r="DH560">
            <v>34</v>
          </cell>
          <cell r="DI560">
            <v>42240</v>
          </cell>
          <cell r="DJ560">
            <v>42202</v>
          </cell>
          <cell r="DK560">
            <v>42237</v>
          </cell>
          <cell r="DL560">
            <v>42198</v>
          </cell>
          <cell r="DM560">
            <v>42241</v>
          </cell>
          <cell r="DN560">
            <v>42200</v>
          </cell>
          <cell r="DO560">
            <v>0</v>
          </cell>
          <cell r="DP560">
            <v>42240</v>
          </cell>
          <cell r="DQ560">
            <v>42201</v>
          </cell>
          <cell r="DT560">
            <v>0</v>
          </cell>
          <cell r="DU560">
            <v>42255</v>
          </cell>
          <cell r="DW560">
            <v>0</v>
          </cell>
          <cell r="DY560">
            <v>42241</v>
          </cell>
          <cell r="DZ560">
            <v>42209</v>
          </cell>
          <cell r="EA560" t="str">
            <v>Camusat</v>
          </cell>
          <cell r="ED560" t="str">
            <v xml:space="preserve">27Jul15 :KyawZay.Yar: Excavation done.Rebar for footing done.
</v>
          </cell>
          <cell r="EJ560">
            <v>24</v>
          </cell>
          <cell r="EK560">
            <v>42256</v>
          </cell>
          <cell r="EL560">
            <v>42227</v>
          </cell>
          <cell r="EM560">
            <v>42257</v>
          </cell>
          <cell r="EN560">
            <v>42235</v>
          </cell>
          <cell r="EQ560">
            <v>42264</v>
          </cell>
          <cell r="EW560">
            <v>24</v>
          </cell>
          <cell r="EX560">
            <v>42221</v>
          </cell>
          <cell r="EZ560">
            <v>42274</v>
          </cell>
          <cell r="FB560">
            <v>42276</v>
          </cell>
          <cell r="FU560">
            <v>42278</v>
          </cell>
          <cell r="FW560">
            <v>42278</v>
          </cell>
          <cell r="FY560" t="str">
            <v>EM</v>
          </cell>
          <cell r="GF560">
            <v>42154</v>
          </cell>
          <cell r="GI560">
            <v>42307</v>
          </cell>
          <cell r="GJ560" t="str">
            <v>44-2015</v>
          </cell>
          <cell r="GN560" t="str">
            <v>ERICSSON</v>
          </cell>
          <cell r="GO560">
            <v>42186</v>
          </cell>
          <cell r="GP560">
            <v>42206</v>
          </cell>
          <cell r="HD560">
            <v>1</v>
          </cell>
        </row>
        <row r="561">
          <cell r="A561" t="str">
            <v>SG0495</v>
          </cell>
          <cell r="B561" t="str">
            <v>ANSG_0457</v>
          </cell>
          <cell r="C561" t="str">
            <v>Apollo</v>
          </cell>
          <cell r="D561" t="str">
            <v>Adriaan Coetsee</v>
          </cell>
          <cell r="F561" t="str">
            <v>Aung Thu Win</v>
          </cell>
          <cell r="G561" t="str">
            <v>Kyaw Zay Yar</v>
          </cell>
          <cell r="H561" t="str">
            <v>AMBER</v>
          </cell>
          <cell r="I561" t="str">
            <v>North</v>
          </cell>
          <cell r="J561" t="str">
            <v>95.844739</v>
          </cell>
          <cell r="K561" t="str">
            <v>24.393853</v>
          </cell>
          <cell r="L561" t="str">
            <v>Suburban</v>
          </cell>
          <cell r="M561" t="str">
            <v>Sagaing</v>
          </cell>
          <cell r="N561" t="str">
            <v>Banmauk</v>
          </cell>
          <cell r="O561" t="str">
            <v>Banmauk</v>
          </cell>
          <cell r="P561" t="str">
            <v>Sagaing</v>
          </cell>
          <cell r="Q561" t="str">
            <v>11</v>
          </cell>
          <cell r="R561" t="str">
            <v>Banmauk</v>
          </cell>
          <cell r="S561" t="str">
            <v>64</v>
          </cell>
          <cell r="T561" t="str">
            <v>GSM+UMTS</v>
          </cell>
          <cell r="W561" t="str">
            <v>Ph2-Priority</v>
          </cell>
          <cell r="X561" t="str">
            <v>35</v>
          </cell>
          <cell r="Y561" t="str">
            <v>37</v>
          </cell>
          <cell r="Z561" t="str">
            <v>GBT</v>
          </cell>
          <cell r="AA561" t="str">
            <v>250</v>
          </cell>
          <cell r="AB561" t="str">
            <v>Access</v>
          </cell>
          <cell r="AC561" t="str">
            <v>Class B</v>
          </cell>
          <cell r="BE561" t="str">
            <v>Route 15 Taunggyi - Tachileik</v>
          </cell>
          <cell r="BH561" t="str">
            <v>Camusat</v>
          </cell>
          <cell r="BJ561">
            <v>42165</v>
          </cell>
          <cell r="BK561">
            <v>42165</v>
          </cell>
          <cell r="BL561">
            <v>42170</v>
          </cell>
          <cell r="BM561">
            <v>42165</v>
          </cell>
          <cell r="BT561">
            <v>10</v>
          </cell>
          <cell r="BU561">
            <v>42225</v>
          </cell>
          <cell r="BV561">
            <v>42175</v>
          </cell>
          <cell r="BW561" t="str">
            <v>95.84695</v>
          </cell>
          <cell r="BX561" t="str">
            <v>24.39638</v>
          </cell>
          <cell r="BY561" t="str">
            <v>C1</v>
          </cell>
          <cell r="BZ561" t="str">
            <v>Lwazinkone Quarter, Ban-mauk Township, Sagaing Division</v>
          </cell>
          <cell r="CA561" t="str">
            <v>U Chit Hlaing</v>
          </cell>
          <cell r="CB561" t="str">
            <v>20Jun15: C1 SAR Sub</v>
          </cell>
          <cell r="CC561" t="str">
            <v>Village</v>
          </cell>
          <cell r="CE561">
            <v>3</v>
          </cell>
          <cell r="CF561">
            <v>42226</v>
          </cell>
          <cell r="CG561">
            <v>42178</v>
          </cell>
          <cell r="CH561">
            <v>42228</v>
          </cell>
          <cell r="CJ561">
            <v>42197</v>
          </cell>
          <cell r="CK561" t="str">
            <v>35</v>
          </cell>
          <cell r="CL561" t="str">
            <v>37</v>
          </cell>
          <cell r="CM561" t="str">
            <v>40</v>
          </cell>
          <cell r="CN561">
            <v>21</v>
          </cell>
          <cell r="CO561">
            <v>42231</v>
          </cell>
          <cell r="CP561">
            <v>42199</v>
          </cell>
          <cell r="CQ561" t="str">
            <v>M1: grid power + battery</v>
          </cell>
          <cell r="CR561">
            <v>2</v>
          </cell>
          <cell r="CS561">
            <v>42232</v>
          </cell>
          <cell r="CT561">
            <v>42201</v>
          </cell>
          <cell r="CU561" t="str">
            <v>SG0495</v>
          </cell>
          <cell r="DH561">
            <v>32</v>
          </cell>
          <cell r="DI561">
            <v>42242</v>
          </cell>
          <cell r="DK561">
            <v>42239</v>
          </cell>
          <cell r="DL561">
            <v>42198</v>
          </cell>
          <cell r="DM561">
            <v>42243</v>
          </cell>
          <cell r="DN561">
            <v>42198</v>
          </cell>
          <cell r="DO561">
            <v>0</v>
          </cell>
          <cell r="DP561">
            <v>42242</v>
          </cell>
          <cell r="DT561">
            <v>0</v>
          </cell>
          <cell r="DU561">
            <v>42257</v>
          </cell>
          <cell r="DW561">
            <v>0</v>
          </cell>
          <cell r="DY561">
            <v>42243</v>
          </cell>
          <cell r="DZ561">
            <v>42231</v>
          </cell>
          <cell r="EA561" t="str">
            <v>Camusat</v>
          </cell>
          <cell r="EJ561">
            <v>2</v>
          </cell>
          <cell r="EK561">
            <v>42258</v>
          </cell>
          <cell r="EM561">
            <v>42259</v>
          </cell>
          <cell r="EQ561">
            <v>42266</v>
          </cell>
          <cell r="EW561">
            <v>2</v>
          </cell>
          <cell r="EX561">
            <v>42225</v>
          </cell>
          <cell r="EZ561">
            <v>42276</v>
          </cell>
          <cell r="FB561">
            <v>42278</v>
          </cell>
          <cell r="FU561">
            <v>42280</v>
          </cell>
          <cell r="FW561">
            <v>42280</v>
          </cell>
          <cell r="GJ561">
            <v>0</v>
          </cell>
          <cell r="GN561" t="str">
            <v>ERICSSON</v>
          </cell>
          <cell r="HD561">
            <v>1</v>
          </cell>
        </row>
        <row r="562">
          <cell r="A562" t="str">
            <v>SG0497</v>
          </cell>
          <cell r="B562" t="str">
            <v>ANSG_0458</v>
          </cell>
          <cell r="C562" t="str">
            <v>Apollo</v>
          </cell>
          <cell r="D562" t="str">
            <v>Adriaan Coetsee</v>
          </cell>
          <cell r="F562" t="str">
            <v>Aung Thu Win</v>
          </cell>
          <cell r="G562" t="str">
            <v>Kyaw Zay Yar</v>
          </cell>
          <cell r="H562" t="str">
            <v>YELLOW</v>
          </cell>
          <cell r="I562" t="str">
            <v>North</v>
          </cell>
          <cell r="J562" t="str">
            <v>96.151382</v>
          </cell>
          <cell r="K562" t="str">
            <v>23.673413</v>
          </cell>
          <cell r="L562" t="str">
            <v>Suburban</v>
          </cell>
          <cell r="M562" t="str">
            <v>Sagaing</v>
          </cell>
          <cell r="N562" t="str">
            <v>Tigyaing</v>
          </cell>
          <cell r="O562" t="str">
            <v>Tigyaing</v>
          </cell>
          <cell r="P562" t="str">
            <v>Sagaing</v>
          </cell>
          <cell r="Q562" t="str">
            <v>11</v>
          </cell>
          <cell r="R562" t="str">
            <v>Tigyaing</v>
          </cell>
          <cell r="S562" t="str">
            <v>63</v>
          </cell>
          <cell r="T562" t="str">
            <v>GSM+UMTS</v>
          </cell>
          <cell r="W562" t="str">
            <v>Ph2-Priority</v>
          </cell>
          <cell r="X562" t="str">
            <v>35</v>
          </cell>
          <cell r="Y562" t="str">
            <v>37</v>
          </cell>
          <cell r="Z562" t="str">
            <v>GBT</v>
          </cell>
          <cell r="AA562" t="str">
            <v>250</v>
          </cell>
          <cell r="AB562" t="str">
            <v>Access</v>
          </cell>
          <cell r="AC562" t="str">
            <v>Class B</v>
          </cell>
          <cell r="BH562" t="str">
            <v>Camusat</v>
          </cell>
          <cell r="BJ562">
            <v>42135</v>
          </cell>
          <cell r="BK562">
            <v>42130</v>
          </cell>
          <cell r="BL562">
            <v>42140</v>
          </cell>
          <cell r="BM562">
            <v>42156</v>
          </cell>
          <cell r="BT562">
            <v>36</v>
          </cell>
          <cell r="BU562">
            <v>42215</v>
          </cell>
          <cell r="BV562">
            <v>42166</v>
          </cell>
          <cell r="BW562" t="str">
            <v>96.14657</v>
          </cell>
          <cell r="BX562" t="str">
            <v>23.67456</v>
          </cell>
          <cell r="BY562" t="str">
            <v>C2</v>
          </cell>
          <cell r="BZ562" t="str">
            <v>Oak Sone village, Maung Kone group of village, Htee Cheink township, Sagaing division.</v>
          </cell>
          <cell r="CA562" t="str">
            <v>Daw Honey Htun;Oak Sone village, Maung Kone group of village, Htee Cheink township, Sagaing division.;947207149</v>
          </cell>
          <cell r="CB562" t="str">
            <v>11Jun15: C2-SAR submission. C1-rejected during TSS due refusal of lessor for 150m access road to be utilized both construction and O&amp;M.
27May15: C1 SAR Sub</v>
          </cell>
          <cell r="CC562" t="str">
            <v>Residential</v>
          </cell>
          <cell r="CE562">
            <v>1</v>
          </cell>
          <cell r="CF562">
            <v>42216</v>
          </cell>
          <cell r="CG562">
            <v>42167</v>
          </cell>
          <cell r="CH562">
            <v>42218</v>
          </cell>
          <cell r="CJ562">
            <v>42183</v>
          </cell>
          <cell r="CK562" t="str">
            <v>35</v>
          </cell>
          <cell r="CL562" t="str">
            <v>37</v>
          </cell>
          <cell r="CM562" t="str">
            <v>40</v>
          </cell>
          <cell r="CN562">
            <v>18</v>
          </cell>
          <cell r="CO562">
            <v>42221</v>
          </cell>
          <cell r="CP562">
            <v>42185</v>
          </cell>
          <cell r="CQ562" t="str">
            <v>M1: grid power + battery</v>
          </cell>
          <cell r="CR562">
            <v>3</v>
          </cell>
          <cell r="CS562">
            <v>42222</v>
          </cell>
          <cell r="CT562">
            <v>42188</v>
          </cell>
          <cell r="CU562" t="str">
            <v>SG0497</v>
          </cell>
          <cell r="DH562">
            <v>14</v>
          </cell>
          <cell r="DI562">
            <v>42232</v>
          </cell>
          <cell r="DJ562">
            <v>42202</v>
          </cell>
          <cell r="DK562">
            <v>42229</v>
          </cell>
          <cell r="DL562">
            <v>42198</v>
          </cell>
          <cell r="DM562">
            <v>42233</v>
          </cell>
          <cell r="DN562">
            <v>42201</v>
          </cell>
          <cell r="DO562">
            <v>-1</v>
          </cell>
          <cell r="DP562">
            <v>42232</v>
          </cell>
          <cell r="DQ562">
            <v>42201</v>
          </cell>
          <cell r="DT562">
            <v>32</v>
          </cell>
          <cell r="DU562">
            <v>42247</v>
          </cell>
          <cell r="DW562">
            <v>0</v>
          </cell>
          <cell r="DY562">
            <v>42233</v>
          </cell>
          <cell r="DZ562">
            <v>42199</v>
          </cell>
          <cell r="EA562" t="str">
            <v>Camusat</v>
          </cell>
          <cell r="EJ562">
            <v>23</v>
          </cell>
          <cell r="EK562">
            <v>42248</v>
          </cell>
          <cell r="EL562">
            <v>42222</v>
          </cell>
          <cell r="EM562">
            <v>42249</v>
          </cell>
          <cell r="EN562">
            <v>42235</v>
          </cell>
          <cell r="EQ562">
            <v>42256</v>
          </cell>
          <cell r="ER562">
            <v>42245</v>
          </cell>
          <cell r="ES562">
            <v>42234</v>
          </cell>
          <cell r="ET562">
            <v>42245</v>
          </cell>
          <cell r="EU562">
            <v>42245</v>
          </cell>
          <cell r="EW562">
            <v>34</v>
          </cell>
          <cell r="EX562">
            <v>42255</v>
          </cell>
          <cell r="EZ562">
            <v>42266</v>
          </cell>
          <cell r="FA562">
            <v>42241</v>
          </cell>
          <cell r="FB562">
            <v>42268</v>
          </cell>
          <cell r="FC562">
            <v>42250</v>
          </cell>
          <cell r="FU562">
            <v>42270</v>
          </cell>
          <cell r="FW562">
            <v>42270</v>
          </cell>
          <cell r="FX562">
            <v>42250</v>
          </cell>
          <cell r="GI562">
            <v>42307</v>
          </cell>
          <cell r="GJ562" t="str">
            <v>44-2015</v>
          </cell>
          <cell r="GL562" t="str">
            <v>Upstream Dependency; VSAT Solution</v>
          </cell>
          <cell r="GN562" t="str">
            <v>ERICSSON</v>
          </cell>
          <cell r="GQ562" t="str">
            <v xml:space="preserve">Upstream Dependency; V-Sat Solution; </v>
          </cell>
          <cell r="HD562">
            <v>1</v>
          </cell>
        </row>
        <row r="563">
          <cell r="A563" t="str">
            <v>SG0498</v>
          </cell>
          <cell r="B563" t="str">
            <v>ANSG_0459</v>
          </cell>
          <cell r="C563" t="str">
            <v>Apollo</v>
          </cell>
          <cell r="D563" t="str">
            <v>Adriaan Coetsee</v>
          </cell>
          <cell r="F563" t="str">
            <v>Aung Thu Win</v>
          </cell>
          <cell r="G563" t="str">
            <v>Kyaw Zay Yar</v>
          </cell>
          <cell r="H563" t="str">
            <v>AMBER</v>
          </cell>
          <cell r="I563" t="str">
            <v>North</v>
          </cell>
          <cell r="J563" t="str">
            <v>96.157337</v>
          </cell>
          <cell r="K563" t="str">
            <v>23.725055</v>
          </cell>
          <cell r="L563" t="str">
            <v>Suburban</v>
          </cell>
          <cell r="M563" t="str">
            <v>Sagaing</v>
          </cell>
          <cell r="N563" t="str">
            <v>Tigyaing</v>
          </cell>
          <cell r="O563" t="str">
            <v>Tigyaing</v>
          </cell>
          <cell r="P563" t="str">
            <v>Sagaing</v>
          </cell>
          <cell r="Q563" t="str">
            <v>11</v>
          </cell>
          <cell r="R563" t="str">
            <v>Tigyaing</v>
          </cell>
          <cell r="S563" t="str">
            <v>63</v>
          </cell>
          <cell r="T563" t="str">
            <v>GSM+UMTS</v>
          </cell>
          <cell r="W563" t="str">
            <v>Ph2-Priority</v>
          </cell>
          <cell r="X563" t="str">
            <v>35</v>
          </cell>
          <cell r="Y563" t="str">
            <v>37</v>
          </cell>
          <cell r="Z563" t="str">
            <v>GBT</v>
          </cell>
          <cell r="AA563" t="str">
            <v>250</v>
          </cell>
          <cell r="AB563" t="str">
            <v>Access</v>
          </cell>
          <cell r="AC563" t="str">
            <v>Class B</v>
          </cell>
          <cell r="BH563" t="str">
            <v>Camusat</v>
          </cell>
          <cell r="BJ563">
            <v>42135</v>
          </cell>
          <cell r="BK563">
            <v>42130</v>
          </cell>
          <cell r="BL563">
            <v>42140</v>
          </cell>
          <cell r="BM563">
            <v>42139</v>
          </cell>
          <cell r="BT563">
            <v>19</v>
          </cell>
          <cell r="BU563">
            <v>42215</v>
          </cell>
          <cell r="BV563">
            <v>42149</v>
          </cell>
          <cell r="BW563" t="str">
            <v>96.15773</v>
          </cell>
          <cell r="BX563" t="str">
            <v>23.7237</v>
          </cell>
          <cell r="BY563" t="str">
            <v>C1</v>
          </cell>
          <cell r="BZ563" t="str">
            <v>Myataung No(1) Quarter, Myataung Village ,Tig Yaing Township, Kathar District, Sagaing Division</v>
          </cell>
          <cell r="CA563" t="str">
            <v>U Zaw Myat Thu;Myataung No(1) Quarter, Myataung Village Group, Kathar District, Sagaing Division;09 49212387,09 254489973</v>
          </cell>
          <cell r="CB563" t="str">
            <v>25May15: C1 SAR Sub</v>
          </cell>
          <cell r="CC563" t="str">
            <v>Farmland</v>
          </cell>
          <cell r="CE563">
            <v>1</v>
          </cell>
          <cell r="CF563">
            <v>42216</v>
          </cell>
          <cell r="CG563">
            <v>42150</v>
          </cell>
          <cell r="CH563">
            <v>42218</v>
          </cell>
          <cell r="CJ563">
            <v>42168</v>
          </cell>
          <cell r="CK563" t="str">
            <v>35</v>
          </cell>
          <cell r="CL563" t="str">
            <v>37</v>
          </cell>
          <cell r="CM563" t="str">
            <v>40</v>
          </cell>
          <cell r="CN563">
            <v>20</v>
          </cell>
          <cell r="CO563">
            <v>42221</v>
          </cell>
          <cell r="CP563">
            <v>42170</v>
          </cell>
          <cell r="CQ563" t="str">
            <v>M4: solar + DG + battery</v>
          </cell>
          <cell r="CR563">
            <v>2</v>
          </cell>
          <cell r="CS563">
            <v>42222</v>
          </cell>
          <cell r="CT563">
            <v>42172</v>
          </cell>
          <cell r="CU563" t="str">
            <v>SG0498</v>
          </cell>
          <cell r="DH563">
            <v>30</v>
          </cell>
          <cell r="DI563">
            <v>42232</v>
          </cell>
          <cell r="DJ563">
            <v>42202</v>
          </cell>
          <cell r="DK563">
            <v>42229</v>
          </cell>
          <cell r="DL563">
            <v>42198</v>
          </cell>
          <cell r="DM563">
            <v>42233</v>
          </cell>
          <cell r="DN563">
            <v>42200</v>
          </cell>
          <cell r="DO563">
            <v>-1</v>
          </cell>
          <cell r="DP563">
            <v>42232</v>
          </cell>
          <cell r="DQ563">
            <v>42201</v>
          </cell>
          <cell r="DT563">
            <v>32</v>
          </cell>
          <cell r="DU563">
            <v>42247</v>
          </cell>
          <cell r="DW563">
            <v>0</v>
          </cell>
          <cell r="DY563">
            <v>42233</v>
          </cell>
          <cell r="DZ563">
            <v>42200</v>
          </cell>
          <cell r="EA563" t="str">
            <v>Camusat</v>
          </cell>
          <cell r="EJ563">
            <v>33</v>
          </cell>
          <cell r="EK563">
            <v>42248</v>
          </cell>
          <cell r="EL563">
            <v>42238</v>
          </cell>
          <cell r="EM563">
            <v>42249</v>
          </cell>
          <cell r="EN563">
            <v>42241</v>
          </cell>
          <cell r="EQ563">
            <v>42256</v>
          </cell>
          <cell r="ER563">
            <v>42247</v>
          </cell>
          <cell r="ES563">
            <v>42247</v>
          </cell>
          <cell r="ET563">
            <v>42247</v>
          </cell>
          <cell r="EU563">
            <v>42247</v>
          </cell>
          <cell r="EW563">
            <v>33</v>
          </cell>
          <cell r="EX563">
            <v>42255</v>
          </cell>
          <cell r="EZ563">
            <v>42266</v>
          </cell>
          <cell r="FB563">
            <v>42268</v>
          </cell>
          <cell r="FU563">
            <v>42270</v>
          </cell>
          <cell r="FW563">
            <v>42270</v>
          </cell>
          <cell r="FY563" t="str">
            <v>ZM</v>
          </cell>
          <cell r="FZ563">
            <v>42249</v>
          </cell>
          <cell r="GI563">
            <v>42246</v>
          </cell>
          <cell r="GJ563" t="str">
            <v>44-2015</v>
          </cell>
          <cell r="GN563" t="str">
            <v>ERICSSON</v>
          </cell>
          <cell r="HD563">
            <v>1</v>
          </cell>
        </row>
        <row r="564">
          <cell r="A564" t="str">
            <v>SG0499</v>
          </cell>
          <cell r="B564" t="str">
            <v>ANSG_0460</v>
          </cell>
          <cell r="C564" t="str">
            <v>Apollo</v>
          </cell>
          <cell r="D564" t="str">
            <v>Adriaan Coetsee</v>
          </cell>
          <cell r="F564" t="str">
            <v>Aung Thu Win</v>
          </cell>
          <cell r="G564" t="str">
            <v>Kyaw Zay Yar</v>
          </cell>
          <cell r="H564" t="str">
            <v>AMBER</v>
          </cell>
          <cell r="I564" t="str">
            <v>North</v>
          </cell>
          <cell r="J564" t="str">
            <v>96.125746</v>
          </cell>
          <cell r="K564" t="str">
            <v>23.792394</v>
          </cell>
          <cell r="L564" t="str">
            <v>Rural</v>
          </cell>
          <cell r="M564" t="str">
            <v>Sagaing</v>
          </cell>
          <cell r="N564" t="str">
            <v>Tigyaing</v>
          </cell>
          <cell r="O564" t="str">
            <v>Tigyaing</v>
          </cell>
          <cell r="P564" t="str">
            <v>Sagaing</v>
          </cell>
          <cell r="Q564" t="str">
            <v>11</v>
          </cell>
          <cell r="R564" t="str">
            <v>Tigyaing</v>
          </cell>
          <cell r="S564" t="str">
            <v>63</v>
          </cell>
          <cell r="T564" t="str">
            <v>GSM+UMTS</v>
          </cell>
          <cell r="W564" t="str">
            <v>Ph2-Priority</v>
          </cell>
          <cell r="X564" t="str">
            <v>45</v>
          </cell>
          <cell r="Y564" t="str">
            <v>47</v>
          </cell>
          <cell r="Z564" t="str">
            <v>GBT</v>
          </cell>
          <cell r="AA564" t="str">
            <v>500</v>
          </cell>
          <cell r="AB564" t="str">
            <v>Access</v>
          </cell>
          <cell r="AC564" t="str">
            <v>Class C</v>
          </cell>
          <cell r="BH564" t="str">
            <v>Camusat</v>
          </cell>
          <cell r="BJ564">
            <v>42167</v>
          </cell>
          <cell r="BK564">
            <v>42149</v>
          </cell>
          <cell r="BL564">
            <v>42172</v>
          </cell>
          <cell r="BM564">
            <v>42156</v>
          </cell>
          <cell r="BT564">
            <v>17</v>
          </cell>
          <cell r="BU564">
            <v>42219</v>
          </cell>
          <cell r="BV564">
            <v>42166</v>
          </cell>
          <cell r="BW564" t="str">
            <v>96.12957</v>
          </cell>
          <cell r="BX564" t="str">
            <v>23.78993</v>
          </cell>
          <cell r="BY564" t="str">
            <v>C1</v>
          </cell>
          <cell r="BZ564" t="str">
            <v>Ta Khut Village, Htee Chaik Township, Ka Thar District, Sagaing Division</v>
          </cell>
          <cell r="CA564" t="str">
            <v>Daw Khin Mya;09-258477970</v>
          </cell>
          <cell r="CB564" t="str">
            <v>11Jun15: C1 SAR Sub</v>
          </cell>
          <cell r="CC564" t="str">
            <v>Village</v>
          </cell>
          <cell r="CE564">
            <v>1</v>
          </cell>
          <cell r="CF564">
            <v>42220</v>
          </cell>
          <cell r="CG564">
            <v>42167</v>
          </cell>
          <cell r="CH564">
            <v>42222</v>
          </cell>
          <cell r="CJ564">
            <v>42176</v>
          </cell>
          <cell r="CK564" t="str">
            <v>45</v>
          </cell>
          <cell r="CL564" t="str">
            <v>47</v>
          </cell>
          <cell r="CM564" t="str">
            <v>50</v>
          </cell>
          <cell r="CN564">
            <v>11</v>
          </cell>
          <cell r="CO564">
            <v>42225</v>
          </cell>
          <cell r="CP564">
            <v>42178</v>
          </cell>
          <cell r="CQ564" t="str">
            <v>M1: grid power + battery</v>
          </cell>
          <cell r="CR564">
            <v>6</v>
          </cell>
          <cell r="CS564">
            <v>42226</v>
          </cell>
          <cell r="CT564">
            <v>42184</v>
          </cell>
          <cell r="CU564" t="str">
            <v>SG0499</v>
          </cell>
          <cell r="DH564">
            <v>18</v>
          </cell>
          <cell r="DI564">
            <v>42236</v>
          </cell>
          <cell r="DJ564">
            <v>42202</v>
          </cell>
          <cell r="DK564">
            <v>42233</v>
          </cell>
          <cell r="DL564">
            <v>42198</v>
          </cell>
          <cell r="DM564">
            <v>42237</v>
          </cell>
          <cell r="DN564">
            <v>42200</v>
          </cell>
          <cell r="DO564">
            <v>-1</v>
          </cell>
          <cell r="DP564">
            <v>42236</v>
          </cell>
          <cell r="DQ564">
            <v>42201</v>
          </cell>
          <cell r="DT564">
            <v>32</v>
          </cell>
          <cell r="DU564">
            <v>42251</v>
          </cell>
          <cell r="DW564">
            <v>0</v>
          </cell>
          <cell r="DY564">
            <v>42237</v>
          </cell>
          <cell r="DZ564">
            <v>42200</v>
          </cell>
          <cell r="EA564" t="str">
            <v>Camusat</v>
          </cell>
          <cell r="EJ564">
            <v>33</v>
          </cell>
          <cell r="EK564">
            <v>42254</v>
          </cell>
          <cell r="EM564">
            <v>42255</v>
          </cell>
          <cell r="EQ564">
            <v>42264</v>
          </cell>
          <cell r="EW564">
            <v>33</v>
          </cell>
          <cell r="EX564">
            <v>42278</v>
          </cell>
          <cell r="EZ564">
            <v>42274</v>
          </cell>
          <cell r="FB564">
            <v>42276</v>
          </cell>
          <cell r="FU564">
            <v>42278</v>
          </cell>
          <cell r="FW564">
            <v>42278</v>
          </cell>
          <cell r="GI564">
            <v>42307</v>
          </cell>
          <cell r="GJ564" t="str">
            <v>44-2015</v>
          </cell>
          <cell r="GN564" t="str">
            <v>ERICSSON</v>
          </cell>
          <cell r="HD564">
            <v>1</v>
          </cell>
        </row>
        <row r="565">
          <cell r="A565" t="str">
            <v>SG0502</v>
          </cell>
          <cell r="B565" t="str">
            <v>ANSG_0461</v>
          </cell>
          <cell r="C565" t="str">
            <v>Apollo</v>
          </cell>
          <cell r="D565" t="str">
            <v>Adriaan Coetsee</v>
          </cell>
          <cell r="F565" t="str">
            <v>Aung Thu Win</v>
          </cell>
          <cell r="G565" t="str">
            <v>Kyaw Zay Yar</v>
          </cell>
          <cell r="H565" t="str">
            <v>RED</v>
          </cell>
          <cell r="I565" t="str">
            <v>North</v>
          </cell>
          <cell r="J565" t="str">
            <v>96.197839</v>
          </cell>
          <cell r="K565" t="str">
            <v>24.338457</v>
          </cell>
          <cell r="L565" t="str">
            <v>Rural</v>
          </cell>
          <cell r="M565" t="str">
            <v>Sagaing</v>
          </cell>
          <cell r="N565" t="str">
            <v>Indaw</v>
          </cell>
          <cell r="O565" t="str">
            <v>Indaw</v>
          </cell>
          <cell r="P565" t="str">
            <v>Sagaing</v>
          </cell>
          <cell r="Q565" t="str">
            <v>11</v>
          </cell>
          <cell r="R565" t="str">
            <v>Indaw</v>
          </cell>
          <cell r="S565" t="str">
            <v>62</v>
          </cell>
          <cell r="T565" t="str">
            <v>GSM+UMTS</v>
          </cell>
          <cell r="W565" t="str">
            <v>Ph2-Priority</v>
          </cell>
          <cell r="X565" t="str">
            <v>45</v>
          </cell>
          <cell r="Y565" t="str">
            <v>47</v>
          </cell>
          <cell r="Z565" t="str">
            <v>GBT</v>
          </cell>
          <cell r="AA565" t="str">
            <v>500</v>
          </cell>
          <cell r="AB565" t="str">
            <v>Access</v>
          </cell>
          <cell r="AC565" t="str">
            <v>Class C</v>
          </cell>
          <cell r="BH565" t="str">
            <v>Camusat</v>
          </cell>
          <cell r="BJ565">
            <v>42165</v>
          </cell>
          <cell r="BK565">
            <v>42166</v>
          </cell>
          <cell r="BL565">
            <v>42170</v>
          </cell>
          <cell r="BM565">
            <v>42173</v>
          </cell>
          <cell r="BT565">
            <v>67</v>
          </cell>
          <cell r="BU565">
            <v>42219</v>
          </cell>
          <cell r="BV565">
            <v>42213</v>
          </cell>
          <cell r="BW565" t="str">
            <v>96.19533</v>
          </cell>
          <cell r="BX565" t="str">
            <v>24.3375</v>
          </cell>
          <cell r="BY565" t="str">
            <v>C1</v>
          </cell>
          <cell r="BZ565" t="str">
            <v>Pin Wei Village, Indaw Township, Sagaing Division.</v>
          </cell>
          <cell r="CA565" t="str">
            <v>U Kyaw Myo Naing</v>
          </cell>
          <cell r="CB565" t="str">
            <v>28 July 15:C1-SAR submission</v>
          </cell>
          <cell r="CC565" t="str">
            <v>Village</v>
          </cell>
          <cell r="CE565">
            <v>1</v>
          </cell>
          <cell r="CF565">
            <v>42220</v>
          </cell>
          <cell r="CG565">
            <v>42214</v>
          </cell>
          <cell r="CH565">
            <v>42222</v>
          </cell>
          <cell r="CJ565">
            <v>42232</v>
          </cell>
          <cell r="CK565" t="str">
            <v>45</v>
          </cell>
          <cell r="CL565" t="str">
            <v>47</v>
          </cell>
          <cell r="CM565" t="str">
            <v>60</v>
          </cell>
          <cell r="CN565">
            <v>19</v>
          </cell>
          <cell r="CO565">
            <v>42225</v>
          </cell>
          <cell r="CP565">
            <v>42234</v>
          </cell>
          <cell r="CQ565" t="str">
            <v>M1: grid power + battery</v>
          </cell>
          <cell r="CR565">
            <v>0</v>
          </cell>
          <cell r="CS565">
            <v>42226</v>
          </cell>
          <cell r="CT565">
            <v>42235</v>
          </cell>
          <cell r="CU565" t="str">
            <v>SG0502</v>
          </cell>
          <cell r="DH565">
            <v>0</v>
          </cell>
          <cell r="DI565">
            <v>42236</v>
          </cell>
          <cell r="DK565">
            <v>42233</v>
          </cell>
          <cell r="DM565">
            <v>42237</v>
          </cell>
          <cell r="DO565">
            <v>0</v>
          </cell>
          <cell r="DP565">
            <v>42236</v>
          </cell>
          <cell r="DT565">
            <v>0</v>
          </cell>
          <cell r="DU565">
            <v>42251</v>
          </cell>
          <cell r="DW565">
            <v>0</v>
          </cell>
          <cell r="DY565">
            <v>42237</v>
          </cell>
          <cell r="DZ565">
            <v>42250</v>
          </cell>
          <cell r="EA565" t="str">
            <v>Camusat</v>
          </cell>
          <cell r="EJ565">
            <v>0</v>
          </cell>
          <cell r="EK565">
            <v>42259</v>
          </cell>
          <cell r="EM565">
            <v>42260</v>
          </cell>
          <cell r="EQ565">
            <v>42272</v>
          </cell>
          <cell r="EW565">
            <v>0</v>
          </cell>
          <cell r="EX565">
            <v>42286</v>
          </cell>
          <cell r="EZ565">
            <v>42282</v>
          </cell>
          <cell r="FB565">
            <v>42284</v>
          </cell>
          <cell r="FU565">
            <v>42286</v>
          </cell>
          <cell r="FW565">
            <v>42286</v>
          </cell>
          <cell r="GI565">
            <v>42246</v>
          </cell>
          <cell r="GJ565">
            <v>0</v>
          </cell>
          <cell r="GN565" t="str">
            <v>ERICSSON</v>
          </cell>
          <cell r="GU565" t="str">
            <v xml:space="preserve">		</v>
          </cell>
          <cell r="HD565">
            <v>1</v>
          </cell>
        </row>
        <row r="566">
          <cell r="A566" t="str">
            <v>SG0503</v>
          </cell>
          <cell r="B566" t="str">
            <v>ANSG_0462</v>
          </cell>
          <cell r="C566" t="str">
            <v>Apollo</v>
          </cell>
          <cell r="D566" t="str">
            <v>Adriaan Coetsee</v>
          </cell>
          <cell r="F566" t="str">
            <v>Aung Thu Win</v>
          </cell>
          <cell r="G566" t="str">
            <v>Kyaw Zay Yar</v>
          </cell>
          <cell r="H566" t="str">
            <v>AMBER</v>
          </cell>
          <cell r="I566" t="str">
            <v>North</v>
          </cell>
          <cell r="J566" t="str">
            <v>96.3603979999999</v>
          </cell>
          <cell r="K566" t="str">
            <v>24.20564</v>
          </cell>
          <cell r="L566" t="str">
            <v>Rural</v>
          </cell>
          <cell r="M566" t="str">
            <v>Sagaing</v>
          </cell>
          <cell r="N566" t="str">
            <v>Katha</v>
          </cell>
          <cell r="O566" t="str">
            <v>Katha</v>
          </cell>
          <cell r="P566" t="str">
            <v>Sagaing</v>
          </cell>
          <cell r="Q566" t="str">
            <v>11</v>
          </cell>
          <cell r="R566" t="str">
            <v>Katha</v>
          </cell>
          <cell r="S566" t="str">
            <v>61</v>
          </cell>
          <cell r="T566" t="str">
            <v>GSM+UMTS</v>
          </cell>
          <cell r="W566" t="str">
            <v>Ph2-Priority</v>
          </cell>
          <cell r="X566" t="str">
            <v>45</v>
          </cell>
          <cell r="Y566" t="str">
            <v>47</v>
          </cell>
          <cell r="Z566" t="str">
            <v>GBT</v>
          </cell>
          <cell r="AA566" t="str">
            <v>500</v>
          </cell>
          <cell r="AB566" t="str">
            <v>Access</v>
          </cell>
          <cell r="AC566" t="str">
            <v>Class C</v>
          </cell>
          <cell r="BH566" t="str">
            <v>Camusat</v>
          </cell>
          <cell r="BJ566">
            <v>42165</v>
          </cell>
          <cell r="BK566">
            <v>42148</v>
          </cell>
          <cell r="BL566">
            <v>42170</v>
          </cell>
          <cell r="BM566">
            <v>42155</v>
          </cell>
          <cell r="BT566">
            <v>31</v>
          </cell>
          <cell r="BU566">
            <v>42219</v>
          </cell>
          <cell r="BV566">
            <v>42179</v>
          </cell>
          <cell r="BW566" t="str">
            <v>96.35877</v>
          </cell>
          <cell r="BX566" t="str">
            <v>24.20868</v>
          </cell>
          <cell r="BY566" t="str">
            <v>C1</v>
          </cell>
          <cell r="BZ566" t="str">
            <v>Ka Thar Township, Paw Ma Myaing Village.</v>
          </cell>
          <cell r="CA566" t="str">
            <v>U Owm Shwe;Ka Thar Township, Paw Ma Myaing Village;09 258439992</v>
          </cell>
          <cell r="CB566" t="str">
            <v>24 June 15 : C1 revision sub with coordinates correction ;10Jun15:C1 SAR Sub and approved</v>
          </cell>
          <cell r="CE566">
            <v>2</v>
          </cell>
          <cell r="CF566">
            <v>42220</v>
          </cell>
          <cell r="CG566">
            <v>42181</v>
          </cell>
          <cell r="CH566">
            <v>42222</v>
          </cell>
          <cell r="CJ566">
            <v>42186</v>
          </cell>
          <cell r="CK566" t="str">
            <v>45</v>
          </cell>
          <cell r="CL566" t="str">
            <v>47</v>
          </cell>
          <cell r="CM566" t="str">
            <v>50</v>
          </cell>
          <cell r="CN566">
            <v>7</v>
          </cell>
          <cell r="CO566">
            <v>42225</v>
          </cell>
          <cell r="CP566">
            <v>42188</v>
          </cell>
          <cell r="CQ566" t="str">
            <v>M4: solar + DG + battery</v>
          </cell>
          <cell r="CR566">
            <v>3</v>
          </cell>
          <cell r="CS566">
            <v>42226</v>
          </cell>
          <cell r="CT566">
            <v>42191</v>
          </cell>
          <cell r="CU566" t="str">
            <v>SG0503</v>
          </cell>
          <cell r="DH566">
            <v>26</v>
          </cell>
          <cell r="DI566">
            <v>42236</v>
          </cell>
          <cell r="DJ566">
            <v>42217</v>
          </cell>
          <cell r="DK566">
            <v>42233</v>
          </cell>
          <cell r="DL566">
            <v>42242</v>
          </cell>
          <cell r="DM566">
            <v>42237</v>
          </cell>
          <cell r="DN566">
            <v>42207</v>
          </cell>
          <cell r="DO566">
            <v>0</v>
          </cell>
          <cell r="DP566">
            <v>42236</v>
          </cell>
          <cell r="DQ566">
            <v>42217</v>
          </cell>
          <cell r="DT566">
            <v>16</v>
          </cell>
          <cell r="DU566">
            <v>42251</v>
          </cell>
          <cell r="DW566">
            <v>0</v>
          </cell>
          <cell r="DY566">
            <v>42237</v>
          </cell>
          <cell r="DZ566">
            <v>42215</v>
          </cell>
          <cell r="EA566" t="str">
            <v>Camusat</v>
          </cell>
          <cell r="EB566">
            <v>42217</v>
          </cell>
          <cell r="EE566" t="str">
            <v xml:space="preserve">10 Aug 15:Flood affected_Hold-No access; 1-Aug-15: ACCESS PROBLEM IF CONTINUOUS RAIN (DIRT ROAD)								</v>
          </cell>
          <cell r="EJ566">
            <v>18</v>
          </cell>
          <cell r="EK566">
            <v>42254</v>
          </cell>
          <cell r="EL566">
            <v>42243</v>
          </cell>
          <cell r="EM566">
            <v>42255</v>
          </cell>
          <cell r="EQ566">
            <v>42264</v>
          </cell>
          <cell r="EW566">
            <v>18</v>
          </cell>
          <cell r="EX566">
            <v>42278</v>
          </cell>
          <cell r="EZ566">
            <v>42274</v>
          </cell>
          <cell r="FB566">
            <v>42276</v>
          </cell>
          <cell r="FU566">
            <v>42278</v>
          </cell>
          <cell r="FW566">
            <v>42278</v>
          </cell>
          <cell r="GI566">
            <v>42307</v>
          </cell>
          <cell r="GJ566" t="str">
            <v>44-2015</v>
          </cell>
          <cell r="GN566" t="str">
            <v>ERICSSON</v>
          </cell>
          <cell r="HD566">
            <v>1</v>
          </cell>
        </row>
        <row r="567">
          <cell r="A567" t="str">
            <v>SG0506</v>
          </cell>
          <cell r="B567" t="str">
            <v>ANSG_0463</v>
          </cell>
          <cell r="C567" t="str">
            <v>Apollo</v>
          </cell>
          <cell r="D567" t="str">
            <v>Adriaan Coetsee</v>
          </cell>
          <cell r="F567" t="str">
            <v>Aung Thu Win</v>
          </cell>
          <cell r="G567" t="str">
            <v>Kyaw Zay Yar</v>
          </cell>
          <cell r="H567" t="str">
            <v>AMBER</v>
          </cell>
          <cell r="I567" t="str">
            <v>North</v>
          </cell>
          <cell r="J567" t="str">
            <v>94.81524234</v>
          </cell>
          <cell r="K567" t="str">
            <v>22.5293675</v>
          </cell>
          <cell r="L567" t="str">
            <v>Rural</v>
          </cell>
          <cell r="M567" t="str">
            <v>Sagaing</v>
          </cell>
          <cell r="N567" t="str">
            <v>Kani</v>
          </cell>
          <cell r="O567" t="str">
            <v>Kani</v>
          </cell>
          <cell r="P567" t="str">
            <v>Sagaing</v>
          </cell>
          <cell r="Q567" t="str">
            <v>11</v>
          </cell>
          <cell r="R567" t="str">
            <v>Kani</v>
          </cell>
          <cell r="S567" t="str">
            <v>58</v>
          </cell>
          <cell r="T567" t="str">
            <v>GSM+UMTS</v>
          </cell>
          <cell r="W567" t="str">
            <v>Ph2-Priority</v>
          </cell>
          <cell r="X567" t="str">
            <v>55</v>
          </cell>
          <cell r="Y567" t="str">
            <v>57</v>
          </cell>
          <cell r="Z567" t="str">
            <v>GBT</v>
          </cell>
          <cell r="AA567" t="str">
            <v>500</v>
          </cell>
          <cell r="AB567" t="str">
            <v>Access</v>
          </cell>
          <cell r="AC567" t="str">
            <v>Class C</v>
          </cell>
          <cell r="BH567" t="str">
            <v>Camusat</v>
          </cell>
          <cell r="BJ567">
            <v>42165</v>
          </cell>
          <cell r="BK567">
            <v>42144</v>
          </cell>
          <cell r="BL567">
            <v>42170</v>
          </cell>
          <cell r="BM567">
            <v>42151</v>
          </cell>
          <cell r="BT567">
            <v>17</v>
          </cell>
          <cell r="BU567">
            <v>42256</v>
          </cell>
          <cell r="BV567">
            <v>42161</v>
          </cell>
          <cell r="BW567" t="str">
            <v>94.81441</v>
          </cell>
          <cell r="BX567" t="str">
            <v>22.52941</v>
          </cell>
          <cell r="BY567" t="str">
            <v>C1</v>
          </cell>
          <cell r="BZ567" t="str">
            <v>Zeephyukhone village, Kani Township, Sagaing Division</v>
          </cell>
          <cell r="CA567" t="str">
            <v>U Phoe Htay;Zeephyukhone village, Kani Township, Sagaing Division;09-256195971</v>
          </cell>
          <cell r="CB567" t="str">
            <v>6Jun15: C1 SAR Sub</v>
          </cell>
          <cell r="CC567" t="str">
            <v>Residential</v>
          </cell>
          <cell r="CE567">
            <v>2</v>
          </cell>
          <cell r="CF567">
            <v>42257</v>
          </cell>
          <cell r="CG567">
            <v>42163</v>
          </cell>
          <cell r="CH567">
            <v>42259</v>
          </cell>
          <cell r="CJ567">
            <v>42174</v>
          </cell>
          <cell r="CK567" t="str">
            <v>50</v>
          </cell>
          <cell r="CL567" t="str">
            <v>52</v>
          </cell>
          <cell r="CM567" t="str">
            <v>60</v>
          </cell>
          <cell r="CN567">
            <v>13</v>
          </cell>
          <cell r="CO567">
            <v>42262</v>
          </cell>
          <cell r="CP567">
            <v>42176</v>
          </cell>
          <cell r="CQ567" t="str">
            <v>M4: solar + DG + battery</v>
          </cell>
          <cell r="CR567">
            <v>8</v>
          </cell>
          <cell r="CS567">
            <v>42263</v>
          </cell>
          <cell r="CT567">
            <v>42184</v>
          </cell>
          <cell r="CU567" t="str">
            <v>SG0506</v>
          </cell>
          <cell r="DH567">
            <v>18</v>
          </cell>
          <cell r="DI567">
            <v>42273</v>
          </cell>
          <cell r="DJ567">
            <v>42202</v>
          </cell>
          <cell r="DK567">
            <v>42270</v>
          </cell>
          <cell r="DL567">
            <v>42172</v>
          </cell>
          <cell r="DM567">
            <v>42274</v>
          </cell>
          <cell r="DN567">
            <v>42202</v>
          </cell>
          <cell r="DO567">
            <v>-1</v>
          </cell>
          <cell r="DP567">
            <v>42273</v>
          </cell>
          <cell r="DQ567">
            <v>42201</v>
          </cell>
          <cell r="DT567">
            <v>32</v>
          </cell>
          <cell r="DU567">
            <v>42288</v>
          </cell>
          <cell r="DW567">
            <v>0</v>
          </cell>
          <cell r="DY567">
            <v>42274</v>
          </cell>
          <cell r="DZ567">
            <v>42201</v>
          </cell>
          <cell r="EA567" t="str">
            <v>Camusat</v>
          </cell>
          <cell r="EB567">
            <v>42202</v>
          </cell>
          <cell r="ED567" t="str">
            <v xml:space="preserve">12Aug15 :KaungHtet: Lean concrete casting is done. This site is now stopped for payment issue but according to owner,it is going to restart the work in coming one or two days.
</v>
          </cell>
          <cell r="EE567" t="str">
            <v xml:space="preserve">10 Aug 15:Flood affected_Hold-No access; 17-Jul-15Flooded access or site is flooded_ we canÆt proceed to this site for now								</v>
          </cell>
          <cell r="EJ567">
            <v>32</v>
          </cell>
          <cell r="EK567">
            <v>42296</v>
          </cell>
          <cell r="EM567">
            <v>42297</v>
          </cell>
          <cell r="EQ567">
            <v>42309</v>
          </cell>
          <cell r="EW567">
            <v>32</v>
          </cell>
          <cell r="EX567">
            <v>42323</v>
          </cell>
          <cell r="EZ567">
            <v>42319</v>
          </cell>
          <cell r="FB567">
            <v>42321</v>
          </cell>
          <cell r="FU567">
            <v>42323</v>
          </cell>
          <cell r="FW567">
            <v>42323</v>
          </cell>
          <cell r="GI567">
            <v>42307</v>
          </cell>
          <cell r="GJ567" t="str">
            <v>44-2015</v>
          </cell>
          <cell r="GN567" t="str">
            <v>ERICSSON</v>
          </cell>
          <cell r="HD567">
            <v>1</v>
          </cell>
        </row>
        <row r="568">
          <cell r="A568" t="str">
            <v>SG0515</v>
          </cell>
          <cell r="B568" t="str">
            <v>ANSG_0464</v>
          </cell>
          <cell r="C568" t="str">
            <v>Apollo</v>
          </cell>
          <cell r="D568" t="str">
            <v>Adriaan Coetsee</v>
          </cell>
          <cell r="F568" t="str">
            <v>Aung Thu Win</v>
          </cell>
          <cell r="G568" t="str">
            <v>Kyaw Zay Yar</v>
          </cell>
          <cell r="H568" t="str">
            <v>RED</v>
          </cell>
          <cell r="I568" t="str">
            <v>North</v>
          </cell>
          <cell r="J568" t="str">
            <v>95.684218</v>
          </cell>
          <cell r="K568" t="str">
            <v>26.006203</v>
          </cell>
          <cell r="L568" t="str">
            <v>Suburban</v>
          </cell>
          <cell r="M568" t="str">
            <v>Sagaing</v>
          </cell>
          <cell r="N568" t="str">
            <v>Hkamti</v>
          </cell>
          <cell r="O568" t="str">
            <v>Hkamti</v>
          </cell>
          <cell r="P568" t="str">
            <v>Sagaing</v>
          </cell>
          <cell r="Q568" t="str">
            <v>11</v>
          </cell>
          <cell r="R568" t="str">
            <v>Hkamti</v>
          </cell>
          <cell r="S568" t="str">
            <v>74</v>
          </cell>
          <cell r="T568" t="str">
            <v>GSM+UMTS</v>
          </cell>
          <cell r="W568" t="str">
            <v>Ph2-Priority</v>
          </cell>
          <cell r="X568" t="str">
            <v>35</v>
          </cell>
          <cell r="Y568" t="str">
            <v>37</v>
          </cell>
          <cell r="Z568" t="str">
            <v>GBT</v>
          </cell>
          <cell r="AA568" t="str">
            <v>250</v>
          </cell>
          <cell r="AB568" t="str">
            <v>Access</v>
          </cell>
          <cell r="AC568" t="str">
            <v>Class B</v>
          </cell>
          <cell r="BH568" t="str">
            <v>Camusat</v>
          </cell>
          <cell r="BJ568">
            <v>42165</v>
          </cell>
          <cell r="BK568">
            <v>42166</v>
          </cell>
          <cell r="BL568">
            <v>42170</v>
          </cell>
          <cell r="BM568">
            <v>42148</v>
          </cell>
          <cell r="BT568">
            <v>48</v>
          </cell>
          <cell r="BU568">
            <v>42225</v>
          </cell>
          <cell r="BV568">
            <v>42214</v>
          </cell>
          <cell r="BW568" t="str">
            <v>95.68473</v>
          </cell>
          <cell r="BX568" t="str">
            <v>26.006711</v>
          </cell>
          <cell r="BY568" t="str">
            <v>C1</v>
          </cell>
          <cell r="BZ568" t="str">
            <v>Pawmine Quarter, Khamti Township, Sagaing Division</v>
          </cell>
          <cell r="CA568" t="str">
            <v>Daw Su Su Lin</v>
          </cell>
          <cell r="CB568" t="str">
            <v>18 Aug 15 : C1 TSSR app(This site is approved as VSAT transmission _6000 site plan);04 Aug 15 : C1 SAR revision approved as an option 1(TND approved this site as VSAT.);29 July 15:C1-SAR resubmission (coordinates revision due to uncalibrated GPS during site hunting);6 July 15 : C1 SAR approved as an option 1(TND approved with 47M MW antenna for SG0515_C01);22 June 15 : C1 SAR sub</v>
          </cell>
          <cell r="CC568" t="str">
            <v>Village</v>
          </cell>
          <cell r="CE568">
            <v>6</v>
          </cell>
          <cell r="CF568">
            <v>42226</v>
          </cell>
          <cell r="CG568">
            <v>42220</v>
          </cell>
          <cell r="CH568">
            <v>42228</v>
          </cell>
          <cell r="CJ568">
            <v>42227</v>
          </cell>
          <cell r="CK568" t="str">
            <v>35</v>
          </cell>
          <cell r="CL568" t="str">
            <v>37</v>
          </cell>
          <cell r="CM568" t="str">
            <v>50</v>
          </cell>
          <cell r="CN568">
            <v>9</v>
          </cell>
          <cell r="CO568">
            <v>42231</v>
          </cell>
          <cell r="CP568">
            <v>42229</v>
          </cell>
          <cell r="CQ568" t="str">
            <v>M1: grid power + battery</v>
          </cell>
          <cell r="CR568">
            <v>4</v>
          </cell>
          <cell r="CS568">
            <v>42232</v>
          </cell>
          <cell r="CT568">
            <v>42234</v>
          </cell>
          <cell r="CU568" t="str">
            <v>SG0515</v>
          </cell>
          <cell r="DH568">
            <v>0</v>
          </cell>
          <cell r="DI568">
            <v>42242</v>
          </cell>
          <cell r="DJ568">
            <v>42209</v>
          </cell>
          <cell r="DK568">
            <v>42239</v>
          </cell>
          <cell r="DL568">
            <v>42220</v>
          </cell>
          <cell r="DM568">
            <v>42243</v>
          </cell>
          <cell r="DN568">
            <v>42199</v>
          </cell>
          <cell r="DO568">
            <v>0</v>
          </cell>
          <cell r="DP568">
            <v>42242</v>
          </cell>
          <cell r="DQ568">
            <v>42209</v>
          </cell>
          <cell r="DT568">
            <v>0</v>
          </cell>
          <cell r="DU568">
            <v>42257</v>
          </cell>
          <cell r="DW568">
            <v>0</v>
          </cell>
          <cell r="DY568">
            <v>42243</v>
          </cell>
          <cell r="DZ568">
            <v>42194</v>
          </cell>
          <cell r="EA568" t="str">
            <v>Camusat</v>
          </cell>
          <cell r="EB568">
            <v>42216</v>
          </cell>
          <cell r="EE568" t="str">
            <v xml:space="preserve">10 Aug 15:Flood affected_Hold-No access; 31-Jul-15:Site is full of water								</v>
          </cell>
          <cell r="EJ568">
            <v>0</v>
          </cell>
          <cell r="EK568">
            <v>42258</v>
          </cell>
          <cell r="EL568">
            <v>42205</v>
          </cell>
          <cell r="EM568">
            <v>42259</v>
          </cell>
          <cell r="EN568">
            <v>42205</v>
          </cell>
          <cell r="EQ568">
            <v>42266</v>
          </cell>
          <cell r="ER568">
            <v>42209</v>
          </cell>
          <cell r="ES568">
            <v>42222</v>
          </cell>
          <cell r="ET568">
            <v>42224</v>
          </cell>
          <cell r="EU568">
            <v>42224</v>
          </cell>
          <cell r="EW568">
            <v>0</v>
          </cell>
          <cell r="EX568">
            <v>42225</v>
          </cell>
          <cell r="EZ568">
            <v>42276</v>
          </cell>
          <cell r="FA568">
            <v>42226</v>
          </cell>
          <cell r="FB568">
            <v>42278</v>
          </cell>
          <cell r="FC568">
            <v>42231</v>
          </cell>
          <cell r="FU568">
            <v>42280</v>
          </cell>
          <cell r="FW568">
            <v>42280</v>
          </cell>
          <cell r="FX568">
            <v>42232</v>
          </cell>
          <cell r="FY568" t="str">
            <v>TN</v>
          </cell>
          <cell r="FZ568">
            <v>42207</v>
          </cell>
          <cell r="GA568">
            <v>42209</v>
          </cell>
          <cell r="GB568">
            <v>42220</v>
          </cell>
          <cell r="GC568">
            <v>42227</v>
          </cell>
          <cell r="GD568">
            <v>42227</v>
          </cell>
          <cell r="GE568">
            <v>42220</v>
          </cell>
          <cell r="GF568">
            <v>42233</v>
          </cell>
          <cell r="GG568">
            <v>42233</v>
          </cell>
          <cell r="GH568">
            <v>42233</v>
          </cell>
          <cell r="GI568">
            <v>42246</v>
          </cell>
          <cell r="GJ568">
            <v>0</v>
          </cell>
          <cell r="GK568">
            <v>42233</v>
          </cell>
          <cell r="GN568" t="str">
            <v xml:space="preserve">ERICSSON </v>
          </cell>
          <cell r="GS568" t="str">
            <v>4/4/4</v>
          </cell>
          <cell r="GU568" t="str">
            <v xml:space="preserve">		</v>
          </cell>
          <cell r="HD568">
            <v>1</v>
          </cell>
        </row>
        <row r="569">
          <cell r="A569" t="str">
            <v>SG0516</v>
          </cell>
          <cell r="B569" t="str">
            <v>ANSG_0465</v>
          </cell>
          <cell r="C569" t="str">
            <v>Apollo</v>
          </cell>
          <cell r="D569" t="str">
            <v>Adriaan Coetsee</v>
          </cell>
          <cell r="F569" t="str">
            <v>Aung Thu Win</v>
          </cell>
          <cell r="G569" t="str">
            <v>Kyaw Zay Yar</v>
          </cell>
          <cell r="H569" t="str">
            <v>RED</v>
          </cell>
          <cell r="I569" t="str">
            <v>North</v>
          </cell>
          <cell r="J569" t="str">
            <v>94.953927</v>
          </cell>
          <cell r="K569" t="str">
            <v>25.444572</v>
          </cell>
          <cell r="L569" t="str">
            <v>Rural</v>
          </cell>
          <cell r="M569" t="str">
            <v>Sagaing</v>
          </cell>
          <cell r="N569" t="str">
            <v>Lay Shi</v>
          </cell>
          <cell r="O569" t="str">
            <v>Lay Shi</v>
          </cell>
          <cell r="P569" t="str">
            <v>Sagaing</v>
          </cell>
          <cell r="Q569" t="str">
            <v>11</v>
          </cell>
          <cell r="R569" t="str">
            <v>Lay Shi</v>
          </cell>
          <cell r="S569" t="str">
            <v>76</v>
          </cell>
          <cell r="T569" t="str">
            <v>GSM+UMTS</v>
          </cell>
          <cell r="W569" t="str">
            <v>Ph2-Priority</v>
          </cell>
          <cell r="X569" t="str">
            <v>45</v>
          </cell>
          <cell r="Y569" t="str">
            <v>47</v>
          </cell>
          <cell r="Z569" t="str">
            <v>GBT</v>
          </cell>
          <cell r="AA569" t="str">
            <v>500</v>
          </cell>
          <cell r="AB569" t="str">
            <v>Access</v>
          </cell>
          <cell r="AC569" t="str">
            <v>Class C</v>
          </cell>
          <cell r="BH569" t="str">
            <v>Camusat</v>
          </cell>
          <cell r="BJ569">
            <v>42152</v>
          </cell>
          <cell r="BK569">
            <v>42136</v>
          </cell>
          <cell r="BL569">
            <v>42157</v>
          </cell>
          <cell r="BM569">
            <v>42143</v>
          </cell>
          <cell r="BT569">
            <v>17</v>
          </cell>
          <cell r="BU569">
            <v>42231</v>
          </cell>
          <cell r="BV569">
            <v>42153</v>
          </cell>
          <cell r="BW569" t="str">
            <v>96.62224</v>
          </cell>
          <cell r="BX569" t="str">
            <v>16.66018</v>
          </cell>
          <cell r="BY569" t="str">
            <v>Reject</v>
          </cell>
          <cell r="BZ569" t="str">
            <v>No. 74, U Paing No. (35/2), Ywar Lal Street, Poke Ta Lote Village, Kyauktan Township, Yangon Division.</v>
          </cell>
          <cell r="CA569" t="str">
            <v>U Khin Zaw Lay;No. 74, Ywar Lal Street, Poke Ta Lote Village, Kyauktan Township, Yangon Division;09-8611090, 09-5084912</v>
          </cell>
          <cell r="CB569" t="str">
            <v>10 Aug 15: C2 SAR rejected (TND rejected. 5m clearance and can't reroute. TND can approve with new location 25.447210°, 94.955304°(population area) or 25.441952, 94.957431(mountain top));03 Aug 15 : C2 SAR sub; 03 Aug 15 : C1 SAR rejected( TND rejected. 5m clearance and can't reroute. TND can approve with new location 25.447210°, 94.955304° or 25.441952, 94.957431)</v>
          </cell>
          <cell r="CE569">
            <v>0</v>
          </cell>
          <cell r="CF569">
            <v>42232</v>
          </cell>
          <cell r="CG569">
            <v>42156</v>
          </cell>
          <cell r="CH569">
            <v>42234</v>
          </cell>
          <cell r="CJ569">
            <v>42161</v>
          </cell>
          <cell r="CK569" t="str">
            <v>45</v>
          </cell>
          <cell r="CL569" t="str">
            <v>47</v>
          </cell>
          <cell r="CM569" t="str">
            <v>45</v>
          </cell>
          <cell r="CN569">
            <v>0</v>
          </cell>
          <cell r="CO569">
            <v>42237</v>
          </cell>
          <cell r="CP569">
            <v>42163</v>
          </cell>
          <cell r="CQ569" t="str">
            <v>M4: solar + DG + battery</v>
          </cell>
          <cell r="CR569">
            <v>0</v>
          </cell>
          <cell r="CS569">
            <v>42238</v>
          </cell>
          <cell r="CT569">
            <v>42166</v>
          </cell>
          <cell r="CU569" t="str">
            <v>SG0516</v>
          </cell>
          <cell r="DH569">
            <v>0</v>
          </cell>
          <cell r="DI569">
            <v>42248</v>
          </cell>
          <cell r="DJ569">
            <v>42175</v>
          </cell>
          <cell r="DK569">
            <v>42245</v>
          </cell>
          <cell r="DL569">
            <v>42178</v>
          </cell>
          <cell r="DM569">
            <v>42249</v>
          </cell>
          <cell r="DN569">
            <v>42178</v>
          </cell>
          <cell r="DO569">
            <v>0</v>
          </cell>
          <cell r="DP569">
            <v>42248</v>
          </cell>
          <cell r="DQ569">
            <v>42175</v>
          </cell>
          <cell r="DT569">
            <v>0</v>
          </cell>
          <cell r="DU569">
            <v>42263</v>
          </cell>
          <cell r="DW569">
            <v>0</v>
          </cell>
          <cell r="DY569">
            <v>42249</v>
          </cell>
          <cell r="DZ569">
            <v>42179</v>
          </cell>
          <cell r="EA569" t="str">
            <v>Camusat</v>
          </cell>
          <cell r="ED569" t="str">
            <v xml:space="preserve">29Jul15 :zinwin.htun: Excauvation ongoing.Soil collapse in the excauvation pit &amp; removing ongoing.
</v>
          </cell>
          <cell r="EE569" t="str">
            <v xml:space="preserve">10 Aug 15:Rain affected_Progress affected; 4-Aug-15:Site is affected by heavy rain								</v>
          </cell>
          <cell r="EJ569">
            <v>0</v>
          </cell>
          <cell r="EK569">
            <v>42271</v>
          </cell>
          <cell r="EM569">
            <v>42272</v>
          </cell>
          <cell r="EQ569">
            <v>42284</v>
          </cell>
          <cell r="EW569">
            <v>0</v>
          </cell>
          <cell r="EX569">
            <v>42224</v>
          </cell>
          <cell r="EZ569">
            <v>42294</v>
          </cell>
          <cell r="FB569">
            <v>42296</v>
          </cell>
          <cell r="FE569">
            <v>42193</v>
          </cell>
          <cell r="FU569">
            <v>42298</v>
          </cell>
          <cell r="FW569">
            <v>42298</v>
          </cell>
          <cell r="GJ569">
            <v>0</v>
          </cell>
          <cell r="GN569" t="str">
            <v>ERICSSON</v>
          </cell>
          <cell r="GO569">
            <v>42166</v>
          </cell>
          <cell r="GS569" t="str">
            <v>4/4/4</v>
          </cell>
          <cell r="GU569" t="str">
            <v xml:space="preserve">		</v>
          </cell>
          <cell r="HD569">
            <v>1</v>
          </cell>
        </row>
        <row r="570">
          <cell r="A570" t="str">
            <v>SG0522</v>
          </cell>
          <cell r="B570" t="str">
            <v>ANSG_0466</v>
          </cell>
          <cell r="C570" t="str">
            <v>Apollo</v>
          </cell>
          <cell r="D570" t="str">
            <v>Adriaan Coetsee</v>
          </cell>
          <cell r="F570" t="str">
            <v>Aung Thu Win</v>
          </cell>
          <cell r="G570" t="str">
            <v>Kyaw Zay Yar</v>
          </cell>
          <cell r="H570" t="str">
            <v>RED</v>
          </cell>
          <cell r="I570" t="str">
            <v>North</v>
          </cell>
          <cell r="J570" t="str">
            <v>95.522411</v>
          </cell>
          <cell r="K570" t="str">
            <v>22.170809</v>
          </cell>
          <cell r="L570" t="str">
            <v>Rural</v>
          </cell>
          <cell r="M570" t="str">
            <v>Sagaing</v>
          </cell>
          <cell r="N570" t="str">
            <v>Ayadaw</v>
          </cell>
          <cell r="O570" t="str">
            <v>Ayadaw</v>
          </cell>
          <cell r="P570" t="str">
            <v>Sagaing</v>
          </cell>
          <cell r="Q570" t="str">
            <v>11</v>
          </cell>
          <cell r="R570" t="str">
            <v>Ayadaw</v>
          </cell>
          <cell r="S570" t="str">
            <v>55</v>
          </cell>
          <cell r="T570" t="str">
            <v>GSM+UMTS</v>
          </cell>
          <cell r="W570" t="str">
            <v>Ph2-Priority</v>
          </cell>
          <cell r="X570" t="str">
            <v>45</v>
          </cell>
          <cell r="Y570" t="str">
            <v>47</v>
          </cell>
          <cell r="Z570" t="str">
            <v>GBT</v>
          </cell>
          <cell r="AA570" t="str">
            <v>500</v>
          </cell>
          <cell r="AB570" t="str">
            <v>Access</v>
          </cell>
          <cell r="AC570" t="str">
            <v>Class C</v>
          </cell>
          <cell r="BH570" t="str">
            <v>Camusat</v>
          </cell>
          <cell r="BJ570">
            <v>42162</v>
          </cell>
          <cell r="BK570">
            <v>42176</v>
          </cell>
          <cell r="BL570">
            <v>42167</v>
          </cell>
          <cell r="BM570">
            <v>42174</v>
          </cell>
          <cell r="BT570">
            <v>10</v>
          </cell>
          <cell r="BU570">
            <v>42231</v>
          </cell>
          <cell r="BV570">
            <v>42186</v>
          </cell>
          <cell r="BW570" t="str">
            <v>95.52403</v>
          </cell>
          <cell r="BX570" t="str">
            <v>22.16048</v>
          </cell>
          <cell r="BY570" t="str">
            <v>C1</v>
          </cell>
          <cell r="BZ570" t="str">
            <v>Min Ywar Gyi Village, Ayartaw Township, Monywar District, Sagaing Division</v>
          </cell>
          <cell r="CA570" t="str">
            <v>U Maung Nyunt, U Kan Hla</v>
          </cell>
          <cell r="CB570" t="str">
            <v>3 July 15 : C1 SAR sub</v>
          </cell>
          <cell r="CC570" t="str">
            <v>Village</v>
          </cell>
          <cell r="CE570">
            <v>2</v>
          </cell>
          <cell r="CF570">
            <v>42232</v>
          </cell>
          <cell r="CG570">
            <v>42188</v>
          </cell>
          <cell r="CH570">
            <v>42234</v>
          </cell>
          <cell r="CJ570">
            <v>42196</v>
          </cell>
          <cell r="CK570" t="str">
            <v>46</v>
          </cell>
          <cell r="CL570" t="str">
            <v>47</v>
          </cell>
          <cell r="CM570" t="str">
            <v>50</v>
          </cell>
          <cell r="CN570">
            <v>10</v>
          </cell>
          <cell r="CO570">
            <v>42237</v>
          </cell>
          <cell r="CP570">
            <v>42198</v>
          </cell>
          <cell r="CQ570" t="str">
            <v>M1: grid power + battery</v>
          </cell>
          <cell r="CR570">
            <v>10</v>
          </cell>
          <cell r="CS570">
            <v>42238</v>
          </cell>
          <cell r="CT570">
            <v>42208</v>
          </cell>
          <cell r="CU570" t="str">
            <v>SG0522</v>
          </cell>
          <cell r="DH570">
            <v>25</v>
          </cell>
          <cell r="DI570">
            <v>42248</v>
          </cell>
          <cell r="DJ570">
            <v>42245</v>
          </cell>
          <cell r="DK570">
            <v>42245</v>
          </cell>
          <cell r="DM570">
            <v>42249</v>
          </cell>
          <cell r="DO570">
            <v>0</v>
          </cell>
          <cell r="DP570">
            <v>42248</v>
          </cell>
          <cell r="DQ570">
            <v>42245</v>
          </cell>
          <cell r="DT570">
            <v>0</v>
          </cell>
          <cell r="DU570">
            <v>42263</v>
          </cell>
          <cell r="DW570">
            <v>0</v>
          </cell>
          <cell r="DY570">
            <v>42249</v>
          </cell>
          <cell r="DZ570">
            <v>42248</v>
          </cell>
          <cell r="EA570" t="str">
            <v>Camusat</v>
          </cell>
          <cell r="EJ570">
            <v>0</v>
          </cell>
          <cell r="EK570">
            <v>42266</v>
          </cell>
          <cell r="EM570">
            <v>42267</v>
          </cell>
          <cell r="EQ570">
            <v>42276</v>
          </cell>
          <cell r="EW570">
            <v>0</v>
          </cell>
          <cell r="EX570">
            <v>42254</v>
          </cell>
          <cell r="EZ570">
            <v>42286</v>
          </cell>
          <cell r="FB570">
            <v>42288</v>
          </cell>
          <cell r="FU570">
            <v>42290</v>
          </cell>
          <cell r="FW570">
            <v>42290</v>
          </cell>
          <cell r="GI570">
            <v>42246</v>
          </cell>
          <cell r="GJ570">
            <v>0</v>
          </cell>
          <cell r="GN570" t="str">
            <v>ERICSSON</v>
          </cell>
          <cell r="HD570">
            <v>1</v>
          </cell>
        </row>
        <row r="571">
          <cell r="A571" t="str">
            <v>SG0528</v>
          </cell>
          <cell r="B571" t="str">
            <v>ANSG_0467</v>
          </cell>
          <cell r="C571" t="str">
            <v>Apollo</v>
          </cell>
          <cell r="D571" t="str">
            <v>Adriaan Coetsee</v>
          </cell>
          <cell r="F571" t="str">
            <v>Aung Thu Win</v>
          </cell>
          <cell r="G571" t="str">
            <v>Kyaw Zay Yar</v>
          </cell>
          <cell r="H571" t="str">
            <v>RED</v>
          </cell>
          <cell r="I571" t="str">
            <v>North</v>
          </cell>
          <cell r="J571" t="str">
            <v>95.2415</v>
          </cell>
          <cell r="K571" t="str">
            <v>25.9659</v>
          </cell>
          <cell r="L571" t="str">
            <v>Rural</v>
          </cell>
          <cell r="M571" t="str">
            <v>Sagaing</v>
          </cell>
          <cell r="N571" t="str">
            <v>Lahe</v>
          </cell>
          <cell r="O571" t="str">
            <v>Lahe</v>
          </cell>
          <cell r="P571" t="str">
            <v>Sagaing</v>
          </cell>
          <cell r="Q571" t="str">
            <v>11</v>
          </cell>
          <cell r="R571" t="str">
            <v>Lahe</v>
          </cell>
          <cell r="S571" t="str">
            <v>77</v>
          </cell>
          <cell r="T571" t="str">
            <v>GSM+UMTS</v>
          </cell>
          <cell r="W571" t="str">
            <v>Ph2-Priority</v>
          </cell>
          <cell r="X571" t="str">
            <v>45</v>
          </cell>
          <cell r="Y571" t="str">
            <v>47</v>
          </cell>
          <cell r="Z571" t="str">
            <v>GBT</v>
          </cell>
          <cell r="AA571" t="str">
            <v>500</v>
          </cell>
          <cell r="AB571" t="str">
            <v>Access</v>
          </cell>
          <cell r="AC571" t="str">
            <v>Class C</v>
          </cell>
          <cell r="BH571" t="str">
            <v>Camusat</v>
          </cell>
          <cell r="BJ571">
            <v>42165</v>
          </cell>
          <cell r="BK571">
            <v>42167</v>
          </cell>
          <cell r="BL571">
            <v>42170</v>
          </cell>
          <cell r="BM571">
            <v>42174</v>
          </cell>
          <cell r="BT571">
            <v>55</v>
          </cell>
          <cell r="BU571">
            <v>42225</v>
          </cell>
          <cell r="BV571">
            <v>42198</v>
          </cell>
          <cell r="BW571" t="str">
            <v>95.24058</v>
          </cell>
          <cell r="BX571" t="str">
            <v>25.96545</v>
          </cell>
          <cell r="BY571" t="str">
            <v>C1</v>
          </cell>
          <cell r="BZ571" t="str">
            <v>Ngapyawtine Village, Kantbaluu Township, Shwe Bo District, Sagaing.</v>
          </cell>
          <cell r="CA571" t="str">
            <v>U Nyo Aung;Ngapyawtine Village, Kantbaluu Township, Shwe Bo District, Sagaing;09 47080848;09 33557671</v>
          </cell>
          <cell r="CB571" t="str">
            <v>15 July 15 : C1 SAR approved as an option 1(TND approved with VSAT transmission.)</v>
          </cell>
          <cell r="CC571" t="str">
            <v>Town</v>
          </cell>
          <cell r="CE571">
            <v>2</v>
          </cell>
          <cell r="CF571">
            <v>42226</v>
          </cell>
          <cell r="CG571">
            <v>42200</v>
          </cell>
          <cell r="CH571">
            <v>42228</v>
          </cell>
          <cell r="CN571">
            <v>33</v>
          </cell>
          <cell r="CO571">
            <v>42231</v>
          </cell>
          <cell r="CQ571" t="str">
            <v>M4: solar + DG + battery</v>
          </cell>
          <cell r="CR571">
            <v>0</v>
          </cell>
          <cell r="CS571">
            <v>42232</v>
          </cell>
          <cell r="CU571" t="str">
            <v>SG0528</v>
          </cell>
          <cell r="DH571">
            <v>0</v>
          </cell>
          <cell r="DI571">
            <v>42242</v>
          </cell>
          <cell r="DK571">
            <v>42239</v>
          </cell>
          <cell r="DM571">
            <v>42243</v>
          </cell>
          <cell r="DO571">
            <v>0</v>
          </cell>
          <cell r="DP571">
            <v>42242</v>
          </cell>
          <cell r="DT571">
            <v>0</v>
          </cell>
          <cell r="DU571">
            <v>42257</v>
          </cell>
          <cell r="DW571">
            <v>0</v>
          </cell>
          <cell r="DY571">
            <v>42243</v>
          </cell>
          <cell r="EA571" t="str">
            <v>Camusat</v>
          </cell>
          <cell r="EJ571">
            <v>0</v>
          </cell>
          <cell r="EK571">
            <v>42260</v>
          </cell>
          <cell r="EM571">
            <v>42261</v>
          </cell>
          <cell r="EQ571">
            <v>42270</v>
          </cell>
          <cell r="EW571">
            <v>0</v>
          </cell>
          <cell r="EX571">
            <v>42229</v>
          </cell>
          <cell r="EZ571">
            <v>42280</v>
          </cell>
          <cell r="FB571">
            <v>42282</v>
          </cell>
          <cell r="FU571">
            <v>42284</v>
          </cell>
          <cell r="FW571">
            <v>42284</v>
          </cell>
          <cell r="GI571">
            <v>42246</v>
          </cell>
          <cell r="GJ571">
            <v>0</v>
          </cell>
          <cell r="GN571" t="str">
            <v>ERICSSON</v>
          </cell>
          <cell r="HD571">
            <v>1</v>
          </cell>
        </row>
        <row r="572">
          <cell r="A572" t="str">
            <v>SG0530</v>
          </cell>
          <cell r="B572" t="str">
            <v>ANSG_0468</v>
          </cell>
          <cell r="C572" t="str">
            <v>Apollo</v>
          </cell>
          <cell r="D572" t="str">
            <v>Adriaan Coetsee</v>
          </cell>
          <cell r="F572" t="str">
            <v>Aung Thu Win</v>
          </cell>
          <cell r="G572" t="str">
            <v>Kyaw Zay Yar</v>
          </cell>
          <cell r="H572" t="str">
            <v>RED</v>
          </cell>
          <cell r="I572" t="str">
            <v>North</v>
          </cell>
          <cell r="J572" t="str">
            <v>95.4411</v>
          </cell>
          <cell r="K572" t="str">
            <v>26.3259</v>
          </cell>
          <cell r="L572" t="str">
            <v>Rural</v>
          </cell>
          <cell r="M572" t="str">
            <v>Sagaing</v>
          </cell>
          <cell r="N572" t="str">
            <v>Lahe</v>
          </cell>
          <cell r="O572" t="str">
            <v>Lahe</v>
          </cell>
          <cell r="P572" t="str">
            <v>Sagaing</v>
          </cell>
          <cell r="Q572" t="str">
            <v>11</v>
          </cell>
          <cell r="R572" t="str">
            <v>Lahe</v>
          </cell>
          <cell r="S572" t="str">
            <v>77</v>
          </cell>
          <cell r="T572" t="str">
            <v>GSM+UMTS</v>
          </cell>
          <cell r="W572" t="str">
            <v>Ph2-Priority</v>
          </cell>
          <cell r="X572" t="str">
            <v>45</v>
          </cell>
          <cell r="Y572" t="str">
            <v>47</v>
          </cell>
          <cell r="Z572" t="str">
            <v>GBT</v>
          </cell>
          <cell r="AA572" t="str">
            <v>500</v>
          </cell>
          <cell r="AB572" t="str">
            <v>Access</v>
          </cell>
          <cell r="AC572" t="str">
            <v>Class C</v>
          </cell>
          <cell r="BE572" t="str">
            <v>Indaw - Bhamo</v>
          </cell>
          <cell r="BH572" t="str">
            <v>Camusat</v>
          </cell>
          <cell r="BJ572">
            <v>42165</v>
          </cell>
          <cell r="BK572">
            <v>42130</v>
          </cell>
          <cell r="BL572">
            <v>42170</v>
          </cell>
          <cell r="BM572">
            <v>42141</v>
          </cell>
          <cell r="BT572">
            <v>58</v>
          </cell>
          <cell r="BU572">
            <v>42225</v>
          </cell>
          <cell r="BV572">
            <v>42198</v>
          </cell>
          <cell r="BW572" t="str">
            <v>95.44027</v>
          </cell>
          <cell r="BX572" t="str">
            <v>26.32417</v>
          </cell>
          <cell r="BY572" t="str">
            <v>C1</v>
          </cell>
          <cell r="BZ572" t="str">
            <v>No(9) Qtr, Part (1), Kathar Township.</v>
          </cell>
          <cell r="CA572" t="str">
            <v>Daw Aye Aye Thant;No(9) Qtr, Part (1), Kathar Township;09-257863730, 09-256308033</v>
          </cell>
          <cell r="CB572" t="str">
            <v>15 July 15 : C1 SAR approved as an option 1(TND approved with  VSAT transmission. These site are already considered as VSAT in 6000 plan)</v>
          </cell>
          <cell r="CC572" t="str">
            <v>Town</v>
          </cell>
          <cell r="CE572">
            <v>2</v>
          </cell>
          <cell r="CF572">
            <v>42226</v>
          </cell>
          <cell r="CG572">
            <v>42200</v>
          </cell>
          <cell r="CH572">
            <v>42228</v>
          </cell>
          <cell r="CJ572">
            <v>42168</v>
          </cell>
          <cell r="CK572" t="str">
            <v>35</v>
          </cell>
          <cell r="CL572" t="str">
            <v>37</v>
          </cell>
          <cell r="CM572" t="str">
            <v>40</v>
          </cell>
          <cell r="CN572">
            <v>33</v>
          </cell>
          <cell r="CO572">
            <v>42231</v>
          </cell>
          <cell r="CQ572" t="str">
            <v>M4: solar + DG + battery</v>
          </cell>
          <cell r="CR572">
            <v>0</v>
          </cell>
          <cell r="CS572">
            <v>42232</v>
          </cell>
          <cell r="CU572" t="str">
            <v>SG0530</v>
          </cell>
          <cell r="DH572">
            <v>0</v>
          </cell>
          <cell r="DI572">
            <v>42242</v>
          </cell>
          <cell r="DK572">
            <v>42239</v>
          </cell>
          <cell r="DM572">
            <v>42243</v>
          </cell>
          <cell r="DO572">
            <v>0</v>
          </cell>
          <cell r="DP572">
            <v>42242</v>
          </cell>
          <cell r="DT572">
            <v>0</v>
          </cell>
          <cell r="DU572">
            <v>42257</v>
          </cell>
          <cell r="DW572">
            <v>0</v>
          </cell>
          <cell r="DY572">
            <v>42243</v>
          </cell>
          <cell r="EA572" t="str">
            <v>Camusat</v>
          </cell>
          <cell r="EJ572">
            <v>0</v>
          </cell>
          <cell r="EK572">
            <v>42260</v>
          </cell>
          <cell r="EM572">
            <v>42261</v>
          </cell>
          <cell r="EQ572">
            <v>42270</v>
          </cell>
          <cell r="EW572">
            <v>0</v>
          </cell>
          <cell r="EX572">
            <v>42229</v>
          </cell>
          <cell r="EZ572">
            <v>42280</v>
          </cell>
          <cell r="FB572">
            <v>42282</v>
          </cell>
          <cell r="FU572">
            <v>42284</v>
          </cell>
          <cell r="FW572">
            <v>42284</v>
          </cell>
          <cell r="GJ572">
            <v>0</v>
          </cell>
          <cell r="GN572" t="str">
            <v>ERICSSON</v>
          </cell>
          <cell r="HD572">
            <v>1</v>
          </cell>
        </row>
        <row r="573">
          <cell r="A573" t="str">
            <v>SG0531</v>
          </cell>
          <cell r="B573" t="str">
            <v>ANSG_0469</v>
          </cell>
          <cell r="C573" t="str">
            <v>Apollo</v>
          </cell>
          <cell r="D573" t="str">
            <v>Adriaan Coetsee</v>
          </cell>
          <cell r="F573" t="str">
            <v>Aung Thu Win</v>
          </cell>
          <cell r="G573" t="str">
            <v>Kyaw Zay Yar</v>
          </cell>
          <cell r="H573" t="str">
            <v>AMBER</v>
          </cell>
          <cell r="I573" t="str">
            <v>North</v>
          </cell>
          <cell r="J573" t="str">
            <v>95.719285</v>
          </cell>
          <cell r="K573" t="str">
            <v>23.066743</v>
          </cell>
          <cell r="L573" t="str">
            <v>Rural</v>
          </cell>
          <cell r="M573" t="str">
            <v>Sagaing</v>
          </cell>
          <cell r="N573" t="str">
            <v>Kanbalu</v>
          </cell>
          <cell r="O573" t="str">
            <v>Kanbalu</v>
          </cell>
          <cell r="P573" t="str">
            <v>Sagaing</v>
          </cell>
          <cell r="Q573" t="str">
            <v>11</v>
          </cell>
          <cell r="R573" t="str">
            <v>Kanbalu</v>
          </cell>
          <cell r="S573" t="str">
            <v>48</v>
          </cell>
          <cell r="T573" t="str">
            <v>GSM+UMTS</v>
          </cell>
          <cell r="W573" t="str">
            <v>Ph2-Priority</v>
          </cell>
          <cell r="X573" t="str">
            <v>53</v>
          </cell>
          <cell r="Y573" t="str">
            <v>55</v>
          </cell>
          <cell r="Z573" t="str">
            <v>GBT</v>
          </cell>
          <cell r="AA573" t="str">
            <v>500</v>
          </cell>
          <cell r="AB573" t="str">
            <v>Access</v>
          </cell>
          <cell r="AC573" t="str">
            <v>Class C</v>
          </cell>
          <cell r="BE573" t="str">
            <v>Indaw - Bhamo</v>
          </cell>
          <cell r="BH573" t="str">
            <v>Camusat</v>
          </cell>
          <cell r="BJ573">
            <v>42167</v>
          </cell>
          <cell r="BK573">
            <v>42130</v>
          </cell>
          <cell r="BL573">
            <v>42172</v>
          </cell>
          <cell r="BM573">
            <v>42140</v>
          </cell>
          <cell r="BT573">
            <v>39</v>
          </cell>
          <cell r="BU573">
            <v>42219</v>
          </cell>
          <cell r="BV573">
            <v>42169</v>
          </cell>
          <cell r="BW573" t="str">
            <v>95.71673</v>
          </cell>
          <cell r="BX573" t="str">
            <v>23.0671</v>
          </cell>
          <cell r="BY573" t="str">
            <v>C1</v>
          </cell>
          <cell r="BZ573" t="str">
            <v>Ngapyawtine Village, Kantbaluu Township, Shwe Bo District, Sagaing.</v>
          </cell>
          <cell r="CA573" t="str">
            <v>U Nyo Aung;Ngapyawtine Village, Kantbaluu Township, Shwe Bo District, Sagaing;09 47080848;09 33557671</v>
          </cell>
          <cell r="CB573" t="str">
            <v>14May15: C1-SAR_REV1 submission (adjusted 26m from original located as per lessor's request during TSS); 26May15: C1 SAR Sub.</v>
          </cell>
          <cell r="CE573">
            <v>1</v>
          </cell>
          <cell r="CF573">
            <v>42220</v>
          </cell>
          <cell r="CG573">
            <v>42170</v>
          </cell>
          <cell r="CH573">
            <v>42222</v>
          </cell>
          <cell r="CJ573">
            <v>42176</v>
          </cell>
          <cell r="CK573" t="str">
            <v>53</v>
          </cell>
          <cell r="CL573" t="str">
            <v>55</v>
          </cell>
          <cell r="CM573" t="str">
            <v>60</v>
          </cell>
          <cell r="CN573">
            <v>8</v>
          </cell>
          <cell r="CO573">
            <v>42225</v>
          </cell>
          <cell r="CP573">
            <v>42178</v>
          </cell>
          <cell r="CQ573" t="str">
            <v>M1: grid power + battery</v>
          </cell>
          <cell r="CR573">
            <v>1</v>
          </cell>
          <cell r="CS573">
            <v>42226</v>
          </cell>
          <cell r="CT573">
            <v>42179</v>
          </cell>
          <cell r="CU573" t="str">
            <v>SG0531</v>
          </cell>
          <cell r="DH573">
            <v>54</v>
          </cell>
          <cell r="DI573">
            <v>42236</v>
          </cell>
          <cell r="DJ573">
            <v>42217</v>
          </cell>
          <cell r="DK573">
            <v>42233</v>
          </cell>
          <cell r="DL573">
            <v>42198</v>
          </cell>
          <cell r="DM573">
            <v>42237</v>
          </cell>
          <cell r="DN573">
            <v>42201</v>
          </cell>
          <cell r="DO573">
            <v>0</v>
          </cell>
          <cell r="DP573">
            <v>42236</v>
          </cell>
          <cell r="DQ573">
            <v>42217</v>
          </cell>
          <cell r="DT573">
            <v>0</v>
          </cell>
          <cell r="DU573">
            <v>42251</v>
          </cell>
          <cell r="DW573">
            <v>0</v>
          </cell>
          <cell r="DY573">
            <v>42237</v>
          </cell>
          <cell r="DZ573">
            <v>42199</v>
          </cell>
          <cell r="EA573" t="str">
            <v>Camusat</v>
          </cell>
          <cell r="EB573">
            <v>42215</v>
          </cell>
          <cell r="EE573" t="str">
            <v xml:space="preserve">10 Aug 15:Flood affected_Hold-No access; 30-Jul-15:  Flooded access or site is flooded_ we canÆt proceed to this site for now								</v>
          </cell>
          <cell r="EJ573">
            <v>34</v>
          </cell>
          <cell r="EK573">
            <v>42259</v>
          </cell>
          <cell r="EM573">
            <v>42260</v>
          </cell>
          <cell r="EQ573">
            <v>42272</v>
          </cell>
          <cell r="EW573">
            <v>34</v>
          </cell>
          <cell r="EX573">
            <v>42286</v>
          </cell>
          <cell r="EZ573">
            <v>42282</v>
          </cell>
          <cell r="FB573">
            <v>42284</v>
          </cell>
          <cell r="FU573">
            <v>42286</v>
          </cell>
          <cell r="FW573">
            <v>42286</v>
          </cell>
          <cell r="GI573">
            <v>42246</v>
          </cell>
          <cell r="GJ573" t="str">
            <v>44-2015</v>
          </cell>
          <cell r="GN573" t="str">
            <v>ERICSSON</v>
          </cell>
          <cell r="HD573">
            <v>1</v>
          </cell>
        </row>
        <row r="574">
          <cell r="A574" t="str">
            <v>SG0532</v>
          </cell>
          <cell r="B574" t="str">
            <v>ANSG_0470</v>
          </cell>
          <cell r="C574" t="str">
            <v>Apollo</v>
          </cell>
          <cell r="D574" t="str">
            <v>Adriaan Coetsee</v>
          </cell>
          <cell r="F574" t="str">
            <v>Aung Thu Win</v>
          </cell>
          <cell r="G574" t="str">
            <v>Kyaw Zay Yar</v>
          </cell>
          <cell r="H574" t="str">
            <v>RED</v>
          </cell>
          <cell r="I574" t="str">
            <v>North</v>
          </cell>
          <cell r="J574" t="str">
            <v>95.307331</v>
          </cell>
          <cell r="K574" t="str">
            <v>23.24362</v>
          </cell>
          <cell r="L574" t="str">
            <v>Rural</v>
          </cell>
          <cell r="M574" t="str">
            <v>Sagaing</v>
          </cell>
          <cell r="N574" t="str">
            <v>Taze</v>
          </cell>
          <cell r="O574" t="str">
            <v>Taze</v>
          </cell>
          <cell r="P574" t="str">
            <v>Sagaing</v>
          </cell>
          <cell r="Q574" t="str">
            <v>11</v>
          </cell>
          <cell r="R574" t="str">
            <v>Taze</v>
          </cell>
          <cell r="S574" t="str">
            <v>52</v>
          </cell>
          <cell r="T574" t="str">
            <v>GSM+UMTS</v>
          </cell>
          <cell r="W574" t="str">
            <v>Ph2-Priority</v>
          </cell>
          <cell r="X574" t="str">
            <v>55</v>
          </cell>
          <cell r="Y574" t="str">
            <v>57</v>
          </cell>
          <cell r="Z574" t="str">
            <v>GBT</v>
          </cell>
          <cell r="AA574" t="str">
            <v>500</v>
          </cell>
          <cell r="AB574" t="str">
            <v>Access</v>
          </cell>
          <cell r="AC574" t="str">
            <v>Class C</v>
          </cell>
          <cell r="BH574" t="str">
            <v>Camusat</v>
          </cell>
          <cell r="BJ574">
            <v>42165</v>
          </cell>
          <cell r="BK574">
            <v>42141</v>
          </cell>
          <cell r="BL574">
            <v>42170</v>
          </cell>
          <cell r="BM574">
            <v>42148</v>
          </cell>
          <cell r="BT574">
            <v>52</v>
          </cell>
          <cell r="BU574">
            <v>42219</v>
          </cell>
          <cell r="BV574">
            <v>42193</v>
          </cell>
          <cell r="BW574" t="str">
            <v>95.30356</v>
          </cell>
          <cell r="BX574" t="str">
            <v>23.24428</v>
          </cell>
          <cell r="BY574" t="str">
            <v>C2</v>
          </cell>
          <cell r="BZ574" t="str">
            <v>Patee Village, Tantsae Township, Sagaing Division.</v>
          </cell>
          <cell r="CA574" t="str">
            <v>Daw Moe Sein</v>
          </cell>
          <cell r="CB574" t="str">
            <v>8 July 15 :C2 - SAR submission (farmland but with justfication);  C1-rejected due to NOC;4 June 15 : C1 SAR app;3Jun15: C1 SAR Sub</v>
          </cell>
          <cell r="CC574" t="str">
            <v>Farmland</v>
          </cell>
          <cell r="CE574">
            <v>1</v>
          </cell>
          <cell r="CF574">
            <v>42220</v>
          </cell>
          <cell r="CG574">
            <v>42194</v>
          </cell>
          <cell r="CH574">
            <v>42222</v>
          </cell>
          <cell r="CJ574">
            <v>42232</v>
          </cell>
          <cell r="CK574" t="str">
            <v>55</v>
          </cell>
          <cell r="CL574" t="str">
            <v>57</v>
          </cell>
          <cell r="CM574" t="str">
            <v>60</v>
          </cell>
          <cell r="CN574">
            <v>39</v>
          </cell>
          <cell r="CO574">
            <v>42225</v>
          </cell>
          <cell r="CP574">
            <v>42234</v>
          </cell>
          <cell r="CQ574" t="str">
            <v>M1: grid power + battery</v>
          </cell>
          <cell r="CR574">
            <v>0</v>
          </cell>
          <cell r="CS574">
            <v>42226</v>
          </cell>
          <cell r="CT574">
            <v>42241</v>
          </cell>
          <cell r="CU574" t="str">
            <v>SG0532</v>
          </cell>
          <cell r="DH574">
            <v>0</v>
          </cell>
          <cell r="DI574">
            <v>42236</v>
          </cell>
          <cell r="DJ574">
            <v>42171</v>
          </cell>
          <cell r="DK574">
            <v>42233</v>
          </cell>
          <cell r="DL574">
            <v>42168</v>
          </cell>
          <cell r="DM574">
            <v>42237</v>
          </cell>
          <cell r="DN574">
            <v>42179</v>
          </cell>
          <cell r="DO574">
            <v>0</v>
          </cell>
          <cell r="DP574">
            <v>42236</v>
          </cell>
          <cell r="DQ574">
            <v>42171</v>
          </cell>
          <cell r="DT574">
            <v>0</v>
          </cell>
          <cell r="DU574">
            <v>42251</v>
          </cell>
          <cell r="DW574">
            <v>0</v>
          </cell>
          <cell r="DY574">
            <v>42237</v>
          </cell>
          <cell r="DZ574">
            <v>42179</v>
          </cell>
          <cell r="EA574" t="str">
            <v>Camusat</v>
          </cell>
          <cell r="ED574" t="str">
            <v>02Aug15 :KyawZay.Yar: Pedestal done together with back filling.Pending tower equip; delivery.PAD not started yet.
25Jul15 :KyawZay.Yar: Form work for column done.Template levelling ongoing.</v>
          </cell>
          <cell r="EJ574">
            <v>0</v>
          </cell>
          <cell r="EK574">
            <v>42259</v>
          </cell>
          <cell r="EL574">
            <v>42210</v>
          </cell>
          <cell r="EM574">
            <v>42260</v>
          </cell>
          <cell r="EN574">
            <v>42233</v>
          </cell>
          <cell r="EQ574">
            <v>42272</v>
          </cell>
          <cell r="EW574">
            <v>0</v>
          </cell>
          <cell r="EX574">
            <v>42286</v>
          </cell>
          <cell r="EZ574">
            <v>42282</v>
          </cell>
          <cell r="FB574">
            <v>42284</v>
          </cell>
          <cell r="FU574">
            <v>42286</v>
          </cell>
          <cell r="FW574">
            <v>42286</v>
          </cell>
          <cell r="GJ574">
            <v>0</v>
          </cell>
          <cell r="GN574" t="str">
            <v>ERICSSON</v>
          </cell>
          <cell r="HD574">
            <v>1</v>
          </cell>
        </row>
        <row r="575">
          <cell r="A575" t="str">
            <v>SG0533</v>
          </cell>
          <cell r="B575" t="str">
            <v>ANSG_0471</v>
          </cell>
          <cell r="C575" t="str">
            <v>Apollo</v>
          </cell>
          <cell r="D575" t="str">
            <v>Adriaan Coetsee</v>
          </cell>
          <cell r="F575" t="str">
            <v>Aung Thu Win</v>
          </cell>
          <cell r="G575" t="str">
            <v>Kyaw Zay Yar</v>
          </cell>
          <cell r="H575" t="str">
            <v>AMBER</v>
          </cell>
          <cell r="I575" t="str">
            <v>North</v>
          </cell>
          <cell r="J575" t="str">
            <v>95.224081</v>
          </cell>
          <cell r="K575" t="str">
            <v>22.722239</v>
          </cell>
          <cell r="L575" t="str">
            <v>Rural</v>
          </cell>
          <cell r="M575" t="str">
            <v>Sagaing</v>
          </cell>
          <cell r="N575" t="str">
            <v>Tabayin</v>
          </cell>
          <cell r="O575" t="str">
            <v>Tabayin</v>
          </cell>
          <cell r="P575" t="str">
            <v>Sagaing</v>
          </cell>
          <cell r="Q575" t="str">
            <v>11</v>
          </cell>
          <cell r="R575" t="str">
            <v>Tabayin</v>
          </cell>
          <cell r="S575" t="str">
            <v>51</v>
          </cell>
          <cell r="T575" t="str">
            <v>GSM+UMTS</v>
          </cell>
          <cell r="W575" t="str">
            <v>Ph2-Priority</v>
          </cell>
          <cell r="X575" t="str">
            <v>53</v>
          </cell>
          <cell r="Y575" t="str">
            <v>55</v>
          </cell>
          <cell r="Z575" t="str">
            <v>GBT</v>
          </cell>
          <cell r="AA575" t="str">
            <v>500</v>
          </cell>
          <cell r="AB575" t="str">
            <v>Access</v>
          </cell>
          <cell r="AC575" t="str">
            <v>Class C</v>
          </cell>
          <cell r="BE575" t="str">
            <v>Yangon Ring 4</v>
          </cell>
          <cell r="BH575" t="str">
            <v>Camusat</v>
          </cell>
          <cell r="BJ575">
            <v>42155</v>
          </cell>
          <cell r="BK575">
            <v>42148</v>
          </cell>
          <cell r="BL575">
            <v>42160</v>
          </cell>
          <cell r="BM575">
            <v>42155</v>
          </cell>
          <cell r="BT575">
            <v>17</v>
          </cell>
          <cell r="BU575">
            <v>42219</v>
          </cell>
          <cell r="BV575">
            <v>42165</v>
          </cell>
          <cell r="BW575" t="str">
            <v>95.22418</v>
          </cell>
          <cell r="BX575" t="str">
            <v>22.71815</v>
          </cell>
          <cell r="BY575" t="str">
            <v>C1</v>
          </cell>
          <cell r="BZ575" t="str">
            <v>Mya Kan Thar Village, Depaeyin Township, Sagaing Division</v>
          </cell>
          <cell r="CA575" t="str">
            <v>Daw Mar Shwe</v>
          </cell>
          <cell r="CB575" t="str">
            <v>10Jun15:C1 SAR Sub</v>
          </cell>
          <cell r="CC575" t="str">
            <v>Village</v>
          </cell>
          <cell r="CE575">
            <v>0</v>
          </cell>
          <cell r="CF575">
            <v>42220</v>
          </cell>
          <cell r="CG575">
            <v>42165</v>
          </cell>
          <cell r="CH575">
            <v>42222</v>
          </cell>
          <cell r="CJ575">
            <v>42193</v>
          </cell>
          <cell r="CK575" t="str">
            <v>55</v>
          </cell>
          <cell r="CL575" t="str">
            <v>57</v>
          </cell>
          <cell r="CM575" t="str">
            <v>60</v>
          </cell>
          <cell r="CN575">
            <v>30</v>
          </cell>
          <cell r="CO575">
            <v>42225</v>
          </cell>
          <cell r="CP575">
            <v>42195</v>
          </cell>
          <cell r="CQ575" t="str">
            <v>M4: solar + DG + battery</v>
          </cell>
          <cell r="CR575">
            <v>4</v>
          </cell>
          <cell r="CS575">
            <v>42226</v>
          </cell>
          <cell r="CT575">
            <v>42199</v>
          </cell>
          <cell r="CU575" t="str">
            <v>SG0533</v>
          </cell>
          <cell r="DH575">
            <v>18</v>
          </cell>
          <cell r="DI575">
            <v>42236</v>
          </cell>
          <cell r="DJ575">
            <v>42217</v>
          </cell>
          <cell r="DK575">
            <v>42233</v>
          </cell>
          <cell r="DL575">
            <v>42198</v>
          </cell>
          <cell r="DM575">
            <v>42237</v>
          </cell>
          <cell r="DN575">
            <v>42198</v>
          </cell>
          <cell r="DO575">
            <v>0</v>
          </cell>
          <cell r="DP575">
            <v>42236</v>
          </cell>
          <cell r="DQ575">
            <v>42217</v>
          </cell>
          <cell r="DT575">
            <v>16</v>
          </cell>
          <cell r="DU575">
            <v>42251</v>
          </cell>
          <cell r="DW575">
            <v>0</v>
          </cell>
          <cell r="DY575">
            <v>42237</v>
          </cell>
          <cell r="DZ575">
            <v>42209</v>
          </cell>
          <cell r="EA575" t="str">
            <v>Camusat</v>
          </cell>
          <cell r="EB575">
            <v>42214</v>
          </cell>
          <cell r="EE575" t="str">
            <v xml:space="preserve">10 Aug 15:Flood affected_Hold-No access; 29-Jul-15:  Flooded access or site is flooded_ we canÆt proceed to this site for now								</v>
          </cell>
          <cell r="EJ575">
            <v>24</v>
          </cell>
          <cell r="EK575">
            <v>42259</v>
          </cell>
          <cell r="EM575">
            <v>42260</v>
          </cell>
          <cell r="EQ575">
            <v>42272</v>
          </cell>
          <cell r="EW575">
            <v>24</v>
          </cell>
          <cell r="EX575">
            <v>42286</v>
          </cell>
          <cell r="EZ575">
            <v>42282</v>
          </cell>
          <cell r="FB575">
            <v>42284</v>
          </cell>
          <cell r="FU575">
            <v>42286</v>
          </cell>
          <cell r="FW575">
            <v>42286</v>
          </cell>
          <cell r="GI575">
            <v>42307</v>
          </cell>
          <cell r="GJ575" t="str">
            <v>44-2015</v>
          </cell>
          <cell r="GN575" t="str">
            <v>ERICSSON</v>
          </cell>
          <cell r="GS575" t="str">
            <v>4/4/4</v>
          </cell>
          <cell r="GU575" t="str">
            <v xml:space="preserve">		</v>
          </cell>
          <cell r="HD575">
            <v>1</v>
          </cell>
        </row>
        <row r="576">
          <cell r="A576" t="str">
            <v>SG0534</v>
          </cell>
          <cell r="B576" t="str">
            <v>ANSG_0472</v>
          </cell>
          <cell r="C576" t="str">
            <v>Apollo</v>
          </cell>
          <cell r="D576" t="str">
            <v>Adriaan Coetsee</v>
          </cell>
          <cell r="F576" t="str">
            <v>Aung Thu Win</v>
          </cell>
          <cell r="G576" t="str">
            <v>Kyaw Zay Yar</v>
          </cell>
          <cell r="H576" t="str">
            <v>RED</v>
          </cell>
          <cell r="I576" t="str">
            <v>North</v>
          </cell>
          <cell r="J576" t="str">
            <v>95.515243</v>
          </cell>
          <cell r="K576" t="str">
            <v>22.345693</v>
          </cell>
          <cell r="L576" t="str">
            <v>Rural</v>
          </cell>
          <cell r="M576" t="str">
            <v>Sagaing</v>
          </cell>
          <cell r="N576" t="str">
            <v>Ayadaw</v>
          </cell>
          <cell r="O576" t="str">
            <v>Ayadaw</v>
          </cell>
          <cell r="P576" t="str">
            <v>Sagaing</v>
          </cell>
          <cell r="Q576" t="str">
            <v>11</v>
          </cell>
          <cell r="R576" t="str">
            <v>Ayadaw</v>
          </cell>
          <cell r="S576" t="str">
            <v>55</v>
          </cell>
          <cell r="T576" t="str">
            <v>GSM+UMTS</v>
          </cell>
          <cell r="W576" t="str">
            <v>Ph2-Priority</v>
          </cell>
          <cell r="X576" t="str">
            <v>53</v>
          </cell>
          <cell r="Y576" t="str">
            <v>55</v>
          </cell>
          <cell r="Z576" t="str">
            <v>GBT</v>
          </cell>
          <cell r="AA576" t="str">
            <v>500</v>
          </cell>
          <cell r="AB576" t="str">
            <v>Access</v>
          </cell>
          <cell r="AC576" t="str">
            <v>Class C</v>
          </cell>
          <cell r="BE576" t="str">
            <v>Route 4 Meiktila - Taunggyi</v>
          </cell>
          <cell r="BH576" t="str">
            <v>Camusat</v>
          </cell>
          <cell r="BJ576">
            <v>42155</v>
          </cell>
          <cell r="BL576">
            <v>42160</v>
          </cell>
          <cell r="BT576">
            <v>42158</v>
          </cell>
          <cell r="BU576">
            <v>42219</v>
          </cell>
          <cell r="BV576">
            <v>42200</v>
          </cell>
          <cell r="BW576" t="str">
            <v>95.52162</v>
          </cell>
          <cell r="BX576" t="str">
            <v>22.34054</v>
          </cell>
          <cell r="BY576" t="str">
            <v>C1</v>
          </cell>
          <cell r="BZ576" t="str">
            <v>aung Myar Village, Ayartaw Township, Sagaing Division</v>
          </cell>
          <cell r="CA576" t="str">
            <v>U Htay Myint</v>
          </cell>
          <cell r="CB576" t="str">
            <v>15 July 15 :C1-SAR submission</v>
          </cell>
          <cell r="CC576" t="str">
            <v>Village</v>
          </cell>
          <cell r="CE576">
            <v>7</v>
          </cell>
          <cell r="CF576">
            <v>42220</v>
          </cell>
          <cell r="CG576">
            <v>42207</v>
          </cell>
          <cell r="CH576">
            <v>42222</v>
          </cell>
          <cell r="CJ576">
            <v>42227</v>
          </cell>
          <cell r="CK576" t="str">
            <v>53</v>
          </cell>
          <cell r="CL576" t="str">
            <v>55</v>
          </cell>
          <cell r="CM576" t="str">
            <v>60</v>
          </cell>
          <cell r="CN576">
            <v>22</v>
          </cell>
          <cell r="CO576">
            <v>42225</v>
          </cell>
          <cell r="CP576">
            <v>42229</v>
          </cell>
          <cell r="CQ576" t="str">
            <v>M4: solar + DG + battery</v>
          </cell>
          <cell r="CR576">
            <v>4</v>
          </cell>
          <cell r="CS576">
            <v>42226</v>
          </cell>
          <cell r="CT576">
            <v>42233</v>
          </cell>
          <cell r="CU576" t="str">
            <v>SG0534</v>
          </cell>
          <cell r="DH576">
            <v>0</v>
          </cell>
          <cell r="DI576">
            <v>42236</v>
          </cell>
          <cell r="DJ576">
            <v>42245</v>
          </cell>
          <cell r="DK576">
            <v>42233</v>
          </cell>
          <cell r="DM576">
            <v>42237</v>
          </cell>
          <cell r="DO576">
            <v>0</v>
          </cell>
          <cell r="DP576">
            <v>42236</v>
          </cell>
          <cell r="DQ576">
            <v>42245</v>
          </cell>
          <cell r="DT576">
            <v>0</v>
          </cell>
          <cell r="DU576">
            <v>42251</v>
          </cell>
          <cell r="DW576">
            <v>0</v>
          </cell>
          <cell r="DY576">
            <v>42237</v>
          </cell>
          <cell r="DZ576">
            <v>42249</v>
          </cell>
          <cell r="EA576" t="str">
            <v>Camusat</v>
          </cell>
          <cell r="EJ576">
            <v>0</v>
          </cell>
          <cell r="EK576">
            <v>42259</v>
          </cell>
          <cell r="EM576">
            <v>42260</v>
          </cell>
          <cell r="EQ576">
            <v>42272</v>
          </cell>
          <cell r="EW576">
            <v>0</v>
          </cell>
          <cell r="EX576">
            <v>42286</v>
          </cell>
          <cell r="EZ576">
            <v>42282</v>
          </cell>
          <cell r="FB576">
            <v>42284</v>
          </cell>
          <cell r="FU576">
            <v>42286</v>
          </cell>
          <cell r="FW576">
            <v>42286</v>
          </cell>
          <cell r="GJ576">
            <v>0</v>
          </cell>
          <cell r="GN576" t="str">
            <v>ERICSSON</v>
          </cell>
          <cell r="HD576">
            <v>1</v>
          </cell>
        </row>
        <row r="577">
          <cell r="A577" t="str">
            <v>SG0535</v>
          </cell>
          <cell r="B577" t="str">
            <v>ANSG_0473</v>
          </cell>
          <cell r="C577" t="str">
            <v>Apollo</v>
          </cell>
          <cell r="D577" t="str">
            <v>Adriaan Coetsee</v>
          </cell>
          <cell r="F577" t="str">
            <v>Aung Thu Win</v>
          </cell>
          <cell r="G577" t="str">
            <v>Kyaw Zay Yar</v>
          </cell>
          <cell r="H577" t="str">
            <v>AMBER</v>
          </cell>
          <cell r="I577" t="str">
            <v>North</v>
          </cell>
          <cell r="J577" t="str">
            <v>94.711352</v>
          </cell>
          <cell r="K577" t="str">
            <v>22.792393</v>
          </cell>
          <cell r="L577" t="str">
            <v>Rural</v>
          </cell>
          <cell r="M577" t="str">
            <v>Sagaing</v>
          </cell>
          <cell r="N577" t="str">
            <v>Kani</v>
          </cell>
          <cell r="O577" t="str">
            <v>Kani</v>
          </cell>
          <cell r="P577" t="str">
            <v>Sagaing</v>
          </cell>
          <cell r="Q577" t="str">
            <v>11</v>
          </cell>
          <cell r="R577" t="str">
            <v>Kani</v>
          </cell>
          <cell r="S577" t="str">
            <v>58</v>
          </cell>
          <cell r="T577" t="str">
            <v>GSM+UMTS</v>
          </cell>
          <cell r="W577" t="str">
            <v>Ph2-Priority</v>
          </cell>
          <cell r="X577" t="str">
            <v>53</v>
          </cell>
          <cell r="Y577" t="str">
            <v>55</v>
          </cell>
          <cell r="Z577" t="str">
            <v>GBT</v>
          </cell>
          <cell r="AA577" t="str">
            <v>500</v>
          </cell>
          <cell r="AB577" t="str">
            <v>Access</v>
          </cell>
          <cell r="AC577" t="str">
            <v>Class C</v>
          </cell>
          <cell r="BE577" t="str">
            <v>Route 9 Mandalay - Muse</v>
          </cell>
          <cell r="BH577" t="str">
            <v>Camusat</v>
          </cell>
          <cell r="BJ577">
            <v>42165</v>
          </cell>
          <cell r="BK577">
            <v>42143</v>
          </cell>
          <cell r="BL577">
            <v>42170</v>
          </cell>
          <cell r="BM577">
            <v>42150</v>
          </cell>
          <cell r="BT577">
            <v>17</v>
          </cell>
          <cell r="BU577">
            <v>42218</v>
          </cell>
          <cell r="BV577">
            <v>42160</v>
          </cell>
          <cell r="BW577" t="str">
            <v>94.70845</v>
          </cell>
          <cell r="BX577" t="str">
            <v>22.793001</v>
          </cell>
          <cell r="BY577" t="str">
            <v>C1</v>
          </cell>
          <cell r="BZ577" t="str">
            <v>Kone Thar Village, Kani Township, Yin Mar Pin District.</v>
          </cell>
          <cell r="CA577" t="str">
            <v>Daw Kyi Win;Kone Thar Village, Kani Township, Yinmarpin District;09-97430008; 09-973722197</v>
          </cell>
          <cell r="CB577" t="str">
            <v>5June15: C1 SAR Sub</v>
          </cell>
          <cell r="CC577" t="str">
            <v>Village</v>
          </cell>
          <cell r="CE577">
            <v>4</v>
          </cell>
          <cell r="CF577">
            <v>42219</v>
          </cell>
          <cell r="CG577">
            <v>42164</v>
          </cell>
          <cell r="CH577">
            <v>42221</v>
          </cell>
          <cell r="CJ577">
            <v>42174</v>
          </cell>
          <cell r="CK577" t="str">
            <v>53</v>
          </cell>
          <cell r="CL577" t="str">
            <v>55</v>
          </cell>
          <cell r="CM577" t="str">
            <v>60</v>
          </cell>
          <cell r="CN577">
            <v>12</v>
          </cell>
          <cell r="CO577">
            <v>42224</v>
          </cell>
          <cell r="CP577">
            <v>42176</v>
          </cell>
          <cell r="CQ577" t="str">
            <v>M1: grid power + battery</v>
          </cell>
          <cell r="CR577">
            <v>1</v>
          </cell>
          <cell r="CS577">
            <v>42225</v>
          </cell>
          <cell r="CT577">
            <v>42177</v>
          </cell>
          <cell r="CU577" t="str">
            <v>SG0535</v>
          </cell>
          <cell r="DH577">
            <v>25</v>
          </cell>
          <cell r="DI577">
            <v>42235</v>
          </cell>
          <cell r="DJ577">
            <v>42202</v>
          </cell>
          <cell r="DK577">
            <v>42232</v>
          </cell>
          <cell r="DL577">
            <v>42172</v>
          </cell>
          <cell r="DM577">
            <v>42236</v>
          </cell>
          <cell r="DO577">
            <v>-1</v>
          </cell>
          <cell r="DP577">
            <v>42235</v>
          </cell>
          <cell r="DQ577">
            <v>42201</v>
          </cell>
          <cell r="DT577">
            <v>32</v>
          </cell>
          <cell r="DU577">
            <v>42250</v>
          </cell>
          <cell r="DW577">
            <v>0</v>
          </cell>
          <cell r="DY577">
            <v>42236</v>
          </cell>
          <cell r="DZ577">
            <v>42201</v>
          </cell>
          <cell r="EA577" t="str">
            <v>Camusat</v>
          </cell>
          <cell r="EJ577">
            <v>32</v>
          </cell>
          <cell r="EK577">
            <v>42258</v>
          </cell>
          <cell r="EM577">
            <v>42259</v>
          </cell>
          <cell r="EQ577">
            <v>42271</v>
          </cell>
          <cell r="EW577">
            <v>32</v>
          </cell>
          <cell r="EX577">
            <v>42290</v>
          </cell>
          <cell r="EZ577">
            <v>42281</v>
          </cell>
          <cell r="FB577">
            <v>42283</v>
          </cell>
          <cell r="FU577">
            <v>42285</v>
          </cell>
          <cell r="FW577">
            <v>42285</v>
          </cell>
          <cell r="GI577">
            <v>42307</v>
          </cell>
          <cell r="GJ577" t="str">
            <v>44-2015</v>
          </cell>
          <cell r="GN577" t="str">
            <v>ERICSSON</v>
          </cell>
          <cell r="HD577">
            <v>1</v>
          </cell>
        </row>
        <row r="578">
          <cell r="A578" t="str">
            <v>SG0536</v>
          </cell>
          <cell r="B578" t="str">
            <v>ANSG_0474</v>
          </cell>
          <cell r="C578" t="str">
            <v>Apollo</v>
          </cell>
          <cell r="D578" t="str">
            <v>Adriaan Coetsee</v>
          </cell>
          <cell r="F578" t="str">
            <v>Aung Thu Win</v>
          </cell>
          <cell r="G578" t="str">
            <v>Kyaw Zay Yar</v>
          </cell>
          <cell r="H578" t="str">
            <v>RED</v>
          </cell>
          <cell r="I578" t="str">
            <v>North</v>
          </cell>
          <cell r="J578" t="str">
            <v>94.759536</v>
          </cell>
          <cell r="K578" t="str">
            <v>22.661364</v>
          </cell>
          <cell r="L578" t="str">
            <v>Rural</v>
          </cell>
          <cell r="M578" t="str">
            <v>Sagaing</v>
          </cell>
          <cell r="N578" t="str">
            <v>Kani</v>
          </cell>
          <cell r="O578" t="str">
            <v>Kani</v>
          </cell>
          <cell r="P578" t="str">
            <v>Sagaing</v>
          </cell>
          <cell r="Q578" t="str">
            <v>11</v>
          </cell>
          <cell r="R578" t="str">
            <v>Kani</v>
          </cell>
          <cell r="S578" t="str">
            <v>58</v>
          </cell>
          <cell r="T578" t="str">
            <v>GSM+UMTS</v>
          </cell>
          <cell r="W578" t="str">
            <v>Ph2-Priority</v>
          </cell>
          <cell r="X578" t="str">
            <v>53</v>
          </cell>
          <cell r="Y578" t="str">
            <v>55</v>
          </cell>
          <cell r="Z578" t="str">
            <v>GBT</v>
          </cell>
          <cell r="AA578" t="str">
            <v>500</v>
          </cell>
          <cell r="AB578" t="str">
            <v>Access</v>
          </cell>
          <cell r="AC578" t="str">
            <v>Class C</v>
          </cell>
          <cell r="BE578" t="str">
            <v>Route 15 Taunggyi - Tachileik</v>
          </cell>
          <cell r="BH578" t="str">
            <v>Camusat</v>
          </cell>
          <cell r="BJ578">
            <v>42165</v>
          </cell>
          <cell r="BK578">
            <v>42148</v>
          </cell>
          <cell r="BL578">
            <v>42170</v>
          </cell>
          <cell r="BM578">
            <v>42155</v>
          </cell>
          <cell r="BT578">
            <v>17</v>
          </cell>
          <cell r="BU578">
            <v>42223</v>
          </cell>
          <cell r="BV578">
            <v>42165</v>
          </cell>
          <cell r="BW578" t="str">
            <v>94.76206</v>
          </cell>
          <cell r="BX578" t="str">
            <v>22.65816</v>
          </cell>
          <cell r="BY578" t="str">
            <v>C1</v>
          </cell>
          <cell r="BZ578" t="str">
            <v>Ta Ohn Village, Bon Mazin Village Track, Kani Township, Sagaing Division</v>
          </cell>
          <cell r="CA578" t="str">
            <v>U Htein Mya Win</v>
          </cell>
          <cell r="CB578" t="str">
            <v>10Jun15:C1 SAR Sub</v>
          </cell>
          <cell r="CC578" t="str">
            <v>village</v>
          </cell>
          <cell r="CE578">
            <v>0</v>
          </cell>
          <cell r="CF578">
            <v>42224</v>
          </cell>
          <cell r="CG578">
            <v>42165</v>
          </cell>
          <cell r="CH578">
            <v>42226</v>
          </cell>
          <cell r="CJ578">
            <v>42193</v>
          </cell>
          <cell r="CK578" t="str">
            <v>55</v>
          </cell>
          <cell r="CL578" t="str">
            <v>57</v>
          </cell>
          <cell r="CM578" t="str">
            <v>60</v>
          </cell>
          <cell r="CN578">
            <v>30</v>
          </cell>
          <cell r="CO578">
            <v>42229</v>
          </cell>
          <cell r="CP578">
            <v>42195</v>
          </cell>
          <cell r="CQ578" t="str">
            <v>M4: solar + DG + battery</v>
          </cell>
          <cell r="CR578">
            <v>4</v>
          </cell>
          <cell r="CS578">
            <v>42230</v>
          </cell>
          <cell r="CT578">
            <v>42199</v>
          </cell>
          <cell r="CU578" t="str">
            <v>SG0536</v>
          </cell>
          <cell r="DH578">
            <v>18</v>
          </cell>
          <cell r="DI578">
            <v>42240</v>
          </cell>
          <cell r="DJ578">
            <v>42217</v>
          </cell>
          <cell r="DK578">
            <v>42237</v>
          </cell>
          <cell r="DL578">
            <v>42198</v>
          </cell>
          <cell r="DM578">
            <v>42241</v>
          </cell>
          <cell r="DN578">
            <v>42198</v>
          </cell>
          <cell r="DO578">
            <v>0</v>
          </cell>
          <cell r="DP578">
            <v>42240</v>
          </cell>
          <cell r="DQ578">
            <v>42217</v>
          </cell>
          <cell r="DT578">
            <v>16</v>
          </cell>
          <cell r="DU578">
            <v>42255</v>
          </cell>
          <cell r="DW578">
            <v>0</v>
          </cell>
          <cell r="DY578">
            <v>42241</v>
          </cell>
          <cell r="EA578" t="str">
            <v>Camusat</v>
          </cell>
          <cell r="EB578">
            <v>42209</v>
          </cell>
          <cell r="EE578" t="str">
            <v xml:space="preserve">10 Aug 15:Flood affected_Hold-No access; 24-Jul-15: Site cancelled from SKOM &amp; CW, due to Flooded access. SG Area is affected by Flood.								</v>
          </cell>
          <cell r="EJ578">
            <v>0</v>
          </cell>
          <cell r="EK578">
            <v>42263</v>
          </cell>
          <cell r="EM578">
            <v>42264</v>
          </cell>
          <cell r="EQ578">
            <v>42276</v>
          </cell>
          <cell r="EW578">
            <v>0</v>
          </cell>
          <cell r="EX578">
            <v>42290</v>
          </cell>
          <cell r="EZ578">
            <v>42286</v>
          </cell>
          <cell r="FB578">
            <v>42288</v>
          </cell>
          <cell r="FU578">
            <v>42290</v>
          </cell>
          <cell r="FW578">
            <v>42290</v>
          </cell>
          <cell r="GJ578">
            <v>0</v>
          </cell>
          <cell r="GN578" t="str">
            <v>ERICSSON</v>
          </cell>
          <cell r="HD578">
            <v>1</v>
          </cell>
        </row>
        <row r="579">
          <cell r="A579" t="str">
            <v>SG0537</v>
          </cell>
          <cell r="B579" t="str">
            <v>ANSG_0475</v>
          </cell>
          <cell r="C579" t="str">
            <v>Apollo</v>
          </cell>
          <cell r="D579" t="str">
            <v>Adriaan Coetsee</v>
          </cell>
          <cell r="F579" t="str">
            <v>Aung Thu Win</v>
          </cell>
          <cell r="G579" t="str">
            <v>Kyaw Zay Yar</v>
          </cell>
          <cell r="H579" t="str">
            <v>RED</v>
          </cell>
          <cell r="I579" t="str">
            <v>North</v>
          </cell>
          <cell r="J579" t="str">
            <v>94.69889</v>
          </cell>
          <cell r="K579" t="str">
            <v>22.34272</v>
          </cell>
          <cell r="L579" t="str">
            <v>Rural</v>
          </cell>
          <cell r="M579" t="str">
            <v>Sagaing</v>
          </cell>
          <cell r="N579" t="str">
            <v>Kani</v>
          </cell>
          <cell r="O579" t="str">
            <v>Kani</v>
          </cell>
          <cell r="P579" t="str">
            <v>Sagaing</v>
          </cell>
          <cell r="Q579" t="str">
            <v>11</v>
          </cell>
          <cell r="R579" t="str">
            <v>Kani</v>
          </cell>
          <cell r="S579" t="str">
            <v>58</v>
          </cell>
          <cell r="T579" t="str">
            <v>GSM+UMTS</v>
          </cell>
          <cell r="W579" t="str">
            <v>Ph2-Priority</v>
          </cell>
          <cell r="X579" t="str">
            <v>53</v>
          </cell>
          <cell r="Y579" t="str">
            <v>55</v>
          </cell>
          <cell r="Z579" t="str">
            <v>GBT</v>
          </cell>
          <cell r="AA579" t="str">
            <v>500</v>
          </cell>
          <cell r="AB579" t="str">
            <v>Access</v>
          </cell>
          <cell r="AC579" t="str">
            <v>Class C</v>
          </cell>
          <cell r="BH579" t="str">
            <v>Camusat</v>
          </cell>
          <cell r="BJ579">
            <v>42165</v>
          </cell>
          <cell r="BK579">
            <v>42149</v>
          </cell>
          <cell r="BL579">
            <v>42170</v>
          </cell>
          <cell r="BM579">
            <v>42156</v>
          </cell>
          <cell r="BT579">
            <v>17</v>
          </cell>
          <cell r="BU579">
            <v>42223</v>
          </cell>
          <cell r="BV579">
            <v>42166</v>
          </cell>
          <cell r="BW579" t="str">
            <v>96.15315</v>
          </cell>
          <cell r="BX579" t="str">
            <v>23.10048</v>
          </cell>
          <cell r="BY579" t="str">
            <v>C1</v>
          </cell>
          <cell r="BZ579" t="str">
            <v>Taung Lal Village, Kyauk Phyu Village Group, Thapatekyin Township,Pyin Oo Lwin District, Mandalay Division</v>
          </cell>
          <cell r="CA579" t="str">
            <v>U Htun Htun Naing</v>
          </cell>
          <cell r="CB579" t="str">
            <v>12 July 15 :C1-TSSR submission (family issue resolved); C2-NOC issue;12 Jun 15 : C2 SAR app;11 Jun15: C2-SAR submission. C1-rejected during TSS, Owner's declined due to family crisis;
1May15: C1 SAR Sub</v>
          </cell>
          <cell r="CC579" t="str">
            <v>Village</v>
          </cell>
          <cell r="CE579">
            <v>0</v>
          </cell>
          <cell r="CF579">
            <v>42224</v>
          </cell>
          <cell r="CG579">
            <v>42167</v>
          </cell>
          <cell r="CH579">
            <v>42226</v>
          </cell>
          <cell r="CJ579">
            <v>42195</v>
          </cell>
          <cell r="CK579" t="str">
            <v>55</v>
          </cell>
          <cell r="CL579" t="str">
            <v>57</v>
          </cell>
          <cell r="CM579" t="str">
            <v>60</v>
          </cell>
          <cell r="CN579">
            <v>0</v>
          </cell>
          <cell r="CO579">
            <v>42229</v>
          </cell>
          <cell r="CP579">
            <v>42197</v>
          </cell>
          <cell r="CQ579" t="str">
            <v>M4: solar + DG + battery</v>
          </cell>
          <cell r="CR579">
            <v>0</v>
          </cell>
          <cell r="CS579">
            <v>42230</v>
          </cell>
          <cell r="CT579">
            <v>42199</v>
          </cell>
          <cell r="CU579" t="str">
            <v>SG0537</v>
          </cell>
          <cell r="DH579">
            <v>0</v>
          </cell>
          <cell r="DI579">
            <v>42240</v>
          </cell>
          <cell r="DJ579">
            <v>42217</v>
          </cell>
          <cell r="DK579">
            <v>42237</v>
          </cell>
          <cell r="DL579">
            <v>42172</v>
          </cell>
          <cell r="DM579">
            <v>42241</v>
          </cell>
          <cell r="DO579">
            <v>0</v>
          </cell>
          <cell r="DP579">
            <v>42240</v>
          </cell>
          <cell r="DT579">
            <v>0</v>
          </cell>
          <cell r="DU579">
            <v>42255</v>
          </cell>
          <cell r="DW579">
            <v>0</v>
          </cell>
          <cell r="DY579">
            <v>42241</v>
          </cell>
          <cell r="DZ579">
            <v>42220</v>
          </cell>
          <cell r="EA579" t="str">
            <v>Camusat</v>
          </cell>
          <cell r="EJ579">
            <v>0</v>
          </cell>
          <cell r="EK579">
            <v>42263</v>
          </cell>
          <cell r="EM579">
            <v>42264</v>
          </cell>
          <cell r="EQ579">
            <v>42276</v>
          </cell>
          <cell r="EW579">
            <v>0</v>
          </cell>
          <cell r="EX579">
            <v>42290</v>
          </cell>
          <cell r="EZ579">
            <v>42286</v>
          </cell>
          <cell r="FB579">
            <v>42288</v>
          </cell>
          <cell r="FU579">
            <v>42290</v>
          </cell>
          <cell r="FW579">
            <v>42290</v>
          </cell>
          <cell r="GF579">
            <v>42171</v>
          </cell>
          <cell r="GI579">
            <v>42170</v>
          </cell>
          <cell r="GJ579">
            <v>0</v>
          </cell>
          <cell r="GN579" t="str">
            <v>ERICSSON</v>
          </cell>
          <cell r="HD579">
            <v>1</v>
          </cell>
        </row>
        <row r="580">
          <cell r="A580" t="str">
            <v>SG0538</v>
          </cell>
          <cell r="B580" t="str">
            <v>ANSG_0476</v>
          </cell>
          <cell r="C580" t="str">
            <v>Apollo</v>
          </cell>
          <cell r="D580" t="str">
            <v>Adriaan Coetsee</v>
          </cell>
          <cell r="F580" t="str">
            <v>Aung Thu Win</v>
          </cell>
          <cell r="G580" t="str">
            <v>Kyaw Zay Yar</v>
          </cell>
          <cell r="H580" t="str">
            <v>RED</v>
          </cell>
          <cell r="I580" t="str">
            <v>North</v>
          </cell>
          <cell r="J580" t="str">
            <v>95.8744</v>
          </cell>
          <cell r="K580" t="str">
            <v>22.1562</v>
          </cell>
          <cell r="L580" t="str">
            <v>Rural</v>
          </cell>
          <cell r="M580" t="str">
            <v>Sagaing</v>
          </cell>
          <cell r="N580" t="str">
            <v>Sagaing</v>
          </cell>
          <cell r="O580" t="str">
            <v>Sagaing</v>
          </cell>
          <cell r="P580" t="str">
            <v>Sagaing</v>
          </cell>
          <cell r="Q580" t="str">
            <v>11</v>
          </cell>
          <cell r="R580" t="str">
            <v>Sagaing</v>
          </cell>
          <cell r="S580" t="str">
            <v>42</v>
          </cell>
          <cell r="T580" t="str">
            <v>GSM+UMTS</v>
          </cell>
          <cell r="W580" t="str">
            <v>Ph2-Priority</v>
          </cell>
          <cell r="X580" t="str">
            <v>45</v>
          </cell>
          <cell r="Y580" t="str">
            <v>47</v>
          </cell>
          <cell r="Z580" t="str">
            <v>GBT</v>
          </cell>
          <cell r="AA580" t="str">
            <v>500</v>
          </cell>
          <cell r="AB580" t="str">
            <v>Access</v>
          </cell>
          <cell r="AC580" t="str">
            <v>Class C</v>
          </cell>
          <cell r="BE580" t="str">
            <v>Kyauktaw-Kyaukpadaung</v>
          </cell>
          <cell r="BH580" t="str">
            <v>Camusat</v>
          </cell>
          <cell r="BJ580">
            <v>42155</v>
          </cell>
          <cell r="BK580">
            <v>42130</v>
          </cell>
          <cell r="BL580">
            <v>42160</v>
          </cell>
          <cell r="BM580">
            <v>42140</v>
          </cell>
          <cell r="BT580">
            <v>68</v>
          </cell>
          <cell r="BU580">
            <v>42218</v>
          </cell>
          <cell r="BV580">
            <v>42198</v>
          </cell>
          <cell r="BW580" t="str">
            <v>95.870937</v>
          </cell>
          <cell r="BX580" t="str">
            <v>22.15336</v>
          </cell>
          <cell r="BY580" t="str">
            <v>C2</v>
          </cell>
          <cell r="BZ580" t="str">
            <v>Sa Mon Village , Sagaing Township,Sagaing Division</v>
          </cell>
          <cell r="CA580" t="str">
            <v>U Mg Lwin</v>
          </cell>
          <cell r="CB580" t="str">
            <v>13 July 15 :C2-SAR submission + justification( C1-NOC issue) ; 26 May 15 :C1 SAR app ; 26May15: C1 SAR Sub.</v>
          </cell>
          <cell r="CC580" t="str">
            <v>Farmland</v>
          </cell>
          <cell r="CE580">
            <v>1</v>
          </cell>
          <cell r="CF580">
            <v>42219</v>
          </cell>
          <cell r="CG580">
            <v>42199</v>
          </cell>
          <cell r="CH580">
            <v>42221</v>
          </cell>
          <cell r="CJ580">
            <v>42206</v>
          </cell>
          <cell r="CK580" t="str">
            <v>45</v>
          </cell>
          <cell r="CL580" t="str">
            <v>47</v>
          </cell>
          <cell r="CM580" t="str">
            <v>50</v>
          </cell>
          <cell r="CN580">
            <v>9</v>
          </cell>
          <cell r="CO580">
            <v>42224</v>
          </cell>
          <cell r="CP580">
            <v>42208</v>
          </cell>
          <cell r="CQ580" t="str">
            <v>M4: solar + DG + battery</v>
          </cell>
          <cell r="CR580">
            <v>1</v>
          </cell>
          <cell r="CS580">
            <v>42225</v>
          </cell>
          <cell r="CT580">
            <v>42209</v>
          </cell>
          <cell r="CU580" t="str">
            <v>SG0538</v>
          </cell>
          <cell r="DH580">
            <v>24</v>
          </cell>
          <cell r="DI580">
            <v>42235</v>
          </cell>
          <cell r="DJ580">
            <v>42250</v>
          </cell>
          <cell r="DK580">
            <v>42232</v>
          </cell>
          <cell r="DL580">
            <v>42213</v>
          </cell>
          <cell r="DM580">
            <v>42236</v>
          </cell>
          <cell r="DN580">
            <v>42199</v>
          </cell>
          <cell r="DO580">
            <v>0</v>
          </cell>
          <cell r="DP580">
            <v>42235</v>
          </cell>
          <cell r="DQ580">
            <v>42250</v>
          </cell>
          <cell r="DT580">
            <v>0</v>
          </cell>
          <cell r="DU580">
            <v>42250</v>
          </cell>
          <cell r="DW580">
            <v>0</v>
          </cell>
          <cell r="DY580">
            <v>42236</v>
          </cell>
          <cell r="DZ580">
            <v>42249</v>
          </cell>
          <cell r="EA580" t="str">
            <v>Camusat</v>
          </cell>
          <cell r="EE580" t="str">
            <v xml:space="preserve">10 Aug 15:Rain affected_Progress affected; 2-Aug-15: CW started and excavation IP								</v>
          </cell>
          <cell r="EJ580">
            <v>0</v>
          </cell>
          <cell r="EK580">
            <v>42253</v>
          </cell>
          <cell r="EL580">
            <v>42229</v>
          </cell>
          <cell r="EM580">
            <v>42254</v>
          </cell>
          <cell r="EN580">
            <v>42233</v>
          </cell>
          <cell r="EQ580">
            <v>42263</v>
          </cell>
          <cell r="EW580">
            <v>0</v>
          </cell>
          <cell r="EX580">
            <v>42282</v>
          </cell>
          <cell r="EZ580">
            <v>42273</v>
          </cell>
          <cell r="FB580">
            <v>42275</v>
          </cell>
          <cell r="FU580">
            <v>42277</v>
          </cell>
          <cell r="FW580">
            <v>42277</v>
          </cell>
          <cell r="GJ580">
            <v>0</v>
          </cell>
          <cell r="GN580" t="str">
            <v>ERICSSON</v>
          </cell>
          <cell r="HD580">
            <v>1</v>
          </cell>
        </row>
        <row r="581">
          <cell r="A581" t="str">
            <v>SG0539</v>
          </cell>
          <cell r="B581" t="str">
            <v>ANSG_0477</v>
          </cell>
          <cell r="C581" t="str">
            <v>Apollo</v>
          </cell>
          <cell r="D581" t="str">
            <v>Adriaan Coetsee</v>
          </cell>
          <cell r="F581" t="str">
            <v>Aung Thu Win</v>
          </cell>
          <cell r="G581" t="str">
            <v>Kyaw Zay Yar</v>
          </cell>
          <cell r="H581" t="str">
            <v>YELLOW</v>
          </cell>
          <cell r="I581" t="str">
            <v>North</v>
          </cell>
          <cell r="J581" t="str">
            <v>95.7703</v>
          </cell>
          <cell r="K581" t="str">
            <v>22.1048</v>
          </cell>
          <cell r="L581" t="str">
            <v>Rural</v>
          </cell>
          <cell r="M581" t="str">
            <v>Sagaing</v>
          </cell>
          <cell r="N581" t="str">
            <v>Sagaing</v>
          </cell>
          <cell r="O581" t="str">
            <v>Sagaing</v>
          </cell>
          <cell r="P581" t="str">
            <v>Sagaing</v>
          </cell>
          <cell r="Q581" t="str">
            <v>11</v>
          </cell>
          <cell r="R581" t="str">
            <v>Sagaing</v>
          </cell>
          <cell r="S581" t="str">
            <v>42</v>
          </cell>
          <cell r="T581" t="str">
            <v>GSM+UMTS</v>
          </cell>
          <cell r="W581" t="str">
            <v>Ph2-Priority</v>
          </cell>
          <cell r="X581" t="str">
            <v>45</v>
          </cell>
          <cell r="Y581" t="str">
            <v>47</v>
          </cell>
          <cell r="Z581" t="str">
            <v>GBT</v>
          </cell>
          <cell r="AA581" t="str">
            <v>500</v>
          </cell>
          <cell r="AB581" t="str">
            <v>Access</v>
          </cell>
          <cell r="AC581" t="str">
            <v>Class C</v>
          </cell>
          <cell r="BH581" t="str">
            <v>Camusat</v>
          </cell>
          <cell r="BJ581">
            <v>42162</v>
          </cell>
          <cell r="BK581">
            <v>42143</v>
          </cell>
          <cell r="BL581">
            <v>42167</v>
          </cell>
          <cell r="BM581">
            <v>42150</v>
          </cell>
          <cell r="BT581">
            <v>17</v>
          </cell>
          <cell r="BU581">
            <v>42195</v>
          </cell>
          <cell r="BV581">
            <v>42160</v>
          </cell>
          <cell r="BW581" t="str">
            <v>95.77422</v>
          </cell>
          <cell r="BX581" t="str">
            <v>22.10562</v>
          </cell>
          <cell r="BY581" t="str">
            <v>C1</v>
          </cell>
          <cell r="BZ581" t="str">
            <v>Kyar Min Gyi village, Sadaung, Sagaing township, Sagaing division.</v>
          </cell>
          <cell r="CA581" t="str">
            <v>Daw Paw Ngwe;Kyar Min Gyi village, Sadaung, Sagaing township, Sagaing division;933678567</v>
          </cell>
          <cell r="CB581" t="str">
            <v>5June15: C1 SAR Sub</v>
          </cell>
          <cell r="CC581" t="str">
            <v>Village</v>
          </cell>
          <cell r="CE581">
            <v>4</v>
          </cell>
          <cell r="CF581">
            <v>42196</v>
          </cell>
          <cell r="CG581">
            <v>42164</v>
          </cell>
          <cell r="CH581">
            <v>42198</v>
          </cell>
          <cell r="CJ581">
            <v>42174</v>
          </cell>
          <cell r="CK581" t="str">
            <v>45</v>
          </cell>
          <cell r="CL581" t="str">
            <v>47</v>
          </cell>
          <cell r="CM581" t="str">
            <v>50</v>
          </cell>
          <cell r="CN581">
            <v>12</v>
          </cell>
          <cell r="CO581">
            <v>42201</v>
          </cell>
          <cell r="CP581">
            <v>42176</v>
          </cell>
          <cell r="CQ581" t="str">
            <v>M1: grid power + battery</v>
          </cell>
          <cell r="CR581">
            <v>1</v>
          </cell>
          <cell r="CS581">
            <v>42202</v>
          </cell>
          <cell r="CT581">
            <v>42177</v>
          </cell>
          <cell r="CU581" t="str">
            <v>SG0539</v>
          </cell>
          <cell r="DH581">
            <v>15</v>
          </cell>
          <cell r="DI581">
            <v>42212</v>
          </cell>
          <cell r="DJ581">
            <v>42192</v>
          </cell>
          <cell r="DK581">
            <v>42209</v>
          </cell>
          <cell r="DL581">
            <v>42172</v>
          </cell>
          <cell r="DM581">
            <v>42213</v>
          </cell>
          <cell r="DN581">
            <v>42193</v>
          </cell>
          <cell r="DO581">
            <v>0</v>
          </cell>
          <cell r="DP581">
            <v>42212</v>
          </cell>
          <cell r="DQ581">
            <v>42192</v>
          </cell>
          <cell r="DT581">
            <v>41</v>
          </cell>
          <cell r="DU581">
            <v>42227</v>
          </cell>
          <cell r="DW581">
            <v>0</v>
          </cell>
          <cell r="DY581">
            <v>42213</v>
          </cell>
          <cell r="DZ581">
            <v>42193</v>
          </cell>
          <cell r="EA581" t="str">
            <v>Camusat</v>
          </cell>
          <cell r="EB581">
            <v>42202</v>
          </cell>
          <cell r="ED581" t="str">
            <v xml:space="preserve">13Aug15 :KyawZay.Yar: Column form work done.Column casting will started tomorrow.
</v>
          </cell>
          <cell r="EE581" t="str">
            <v xml:space="preserve">10 Aug 15:Flood affected_Hold-No access; 17-Jul-15Flooded access or site is flooded_ we canÆt proceed to this site for now								</v>
          </cell>
          <cell r="EJ581">
            <v>36</v>
          </cell>
          <cell r="EK581">
            <v>42230</v>
          </cell>
          <cell r="EL581">
            <v>42229</v>
          </cell>
          <cell r="EM581">
            <v>42231</v>
          </cell>
          <cell r="EN581">
            <v>42235</v>
          </cell>
          <cell r="EQ581">
            <v>42240</v>
          </cell>
          <cell r="ER581">
            <v>42241</v>
          </cell>
          <cell r="ES581">
            <v>42234</v>
          </cell>
          <cell r="ET581">
            <v>42244</v>
          </cell>
          <cell r="EU581">
            <v>42244</v>
          </cell>
          <cell r="EW581">
            <v>40</v>
          </cell>
          <cell r="EX581">
            <v>42254</v>
          </cell>
          <cell r="EZ581">
            <v>42250</v>
          </cell>
          <cell r="FA581">
            <v>42240</v>
          </cell>
          <cell r="FB581">
            <v>42252</v>
          </cell>
          <cell r="FC581">
            <v>42241</v>
          </cell>
          <cell r="FU581">
            <v>42254</v>
          </cell>
          <cell r="FW581">
            <v>42254</v>
          </cell>
          <cell r="FX581">
            <v>42244</v>
          </cell>
          <cell r="FY581" t="str">
            <v>AZM</v>
          </cell>
          <cell r="FZ581">
            <v>42238</v>
          </cell>
          <cell r="GA581">
            <v>42243</v>
          </cell>
          <cell r="GB581">
            <v>42244</v>
          </cell>
          <cell r="GC581">
            <v>42245</v>
          </cell>
          <cell r="GD581">
            <v>42249</v>
          </cell>
          <cell r="GI581">
            <v>42307</v>
          </cell>
          <cell r="GJ581" t="str">
            <v>44-2015</v>
          </cell>
          <cell r="GN581" t="str">
            <v>ERICSSON</v>
          </cell>
          <cell r="GP581">
            <v>42207</v>
          </cell>
          <cell r="HD581">
            <v>1</v>
          </cell>
        </row>
        <row r="582">
          <cell r="A582" t="str">
            <v>SG0540</v>
          </cell>
          <cell r="B582" t="str">
            <v>ANSG_0478</v>
          </cell>
          <cell r="C582" t="str">
            <v>Apollo</v>
          </cell>
          <cell r="D582" t="str">
            <v>Adriaan Coetsee</v>
          </cell>
          <cell r="F582" t="str">
            <v>Aung Thu Win</v>
          </cell>
          <cell r="G582" t="str">
            <v>Kyaw Zay Yar</v>
          </cell>
          <cell r="H582" t="str">
            <v>AMBER</v>
          </cell>
          <cell r="I582" t="str">
            <v>North</v>
          </cell>
          <cell r="J582" t="str">
            <v>95.7573</v>
          </cell>
          <cell r="K582" t="str">
            <v>22.1633</v>
          </cell>
          <cell r="L582" t="str">
            <v>SubUrban</v>
          </cell>
          <cell r="M582" t="str">
            <v>Sagaing</v>
          </cell>
          <cell r="N582" t="str">
            <v>Sagaing</v>
          </cell>
          <cell r="O582" t="str">
            <v>Sagaing</v>
          </cell>
          <cell r="P582" t="str">
            <v>Sagaing</v>
          </cell>
          <cell r="Q582" t="str">
            <v>11</v>
          </cell>
          <cell r="R582" t="str">
            <v>Sagaing</v>
          </cell>
          <cell r="S582" t="str">
            <v>42</v>
          </cell>
          <cell r="T582" t="str">
            <v>GSM+UMTS</v>
          </cell>
          <cell r="W582" t="str">
            <v>Ph2-Priority</v>
          </cell>
          <cell r="X582" t="str">
            <v>35</v>
          </cell>
          <cell r="Y582" t="str">
            <v>37</v>
          </cell>
          <cell r="Z582" t="str">
            <v>GBT</v>
          </cell>
          <cell r="AA582" t="str">
            <v>250</v>
          </cell>
          <cell r="AB582" t="str">
            <v>Access</v>
          </cell>
          <cell r="AC582" t="str">
            <v>Class B</v>
          </cell>
          <cell r="BE582" t="str">
            <v>Route 15 Taunggyi - Tachileik</v>
          </cell>
          <cell r="BH582" t="str">
            <v>Camusat</v>
          </cell>
          <cell r="BJ582">
            <v>42165</v>
          </cell>
          <cell r="BK582">
            <v>42176</v>
          </cell>
          <cell r="BL582">
            <v>42170</v>
          </cell>
          <cell r="BM582">
            <v>42176</v>
          </cell>
          <cell r="BT582">
            <v>10</v>
          </cell>
          <cell r="BU582">
            <v>42225</v>
          </cell>
          <cell r="BV582">
            <v>42186</v>
          </cell>
          <cell r="BW582" t="str">
            <v>95.75924</v>
          </cell>
          <cell r="BX582" t="str">
            <v>22.16746</v>
          </cell>
          <cell r="BY582" t="str">
            <v>C1</v>
          </cell>
          <cell r="BZ582" t="str">
            <v>Thinn-twae, Sa-taung Village , Sagaing Division.</v>
          </cell>
          <cell r="CA582" t="str">
            <v>U Zaw Min;09-792665331</v>
          </cell>
          <cell r="CB582" t="str">
            <v>1 July 15 : C1 sub  again with justification;24 Jun 15 : C1 SAR rejected( RND rejected as it is 500m far from nominal.Please find the candidate within search ring.)</v>
          </cell>
          <cell r="CC582" t="str">
            <v>Village</v>
          </cell>
          <cell r="CE582">
            <v>6</v>
          </cell>
          <cell r="CF582">
            <v>42226</v>
          </cell>
          <cell r="CG582">
            <v>42192</v>
          </cell>
          <cell r="CH582">
            <v>42228</v>
          </cell>
          <cell r="CJ582">
            <v>42195</v>
          </cell>
          <cell r="CK582" t="str">
            <v>35</v>
          </cell>
          <cell r="CL582" t="str">
            <v>37</v>
          </cell>
          <cell r="CM582" t="str">
            <v>40</v>
          </cell>
          <cell r="CN582">
            <v>5</v>
          </cell>
          <cell r="CO582">
            <v>42231</v>
          </cell>
          <cell r="CP582">
            <v>42197</v>
          </cell>
          <cell r="CQ582" t="str">
            <v>M1: grid power + battery</v>
          </cell>
          <cell r="CR582">
            <v>2</v>
          </cell>
          <cell r="CS582">
            <v>42232</v>
          </cell>
          <cell r="CT582">
            <v>42199</v>
          </cell>
          <cell r="CU582" t="str">
            <v>SG0540</v>
          </cell>
          <cell r="DH582">
            <v>18</v>
          </cell>
          <cell r="DI582">
            <v>42242</v>
          </cell>
          <cell r="DJ582">
            <v>42217</v>
          </cell>
          <cell r="DK582">
            <v>42239</v>
          </cell>
          <cell r="DL582">
            <v>42242</v>
          </cell>
          <cell r="DM582">
            <v>42243</v>
          </cell>
          <cell r="DO582">
            <v>0</v>
          </cell>
          <cell r="DP582">
            <v>42242</v>
          </cell>
          <cell r="DQ582">
            <v>42217</v>
          </cell>
          <cell r="DT582">
            <v>16</v>
          </cell>
          <cell r="DU582">
            <v>42257</v>
          </cell>
          <cell r="DW582">
            <v>0</v>
          </cell>
          <cell r="DY582">
            <v>42243</v>
          </cell>
          <cell r="DZ582">
            <v>42216</v>
          </cell>
          <cell r="EA582" t="str">
            <v>Camusat</v>
          </cell>
          <cell r="ED582" t="str">
            <v xml:space="preserve">13Aug15 :KyawZay.Yar: Excavation done.Footing rebar ongoing.
</v>
          </cell>
          <cell r="EJ582">
            <v>17</v>
          </cell>
          <cell r="EK582">
            <v>42258</v>
          </cell>
          <cell r="EL582">
            <v>42234</v>
          </cell>
          <cell r="EM582">
            <v>42259</v>
          </cell>
          <cell r="EN582">
            <v>42229</v>
          </cell>
          <cell r="EQ582">
            <v>42266</v>
          </cell>
          <cell r="ER582">
            <v>42247</v>
          </cell>
          <cell r="ES582">
            <v>42241</v>
          </cell>
          <cell r="ET582">
            <v>42247</v>
          </cell>
          <cell r="EU582">
            <v>42247</v>
          </cell>
          <cell r="EW582">
            <v>17</v>
          </cell>
          <cell r="EX582">
            <v>42225</v>
          </cell>
          <cell r="EZ582">
            <v>42276</v>
          </cell>
          <cell r="FA582">
            <v>42246</v>
          </cell>
          <cell r="FB582">
            <v>42278</v>
          </cell>
          <cell r="FC582">
            <v>42247</v>
          </cell>
          <cell r="FU582">
            <v>42280</v>
          </cell>
          <cell r="FW582">
            <v>42280</v>
          </cell>
          <cell r="FX582">
            <v>42247</v>
          </cell>
          <cell r="FY582" t="str">
            <v>ZM</v>
          </cell>
          <cell r="FZ582">
            <v>42245</v>
          </cell>
          <cell r="GA582">
            <v>42250</v>
          </cell>
          <cell r="GB582">
            <v>42250</v>
          </cell>
          <cell r="GC582">
            <v>42250</v>
          </cell>
          <cell r="GI582">
            <v>42307</v>
          </cell>
          <cell r="GJ582" t="str">
            <v>44-2015</v>
          </cell>
          <cell r="GN582" t="str">
            <v>ERICSSON</v>
          </cell>
          <cell r="HD582">
            <v>1</v>
          </cell>
        </row>
        <row r="583">
          <cell r="A583" t="str">
            <v>SG0542</v>
          </cell>
          <cell r="B583" t="str">
            <v>ANSG_0479</v>
          </cell>
          <cell r="C583" t="str">
            <v>Apollo</v>
          </cell>
          <cell r="D583" t="str">
            <v>Adriaan Coetsee</v>
          </cell>
          <cell r="F583" t="str">
            <v>Aung Thu Win</v>
          </cell>
          <cell r="G583" t="str">
            <v>Kyaw Zay Yar</v>
          </cell>
          <cell r="H583" t="str">
            <v>AMBER</v>
          </cell>
          <cell r="I583" t="str">
            <v>North</v>
          </cell>
          <cell r="J583" t="str">
            <v>95.4791</v>
          </cell>
          <cell r="K583" t="str">
            <v>23.3253</v>
          </cell>
          <cell r="L583" t="str">
            <v>Rural</v>
          </cell>
          <cell r="M583" t="str">
            <v>Sagaing</v>
          </cell>
          <cell r="N583" t="str">
            <v>Kyunhla</v>
          </cell>
          <cell r="O583" t="str">
            <v>Kyunhla</v>
          </cell>
          <cell r="P583" t="str">
            <v>Sagaing</v>
          </cell>
          <cell r="Q583" t="str">
            <v>11</v>
          </cell>
          <cell r="R583" t="str">
            <v>Kyunhla</v>
          </cell>
          <cell r="S583" t="str">
            <v>49</v>
          </cell>
          <cell r="T583" t="str">
            <v>GSM+UMTS</v>
          </cell>
          <cell r="W583" t="str">
            <v>Ph2-Priority</v>
          </cell>
          <cell r="X583" t="str">
            <v>45</v>
          </cell>
          <cell r="Y583" t="str">
            <v>47</v>
          </cell>
          <cell r="Z583" t="str">
            <v>GBT</v>
          </cell>
          <cell r="AA583" t="str">
            <v>500</v>
          </cell>
          <cell r="AB583" t="str">
            <v>Access</v>
          </cell>
          <cell r="AC583" t="str">
            <v>Class C</v>
          </cell>
          <cell r="BE583" t="str">
            <v>Route 15 Taunggyi - Tachileik</v>
          </cell>
          <cell r="BH583" t="str">
            <v>Camusat</v>
          </cell>
          <cell r="BJ583">
            <v>42165</v>
          </cell>
          <cell r="BK583">
            <v>42150</v>
          </cell>
          <cell r="BL583">
            <v>42170</v>
          </cell>
          <cell r="BM583">
            <v>42157</v>
          </cell>
          <cell r="BT583">
            <v>35</v>
          </cell>
          <cell r="BU583">
            <v>42223</v>
          </cell>
          <cell r="BV583">
            <v>42185</v>
          </cell>
          <cell r="BW583" t="str">
            <v>95.482</v>
          </cell>
          <cell r="BX583" t="str">
            <v>23.32619</v>
          </cell>
          <cell r="BY583" t="str">
            <v>C2</v>
          </cell>
          <cell r="BZ583" t="str">
            <v>Zeetaw Village, Kyi Kone Village Track, Kyun Hla Township</v>
          </cell>
          <cell r="CA583" t="str">
            <v>U Maung Thein</v>
          </cell>
          <cell r="CB583" t="str">
            <v>30 June 15: C2-SAR submission( C1-TSS failed due to lessor's declined and NOC issue);15 June 15 : C1 SAR app;12 June 15 : C1 SAR sub</v>
          </cell>
          <cell r="CC583" t="str">
            <v>Village</v>
          </cell>
          <cell r="CE583">
            <v>1</v>
          </cell>
          <cell r="CF583">
            <v>42224</v>
          </cell>
          <cell r="CG583">
            <v>42186</v>
          </cell>
          <cell r="CH583">
            <v>42226</v>
          </cell>
          <cell r="CJ583">
            <v>42203</v>
          </cell>
          <cell r="CK583" t="str">
            <v>45</v>
          </cell>
          <cell r="CL583" t="str">
            <v>47</v>
          </cell>
          <cell r="CM583" t="str">
            <v>50</v>
          </cell>
          <cell r="CN583">
            <v>19</v>
          </cell>
          <cell r="CO583">
            <v>42229</v>
          </cell>
          <cell r="CP583">
            <v>42205</v>
          </cell>
          <cell r="CQ583" t="str">
            <v>M1: grid power + battery</v>
          </cell>
          <cell r="CR583">
            <v>2</v>
          </cell>
          <cell r="CS583">
            <v>42230</v>
          </cell>
          <cell r="CT583">
            <v>42207</v>
          </cell>
          <cell r="CU583" t="str">
            <v>SG0542</v>
          </cell>
          <cell r="DH583">
            <v>10</v>
          </cell>
          <cell r="DI583">
            <v>42240</v>
          </cell>
          <cell r="DJ583">
            <v>42217</v>
          </cell>
          <cell r="DK583">
            <v>42237</v>
          </cell>
          <cell r="DL583">
            <v>42188</v>
          </cell>
          <cell r="DM583">
            <v>42241</v>
          </cell>
          <cell r="DO583">
            <v>0</v>
          </cell>
          <cell r="DP583">
            <v>42240</v>
          </cell>
          <cell r="DQ583">
            <v>42217</v>
          </cell>
          <cell r="DT583">
            <v>16</v>
          </cell>
          <cell r="DU583">
            <v>42255</v>
          </cell>
          <cell r="DW583">
            <v>0</v>
          </cell>
          <cell r="DY583">
            <v>42241</v>
          </cell>
          <cell r="DZ583">
            <v>42215</v>
          </cell>
          <cell r="EA583" t="str">
            <v>Camusat</v>
          </cell>
          <cell r="EJ583">
            <v>18</v>
          </cell>
          <cell r="EK583">
            <v>42258</v>
          </cell>
          <cell r="EM583">
            <v>42259</v>
          </cell>
          <cell r="EQ583">
            <v>42268</v>
          </cell>
          <cell r="EW583">
            <v>18</v>
          </cell>
          <cell r="EX583">
            <v>42282</v>
          </cell>
          <cell r="EZ583">
            <v>42278</v>
          </cell>
          <cell r="FB583">
            <v>42280</v>
          </cell>
          <cell r="FU583">
            <v>42282</v>
          </cell>
          <cell r="FW583">
            <v>42282</v>
          </cell>
          <cell r="GI583">
            <v>42307</v>
          </cell>
          <cell r="GJ583" t="str">
            <v>44-2015</v>
          </cell>
          <cell r="GN583" t="str">
            <v>ERICSSON</v>
          </cell>
          <cell r="HD583">
            <v>1</v>
          </cell>
        </row>
        <row r="584">
          <cell r="A584" t="str">
            <v>SG0543</v>
          </cell>
          <cell r="B584" t="str">
            <v>ANSG_0480</v>
          </cell>
          <cell r="C584" t="str">
            <v>Apollo</v>
          </cell>
          <cell r="D584" t="str">
            <v>Adriaan Coetsee</v>
          </cell>
          <cell r="F584" t="str">
            <v>Aung Thu Win</v>
          </cell>
          <cell r="G584" t="str">
            <v>Kyaw Zay Yar</v>
          </cell>
          <cell r="H584" t="str">
            <v>AMBER</v>
          </cell>
          <cell r="I584" t="str">
            <v>North</v>
          </cell>
          <cell r="J584" t="str">
            <v>95.5747</v>
          </cell>
          <cell r="K584" t="str">
            <v>22.0149</v>
          </cell>
          <cell r="L584" t="str">
            <v>Rural</v>
          </cell>
          <cell r="M584" t="str">
            <v>Sagaing</v>
          </cell>
          <cell r="N584" t="str">
            <v>Myinmu</v>
          </cell>
          <cell r="O584" t="str">
            <v>Myinmu</v>
          </cell>
          <cell r="P584" t="str">
            <v>Sagaing</v>
          </cell>
          <cell r="Q584" t="str">
            <v>11</v>
          </cell>
          <cell r="R584" t="str">
            <v>Myinmu</v>
          </cell>
          <cell r="S584" t="str">
            <v>43</v>
          </cell>
          <cell r="T584" t="str">
            <v>GSM+UMTS</v>
          </cell>
          <cell r="W584" t="str">
            <v>Ph2-Priority</v>
          </cell>
          <cell r="X584" t="str">
            <v>45</v>
          </cell>
          <cell r="Y584" t="str">
            <v>47</v>
          </cell>
          <cell r="Z584" t="str">
            <v>GBT</v>
          </cell>
          <cell r="AA584" t="str">
            <v>500</v>
          </cell>
          <cell r="AB584" t="str">
            <v>Access</v>
          </cell>
          <cell r="AC584" t="str">
            <v>Class C</v>
          </cell>
          <cell r="BH584" t="str">
            <v>Camusat</v>
          </cell>
          <cell r="BJ584">
            <v>42155</v>
          </cell>
          <cell r="BK584">
            <v>42139</v>
          </cell>
          <cell r="BL584">
            <v>42160</v>
          </cell>
          <cell r="BM584">
            <v>42146</v>
          </cell>
          <cell r="BT584">
            <v>17</v>
          </cell>
          <cell r="BU584">
            <v>42218</v>
          </cell>
          <cell r="BV584">
            <v>42156</v>
          </cell>
          <cell r="BW584" t="str">
            <v>95.57578</v>
          </cell>
          <cell r="BX584" t="str">
            <v>22.013104</v>
          </cell>
          <cell r="BY584" t="str">
            <v>C1</v>
          </cell>
          <cell r="BZ584" t="str">
            <v>Kantaw Village,Myin-mu Township, Sagaing Division .</v>
          </cell>
          <cell r="CA584" t="str">
            <v>U Soe Win;Myin-mu Township, Kantaw Village;09-33231698, 09-33441912</v>
          </cell>
          <cell r="CB584" t="str">
            <v>1May15: C1 SAR Sub</v>
          </cell>
          <cell r="CC584" t="str">
            <v>Residential</v>
          </cell>
          <cell r="CE584">
            <v>1</v>
          </cell>
          <cell r="CF584">
            <v>42219</v>
          </cell>
          <cell r="CG584">
            <v>42157</v>
          </cell>
          <cell r="CH584">
            <v>42221</v>
          </cell>
          <cell r="CJ584">
            <v>42164</v>
          </cell>
          <cell r="CK584" t="str">
            <v>46</v>
          </cell>
          <cell r="CL584" t="str">
            <v>47</v>
          </cell>
          <cell r="CM584" t="str">
            <v>50</v>
          </cell>
          <cell r="CN584">
            <v>9</v>
          </cell>
          <cell r="CO584">
            <v>42224</v>
          </cell>
          <cell r="CP584">
            <v>42166</v>
          </cell>
          <cell r="CQ584" t="str">
            <v>M1: grid power + battery</v>
          </cell>
          <cell r="CR584">
            <v>1</v>
          </cell>
          <cell r="CS584">
            <v>42225</v>
          </cell>
          <cell r="CT584">
            <v>42167</v>
          </cell>
          <cell r="CU584" t="str">
            <v>SG0543</v>
          </cell>
          <cell r="DH584">
            <v>14</v>
          </cell>
          <cell r="DI584">
            <v>42235</v>
          </cell>
          <cell r="DJ584">
            <v>42181</v>
          </cell>
          <cell r="DK584">
            <v>42232</v>
          </cell>
          <cell r="DL584">
            <v>42172</v>
          </cell>
          <cell r="DM584">
            <v>42236</v>
          </cell>
          <cell r="DN584">
            <v>42187</v>
          </cell>
          <cell r="DO584">
            <v>0</v>
          </cell>
          <cell r="DP584">
            <v>42235</v>
          </cell>
          <cell r="DQ584">
            <v>42181</v>
          </cell>
          <cell r="DT584">
            <v>52</v>
          </cell>
          <cell r="DU584">
            <v>42250</v>
          </cell>
          <cell r="DW584">
            <v>0</v>
          </cell>
          <cell r="DY584">
            <v>42236</v>
          </cell>
          <cell r="DZ584">
            <v>42187</v>
          </cell>
          <cell r="EA584" t="str">
            <v>Camusat</v>
          </cell>
          <cell r="EB584">
            <v>42212</v>
          </cell>
          <cell r="ED584" t="str">
            <v xml:space="preserve">27Jul15 :KyawZay.Yar: Excavation done.Lean concrete done.
</v>
          </cell>
          <cell r="EE584" t="str">
            <v xml:space="preserve">10 Aug 15:Flood affected_Hold-No access; 27-Jul-15: Flooded access or site is flooded_ we canÆt proceed to this site. For now								</v>
          </cell>
          <cell r="EJ584">
            <v>46</v>
          </cell>
          <cell r="EK584">
            <v>42253</v>
          </cell>
          <cell r="EM584">
            <v>42254</v>
          </cell>
          <cell r="EQ584">
            <v>42263</v>
          </cell>
          <cell r="EW584">
            <v>46</v>
          </cell>
          <cell r="EX584">
            <v>42282</v>
          </cell>
          <cell r="EZ584">
            <v>42273</v>
          </cell>
          <cell r="FB584">
            <v>42275</v>
          </cell>
          <cell r="FU584">
            <v>42277</v>
          </cell>
          <cell r="FW584">
            <v>42277</v>
          </cell>
          <cell r="GI584">
            <v>42277</v>
          </cell>
          <cell r="GJ584" t="str">
            <v>40-2015</v>
          </cell>
          <cell r="GN584" t="str">
            <v>ERICSSON</v>
          </cell>
          <cell r="GO584">
            <v>42199</v>
          </cell>
          <cell r="GP584">
            <v>42207</v>
          </cell>
          <cell r="HD584">
            <v>1</v>
          </cell>
        </row>
        <row r="585">
          <cell r="A585" t="str">
            <v>SG0544</v>
          </cell>
          <cell r="B585" t="str">
            <v>ANSG_0481</v>
          </cell>
          <cell r="C585" t="str">
            <v>Apollo</v>
          </cell>
          <cell r="D585" t="str">
            <v>Adriaan Coetsee</v>
          </cell>
          <cell r="F585" t="str">
            <v>Aung Thu Win</v>
          </cell>
          <cell r="G585" t="str">
            <v>Kyaw Zay Yar</v>
          </cell>
          <cell r="H585" t="str">
            <v>GREEN</v>
          </cell>
          <cell r="I585" t="str">
            <v>North</v>
          </cell>
          <cell r="J585" t="str">
            <v>95.1756</v>
          </cell>
          <cell r="K585" t="str">
            <v>21.8288</v>
          </cell>
          <cell r="L585" t="str">
            <v>Rural</v>
          </cell>
          <cell r="M585" t="str">
            <v>Sagaing</v>
          </cell>
          <cell r="N585" t="str">
            <v>Chaung-U</v>
          </cell>
          <cell r="O585" t="str">
            <v>Chaung-U</v>
          </cell>
          <cell r="P585" t="str">
            <v>Sagaing</v>
          </cell>
          <cell r="Q585" t="str">
            <v>11</v>
          </cell>
          <cell r="R585" t="str">
            <v>Chaung-U</v>
          </cell>
          <cell r="S585" t="str">
            <v>56</v>
          </cell>
          <cell r="T585" t="str">
            <v>GSM+UMTS</v>
          </cell>
          <cell r="W585" t="str">
            <v>Ph2-Priority</v>
          </cell>
          <cell r="X585" t="str">
            <v>45</v>
          </cell>
          <cell r="Y585" t="str">
            <v>47</v>
          </cell>
          <cell r="Z585" t="str">
            <v>GBT</v>
          </cell>
          <cell r="AA585" t="str">
            <v>500</v>
          </cell>
          <cell r="AB585" t="str">
            <v>Access</v>
          </cell>
          <cell r="AC585" t="str">
            <v>Class C</v>
          </cell>
          <cell r="BE585" t="str">
            <v>Route 6 Mandalay - Monywa</v>
          </cell>
          <cell r="BH585" t="str">
            <v>Camusat</v>
          </cell>
          <cell r="BJ585">
            <v>42149</v>
          </cell>
          <cell r="BK585">
            <v>42130</v>
          </cell>
          <cell r="BL585">
            <v>42154</v>
          </cell>
          <cell r="BM585">
            <v>42140</v>
          </cell>
          <cell r="BT585">
            <v>20</v>
          </cell>
          <cell r="BU585">
            <v>42215</v>
          </cell>
          <cell r="BV585">
            <v>42150</v>
          </cell>
          <cell r="BW585" t="str">
            <v>95.17751</v>
          </cell>
          <cell r="BX585" t="str">
            <v>21.83196</v>
          </cell>
          <cell r="BY585" t="str">
            <v>C1</v>
          </cell>
          <cell r="BZ585" t="str">
            <v>Thone Pan Hla Village, Chaung Oo Township, Monywar District, Sagaing .</v>
          </cell>
          <cell r="CA585" t="str">
            <v>U Win Shwe;Thone Pan Hla Village, Chaung Oo Township, Monywar District, Sagaing Division;09 33557671</v>
          </cell>
          <cell r="CB585" t="str">
            <v>26May15: C1 SAR Sub.</v>
          </cell>
          <cell r="CC585" t="str">
            <v>VILLAGE</v>
          </cell>
          <cell r="CE585">
            <v>0</v>
          </cell>
          <cell r="CF585">
            <v>42216</v>
          </cell>
          <cell r="CG585">
            <v>42150</v>
          </cell>
          <cell r="CH585">
            <v>42218</v>
          </cell>
          <cell r="CJ585">
            <v>42156</v>
          </cell>
          <cell r="CK585" t="str">
            <v>45</v>
          </cell>
          <cell r="CL585" t="str">
            <v>47</v>
          </cell>
          <cell r="CM585" t="str">
            <v>50</v>
          </cell>
          <cell r="CN585">
            <v>8</v>
          </cell>
          <cell r="CO585">
            <v>42221</v>
          </cell>
          <cell r="CP585">
            <v>42158</v>
          </cell>
          <cell r="CQ585" t="str">
            <v>M1: grid power + battery</v>
          </cell>
          <cell r="CR585">
            <v>1</v>
          </cell>
          <cell r="CS585">
            <v>42222</v>
          </cell>
          <cell r="CT585">
            <v>42159</v>
          </cell>
          <cell r="CU585" t="str">
            <v>SG0544</v>
          </cell>
          <cell r="DH585">
            <v>11</v>
          </cell>
          <cell r="DI585">
            <v>42232</v>
          </cell>
          <cell r="DJ585">
            <v>42170</v>
          </cell>
          <cell r="DK585">
            <v>42229</v>
          </cell>
          <cell r="DL585">
            <v>42168</v>
          </cell>
          <cell r="DM585">
            <v>42233</v>
          </cell>
          <cell r="DN585">
            <v>42174</v>
          </cell>
          <cell r="DO585">
            <v>0</v>
          </cell>
          <cell r="DP585">
            <v>42232</v>
          </cell>
          <cell r="DQ585">
            <v>42170</v>
          </cell>
          <cell r="DT585">
            <v>3</v>
          </cell>
          <cell r="DU585">
            <v>42247</v>
          </cell>
          <cell r="DV585">
            <v>42173</v>
          </cell>
          <cell r="DW585">
            <v>1</v>
          </cell>
          <cell r="DY585">
            <v>42233</v>
          </cell>
          <cell r="DZ585">
            <v>42174</v>
          </cell>
          <cell r="EA585" t="str">
            <v>Camusat</v>
          </cell>
          <cell r="ED585" t="str">
            <v xml:space="preserve">25Jul15 :KyawZay.Yar: Erection ongoing.Equip; PAD ongoing.
</v>
          </cell>
          <cell r="EI585" t="str">
            <v>M5: grid power + DG + battery      </v>
          </cell>
          <cell r="EJ585">
            <v>19</v>
          </cell>
          <cell r="EK585">
            <v>42250</v>
          </cell>
          <cell r="EL585">
            <v>42193</v>
          </cell>
          <cell r="EM585">
            <v>42251</v>
          </cell>
          <cell r="EN585">
            <v>42204</v>
          </cell>
          <cell r="EQ585">
            <v>42260</v>
          </cell>
          <cell r="ER585">
            <v>42210</v>
          </cell>
          <cell r="ES585">
            <v>42214</v>
          </cell>
          <cell r="ET585">
            <v>42214</v>
          </cell>
          <cell r="EU585">
            <v>42214</v>
          </cell>
          <cell r="EW585">
            <v>59</v>
          </cell>
          <cell r="EX585">
            <v>42260</v>
          </cell>
          <cell r="EZ585">
            <v>42270</v>
          </cell>
          <cell r="FA585">
            <v>42216</v>
          </cell>
          <cell r="FB585">
            <v>42272</v>
          </cell>
          <cell r="FC585">
            <v>42217</v>
          </cell>
          <cell r="FU585">
            <v>42274</v>
          </cell>
          <cell r="FW585">
            <v>42274</v>
          </cell>
          <cell r="FX585">
            <v>42217</v>
          </cell>
          <cell r="FY585" t="str">
            <v>EM</v>
          </cell>
          <cell r="FZ585">
            <v>42217</v>
          </cell>
          <cell r="GA585">
            <v>42232</v>
          </cell>
          <cell r="GB585">
            <v>42232</v>
          </cell>
          <cell r="GC585">
            <v>42232</v>
          </cell>
          <cell r="GD585">
            <v>42233</v>
          </cell>
          <cell r="GE585">
            <v>42233</v>
          </cell>
          <cell r="GF585">
            <v>42233</v>
          </cell>
          <cell r="GG585">
            <v>42234</v>
          </cell>
          <cell r="GH585">
            <v>42234</v>
          </cell>
          <cell r="GI585">
            <v>42246</v>
          </cell>
          <cell r="GJ585" t="str">
            <v>36-2015</v>
          </cell>
          <cell r="GK585">
            <v>42234</v>
          </cell>
          <cell r="GL585" t="str">
            <v>Due to Flood equipment could not be delivered</v>
          </cell>
          <cell r="GN585" t="str">
            <v>ERICSSON</v>
          </cell>
          <cell r="GQ585">
            <v>0</v>
          </cell>
          <cell r="HD585">
            <v>1</v>
          </cell>
        </row>
        <row r="586">
          <cell r="A586" t="str">
            <v>SG0545</v>
          </cell>
          <cell r="B586" t="str">
            <v>ANSG_0482</v>
          </cell>
          <cell r="C586" t="str">
            <v>Apollo</v>
          </cell>
          <cell r="D586" t="str">
            <v>Adriaan Coetsee</v>
          </cell>
          <cell r="F586" t="str">
            <v>Aung Thu Win</v>
          </cell>
          <cell r="G586" t="str">
            <v>Kyaw Zay Yar</v>
          </cell>
          <cell r="H586" t="str">
            <v>RED</v>
          </cell>
          <cell r="I586" t="str">
            <v>North</v>
          </cell>
          <cell r="J586" t="str">
            <v>94.9358</v>
          </cell>
          <cell r="K586" t="str">
            <v>21.8464</v>
          </cell>
          <cell r="L586" t="str">
            <v>Rural</v>
          </cell>
          <cell r="M586" t="str">
            <v>Sagaing</v>
          </cell>
          <cell r="N586" t="str">
            <v>Salingyi</v>
          </cell>
          <cell r="O586" t="str">
            <v>Salingyi</v>
          </cell>
          <cell r="P586" t="str">
            <v>Sagaing</v>
          </cell>
          <cell r="Q586" t="str">
            <v>11</v>
          </cell>
          <cell r="R586" t="str">
            <v>Salingyi</v>
          </cell>
          <cell r="S586" t="str">
            <v>59</v>
          </cell>
          <cell r="T586" t="str">
            <v>GSM+UMTS</v>
          </cell>
          <cell r="W586" t="str">
            <v>Ph2-Priority</v>
          </cell>
          <cell r="X586" t="str">
            <v>45</v>
          </cell>
          <cell r="Y586" t="str">
            <v>47</v>
          </cell>
          <cell r="Z586" t="str">
            <v>GBT</v>
          </cell>
          <cell r="AA586" t="str">
            <v>500</v>
          </cell>
          <cell r="AB586" t="str">
            <v>Access</v>
          </cell>
          <cell r="AC586" t="str">
            <v>Class C</v>
          </cell>
          <cell r="BE586" t="str">
            <v>Indaw - Bhamo</v>
          </cell>
          <cell r="BH586" t="str">
            <v>Camusat</v>
          </cell>
          <cell r="BJ586">
            <v>42165</v>
          </cell>
          <cell r="BK586">
            <v>42156</v>
          </cell>
          <cell r="BL586">
            <v>42170</v>
          </cell>
          <cell r="BM586">
            <v>42157</v>
          </cell>
          <cell r="BT586">
            <v>53</v>
          </cell>
          <cell r="BU586">
            <v>42223</v>
          </cell>
          <cell r="BV586">
            <v>42209</v>
          </cell>
          <cell r="BW586" t="str">
            <v>94.94063</v>
          </cell>
          <cell r="BX586" t="str">
            <v>21.8461</v>
          </cell>
          <cell r="BY586" t="str">
            <v>C2</v>
          </cell>
          <cell r="BZ586" t="str">
            <v>Bo Gone Village, Tone Paw Village Track,Katha Township,Katha  district Sagaing</v>
          </cell>
          <cell r="CA586" t="str">
            <v>U Peter Bran;09-259856241</v>
          </cell>
          <cell r="CB586" t="str">
            <v>24 July 15 :C2-SAR submission; C1-NOC issue;6 July 15 : C1 TSSR app;17 Jun 15 : C1 SAR app;16Jun15: C1 SAR Sub</v>
          </cell>
          <cell r="CE586">
            <v>3</v>
          </cell>
          <cell r="CF586">
            <v>42224</v>
          </cell>
          <cell r="CG586">
            <v>42212</v>
          </cell>
          <cell r="CH586">
            <v>42226</v>
          </cell>
          <cell r="CJ586">
            <v>42246</v>
          </cell>
          <cell r="CK586" t="str">
            <v>45</v>
          </cell>
          <cell r="CL586" t="str">
            <v>47</v>
          </cell>
          <cell r="CM586" t="str">
            <v>60</v>
          </cell>
          <cell r="CN586">
            <v>21</v>
          </cell>
          <cell r="CO586">
            <v>42229</v>
          </cell>
          <cell r="CP586">
            <v>42248</v>
          </cell>
          <cell r="CQ586" t="str">
            <v>M1: grid power + battery</v>
          </cell>
          <cell r="CR586">
            <v>0</v>
          </cell>
          <cell r="CS586">
            <v>42230</v>
          </cell>
          <cell r="CT586">
            <v>42249</v>
          </cell>
          <cell r="CU586" t="str">
            <v>SG0545</v>
          </cell>
          <cell r="DH586">
            <v>0</v>
          </cell>
          <cell r="DI586">
            <v>42240</v>
          </cell>
          <cell r="DJ586">
            <v>42217</v>
          </cell>
          <cell r="DK586">
            <v>42237</v>
          </cell>
          <cell r="DL586">
            <v>42188</v>
          </cell>
          <cell r="DM586">
            <v>42241</v>
          </cell>
          <cell r="DN586">
            <v>42202</v>
          </cell>
          <cell r="DO586">
            <v>0</v>
          </cell>
          <cell r="DP586">
            <v>42240</v>
          </cell>
          <cell r="DQ586">
            <v>42217</v>
          </cell>
          <cell r="DT586">
            <v>0</v>
          </cell>
          <cell r="DU586">
            <v>42255</v>
          </cell>
          <cell r="DW586">
            <v>0</v>
          </cell>
          <cell r="DY586">
            <v>42241</v>
          </cell>
          <cell r="DZ586">
            <v>42201</v>
          </cell>
          <cell r="EA586" t="str">
            <v>Camusat</v>
          </cell>
          <cell r="EJ586">
            <v>0</v>
          </cell>
          <cell r="EK586">
            <v>42263</v>
          </cell>
          <cell r="EM586">
            <v>42264</v>
          </cell>
          <cell r="EQ586">
            <v>42276</v>
          </cell>
          <cell r="EW586">
            <v>0</v>
          </cell>
          <cell r="EX586">
            <v>42290</v>
          </cell>
          <cell r="EZ586">
            <v>42286</v>
          </cell>
          <cell r="FB586">
            <v>42288</v>
          </cell>
          <cell r="FU586">
            <v>42290</v>
          </cell>
          <cell r="FW586">
            <v>42290</v>
          </cell>
          <cell r="FY586" t="str">
            <v>EM</v>
          </cell>
          <cell r="GI586">
            <v>42277</v>
          </cell>
          <cell r="GJ586">
            <v>0</v>
          </cell>
          <cell r="GN586" t="str">
            <v>ERICSSON</v>
          </cell>
          <cell r="HD586">
            <v>1</v>
          </cell>
        </row>
        <row r="587">
          <cell r="A587" t="str">
            <v>SG0546</v>
          </cell>
          <cell r="B587" t="str">
            <v>ANSG_0483</v>
          </cell>
          <cell r="C587" t="str">
            <v>Apollo</v>
          </cell>
          <cell r="D587" t="str">
            <v>Adriaan Coetsee</v>
          </cell>
          <cell r="F587" t="str">
            <v>Aung Thu Win</v>
          </cell>
          <cell r="G587" t="str">
            <v>Kyaw Zay Yar</v>
          </cell>
          <cell r="H587" t="str">
            <v>RED</v>
          </cell>
          <cell r="I587" t="str">
            <v>North</v>
          </cell>
          <cell r="J587" t="str">
            <v>95.4351</v>
          </cell>
          <cell r="K587" t="str">
            <v>23.3235</v>
          </cell>
          <cell r="L587" t="str">
            <v>Rural</v>
          </cell>
          <cell r="M587" t="str">
            <v>Sagaing</v>
          </cell>
          <cell r="N587" t="str">
            <v>Kyunhla</v>
          </cell>
          <cell r="O587" t="str">
            <v>Kyunhla</v>
          </cell>
          <cell r="P587" t="str">
            <v>Sagaing</v>
          </cell>
          <cell r="Q587" t="str">
            <v>11</v>
          </cell>
          <cell r="R587" t="str">
            <v>Kyunhla</v>
          </cell>
          <cell r="S587" t="str">
            <v>49</v>
          </cell>
          <cell r="T587" t="str">
            <v>GSM+UMTS</v>
          </cell>
          <cell r="W587" t="str">
            <v>Ph2-Priority</v>
          </cell>
          <cell r="X587" t="str">
            <v>45</v>
          </cell>
          <cell r="Y587" t="str">
            <v>47</v>
          </cell>
          <cell r="Z587" t="str">
            <v>GBT</v>
          </cell>
          <cell r="AA587" t="str">
            <v>500</v>
          </cell>
          <cell r="AB587" t="str">
            <v>Access</v>
          </cell>
          <cell r="AC587" t="str">
            <v>Class C</v>
          </cell>
          <cell r="BH587" t="str">
            <v>Camusat</v>
          </cell>
          <cell r="BJ587">
            <v>42165</v>
          </cell>
          <cell r="BK587">
            <v>42150</v>
          </cell>
          <cell r="BL587">
            <v>42170</v>
          </cell>
          <cell r="BM587">
            <v>42157</v>
          </cell>
          <cell r="BT587">
            <v>17</v>
          </cell>
          <cell r="BU587">
            <v>42223</v>
          </cell>
          <cell r="BV587">
            <v>42167</v>
          </cell>
          <cell r="BW587" t="str">
            <v>95.4351</v>
          </cell>
          <cell r="BX587" t="str">
            <v>23.32326</v>
          </cell>
          <cell r="BY587" t="str">
            <v>C1</v>
          </cell>
          <cell r="BZ587" t="str">
            <v>San Pya Village, Kyung Hla Township,Sagaing .</v>
          </cell>
          <cell r="CA587" t="str">
            <v>U Thaung Sein;09-256537314</v>
          </cell>
          <cell r="CB587" t="str">
            <v>12Jun15: C1 SAR Sub</v>
          </cell>
          <cell r="CE587">
            <v>4</v>
          </cell>
          <cell r="CF587">
            <v>42224</v>
          </cell>
          <cell r="CG587">
            <v>42171</v>
          </cell>
          <cell r="CH587">
            <v>42226</v>
          </cell>
          <cell r="CJ587">
            <v>42179</v>
          </cell>
          <cell r="CK587" t="str">
            <v>47</v>
          </cell>
          <cell r="CL587" t="str">
            <v>50</v>
          </cell>
          <cell r="CM587" t="str">
            <v>50</v>
          </cell>
          <cell r="CN587">
            <v>10</v>
          </cell>
          <cell r="CO587">
            <v>42229</v>
          </cell>
          <cell r="CP587">
            <v>42181</v>
          </cell>
          <cell r="CQ587" t="str">
            <v>M1: grid power + battery</v>
          </cell>
          <cell r="CR587">
            <v>3</v>
          </cell>
          <cell r="CS587">
            <v>42230</v>
          </cell>
          <cell r="CT587">
            <v>42184</v>
          </cell>
          <cell r="CU587" t="str">
            <v>SG0546</v>
          </cell>
          <cell r="DH587">
            <v>33</v>
          </cell>
          <cell r="DI587">
            <v>42240</v>
          </cell>
          <cell r="DJ587">
            <v>42217</v>
          </cell>
          <cell r="DK587">
            <v>42237</v>
          </cell>
          <cell r="DL587">
            <v>42179</v>
          </cell>
          <cell r="DM587">
            <v>42241</v>
          </cell>
          <cell r="DO587">
            <v>0</v>
          </cell>
          <cell r="DP587">
            <v>42240</v>
          </cell>
          <cell r="DQ587">
            <v>42217</v>
          </cell>
          <cell r="DT587">
            <v>16</v>
          </cell>
          <cell r="DU587">
            <v>42255</v>
          </cell>
          <cell r="DW587">
            <v>0</v>
          </cell>
          <cell r="DY587">
            <v>42241</v>
          </cell>
          <cell r="EA587" t="str">
            <v>Camusat</v>
          </cell>
          <cell r="EB587">
            <v>42217</v>
          </cell>
          <cell r="EE587" t="str">
            <v xml:space="preserve">10 Aug 15:Flood affected_Hold-No access; 1-Aug-15:Site cancelled from SKOM &amp; CW, due to Flooded access. SG Area is affected by Flood.								</v>
          </cell>
          <cell r="EJ587">
            <v>0</v>
          </cell>
          <cell r="EK587">
            <v>42258</v>
          </cell>
          <cell r="EM587">
            <v>42259</v>
          </cell>
          <cell r="EQ587">
            <v>42268</v>
          </cell>
          <cell r="EW587">
            <v>0</v>
          </cell>
          <cell r="EX587">
            <v>42282</v>
          </cell>
          <cell r="EZ587">
            <v>42278</v>
          </cell>
          <cell r="FB587">
            <v>42280</v>
          </cell>
          <cell r="FU587">
            <v>42282</v>
          </cell>
          <cell r="FW587">
            <v>42282</v>
          </cell>
          <cell r="FY587" t="str">
            <v>RT</v>
          </cell>
          <cell r="GI587">
            <v>42277</v>
          </cell>
          <cell r="GJ587">
            <v>0</v>
          </cell>
          <cell r="GN587" t="str">
            <v>ERICSSON</v>
          </cell>
          <cell r="HD587">
            <v>1</v>
          </cell>
        </row>
        <row r="588">
          <cell r="A588" t="str">
            <v>SG0549</v>
          </cell>
          <cell r="B588" t="str">
            <v>ANSG_0484</v>
          </cell>
          <cell r="C588" t="str">
            <v>Apollo</v>
          </cell>
          <cell r="D588" t="str">
            <v>Adriaan Coetsee</v>
          </cell>
          <cell r="F588" t="str">
            <v>Aung Thu Win</v>
          </cell>
          <cell r="G588" t="str">
            <v>Kyaw Zay Yar</v>
          </cell>
          <cell r="H588" t="str">
            <v>AMBER</v>
          </cell>
          <cell r="I588" t="str">
            <v>North</v>
          </cell>
          <cell r="J588" t="str">
            <v>95.7043</v>
          </cell>
          <cell r="K588" t="str">
            <v>22.3062</v>
          </cell>
          <cell r="L588" t="str">
            <v>Rural</v>
          </cell>
          <cell r="M588" t="str">
            <v>Sagaing</v>
          </cell>
          <cell r="N588" t="str">
            <v>Wetlet</v>
          </cell>
          <cell r="O588" t="str">
            <v>Wetlet</v>
          </cell>
          <cell r="P588" t="str">
            <v>Sagaing</v>
          </cell>
          <cell r="Q588" t="str">
            <v>11</v>
          </cell>
          <cell r="R588" t="str">
            <v>Wetlet</v>
          </cell>
          <cell r="S588" t="str">
            <v>47</v>
          </cell>
          <cell r="T588" t="str">
            <v>GSM+UMTS</v>
          </cell>
          <cell r="W588" t="str">
            <v>Ph2-Priority</v>
          </cell>
          <cell r="X588" t="str">
            <v>45</v>
          </cell>
          <cell r="Y588" t="str">
            <v>47</v>
          </cell>
          <cell r="Z588" t="str">
            <v>GBT</v>
          </cell>
          <cell r="AA588" t="str">
            <v>500</v>
          </cell>
          <cell r="AB588" t="str">
            <v>Access</v>
          </cell>
          <cell r="AC588" t="str">
            <v>Class C</v>
          </cell>
          <cell r="BH588" t="str">
            <v>Camusat</v>
          </cell>
          <cell r="BJ588">
            <v>42155</v>
          </cell>
          <cell r="BK588">
            <v>42149</v>
          </cell>
          <cell r="BL588">
            <v>42160</v>
          </cell>
          <cell r="BM588">
            <v>42156</v>
          </cell>
          <cell r="BT588">
            <v>32</v>
          </cell>
          <cell r="BU588">
            <v>42211</v>
          </cell>
          <cell r="BV588">
            <v>42181</v>
          </cell>
          <cell r="BW588" t="str">
            <v>95.70737</v>
          </cell>
          <cell r="BX588" t="str">
            <v>22.30088</v>
          </cell>
          <cell r="BY588" t="str">
            <v>C1</v>
          </cell>
          <cell r="BZ588" t="str">
            <v>Ywa Thar Gyi Village, WetLet Township.</v>
          </cell>
          <cell r="CA588" t="str">
            <v>U Htay Win;Ywa Thar Gyi Village, WetLet Township;09-976049344</v>
          </cell>
          <cell r="CB588" t="str">
            <v>26 June 15 :C1-SAR_REV sub (coordinates Revision only);12 June 15 : C1 SAR app;11Jun15: C1 SAR Sub</v>
          </cell>
          <cell r="CC588" t="str">
            <v>Residential</v>
          </cell>
          <cell r="CE588">
            <v>3</v>
          </cell>
          <cell r="CF588">
            <v>42212</v>
          </cell>
          <cell r="CG588">
            <v>42184</v>
          </cell>
          <cell r="CH588">
            <v>42214</v>
          </cell>
          <cell r="CJ588">
            <v>42186</v>
          </cell>
          <cell r="CK588" t="str">
            <v>45</v>
          </cell>
          <cell r="CL588" t="str">
            <v>47</v>
          </cell>
          <cell r="CM588" t="str">
            <v>50</v>
          </cell>
          <cell r="CN588">
            <v>4</v>
          </cell>
          <cell r="CO588">
            <v>42217</v>
          </cell>
          <cell r="CP588">
            <v>42188</v>
          </cell>
          <cell r="CQ588" t="str">
            <v>M1: grid power + battery</v>
          </cell>
          <cell r="CR588">
            <v>3</v>
          </cell>
          <cell r="CS588">
            <v>42218</v>
          </cell>
          <cell r="CT588">
            <v>42191</v>
          </cell>
          <cell r="CU588" t="str">
            <v>SG0549</v>
          </cell>
          <cell r="DH588">
            <v>26</v>
          </cell>
          <cell r="DI588">
            <v>42228</v>
          </cell>
          <cell r="DJ588">
            <v>42217</v>
          </cell>
          <cell r="DK588">
            <v>42225</v>
          </cell>
          <cell r="DL588">
            <v>42188</v>
          </cell>
          <cell r="DM588">
            <v>42229</v>
          </cell>
          <cell r="DN588">
            <v>42208</v>
          </cell>
          <cell r="DO588">
            <v>0</v>
          </cell>
          <cell r="DP588">
            <v>42228</v>
          </cell>
          <cell r="DQ588">
            <v>42217</v>
          </cell>
          <cell r="DT588">
            <v>16</v>
          </cell>
          <cell r="DU588">
            <v>42243</v>
          </cell>
          <cell r="DW588">
            <v>0</v>
          </cell>
          <cell r="DY588">
            <v>42229</v>
          </cell>
          <cell r="DZ588">
            <v>42208</v>
          </cell>
          <cell r="EA588" t="str">
            <v>Camusat</v>
          </cell>
          <cell r="ED588" t="str">
            <v>13Aug15 :KyawZay.Yar: Pouring lean concrete ongoing.Rebars on site.
02Aug15 :KyawZay.Yar: Excavation done.Pouring lean concrete not started yet.Rebars on site.</v>
          </cell>
          <cell r="EJ588">
            <v>25</v>
          </cell>
          <cell r="EK588">
            <v>42246</v>
          </cell>
          <cell r="EL588">
            <v>42238</v>
          </cell>
          <cell r="EM588">
            <v>42247</v>
          </cell>
          <cell r="EN588">
            <v>42241</v>
          </cell>
          <cell r="EQ588">
            <v>42256</v>
          </cell>
          <cell r="ER588">
            <v>42247</v>
          </cell>
          <cell r="ES588">
            <v>42244</v>
          </cell>
          <cell r="ET588">
            <v>42247</v>
          </cell>
          <cell r="EU588">
            <v>42247</v>
          </cell>
          <cell r="EW588">
            <v>25</v>
          </cell>
          <cell r="EX588">
            <v>42282</v>
          </cell>
          <cell r="EZ588">
            <v>42266</v>
          </cell>
          <cell r="FB588">
            <v>42268</v>
          </cell>
          <cell r="FU588">
            <v>42270</v>
          </cell>
          <cell r="FW588">
            <v>42270</v>
          </cell>
          <cell r="FY588" t="str">
            <v>AZM</v>
          </cell>
          <cell r="FZ588">
            <v>42249</v>
          </cell>
          <cell r="GI588">
            <v>42246</v>
          </cell>
          <cell r="GJ588" t="str">
            <v>44-2015</v>
          </cell>
          <cell r="GN588" t="str">
            <v>ERICSSON</v>
          </cell>
          <cell r="HD588">
            <v>1</v>
          </cell>
        </row>
        <row r="589">
          <cell r="A589" t="str">
            <v>SG0550</v>
          </cell>
          <cell r="B589" t="str">
            <v>ANSG_0485</v>
          </cell>
          <cell r="C589" t="str">
            <v>Apollo</v>
          </cell>
          <cell r="D589" t="str">
            <v>Adriaan Coetsee</v>
          </cell>
          <cell r="F589" t="str">
            <v>Aung Thu Win</v>
          </cell>
          <cell r="G589" t="str">
            <v>Kyaw Zay Yar</v>
          </cell>
          <cell r="H589" t="str">
            <v>AMBER</v>
          </cell>
          <cell r="I589" t="str">
            <v>North</v>
          </cell>
          <cell r="J589" t="str">
            <v>95.3953</v>
          </cell>
          <cell r="K589" t="str">
            <v>22.9463</v>
          </cell>
          <cell r="L589" t="str">
            <v>Rural</v>
          </cell>
          <cell r="M589" t="str">
            <v>Sagaing</v>
          </cell>
          <cell r="N589" t="str">
            <v>Taze</v>
          </cell>
          <cell r="O589" t="str">
            <v>Taze</v>
          </cell>
          <cell r="P589" t="str">
            <v>Sagaing</v>
          </cell>
          <cell r="Q589" t="str">
            <v>11</v>
          </cell>
          <cell r="R589" t="str">
            <v>Taze</v>
          </cell>
          <cell r="S589" t="str">
            <v>52</v>
          </cell>
          <cell r="T589" t="str">
            <v>GSM+UMTS</v>
          </cell>
          <cell r="W589" t="str">
            <v>Ph2-Priority</v>
          </cell>
          <cell r="X589" t="str">
            <v>45</v>
          </cell>
          <cell r="Y589" t="str">
            <v>47</v>
          </cell>
          <cell r="Z589" t="str">
            <v>GBT</v>
          </cell>
          <cell r="AA589" t="str">
            <v>500</v>
          </cell>
          <cell r="AB589" t="str">
            <v>Access</v>
          </cell>
          <cell r="AC589" t="str">
            <v>Class C</v>
          </cell>
          <cell r="BE589" t="str">
            <v>Route 2 Yangon -Mawlamyine</v>
          </cell>
          <cell r="BH589" t="str">
            <v>Camusat</v>
          </cell>
          <cell r="BJ589">
            <v>42167</v>
          </cell>
          <cell r="BK589">
            <v>42141</v>
          </cell>
          <cell r="BL589">
            <v>42172</v>
          </cell>
          <cell r="BM589">
            <v>42148</v>
          </cell>
          <cell r="BT589">
            <v>17</v>
          </cell>
          <cell r="BU589">
            <v>42218</v>
          </cell>
          <cell r="BV589">
            <v>42158</v>
          </cell>
          <cell r="BW589" t="str">
            <v>95.39626</v>
          </cell>
          <cell r="BX589" t="str">
            <v>22.94424</v>
          </cell>
          <cell r="BY589" t="str">
            <v>C1</v>
          </cell>
          <cell r="BZ589" t="str">
            <v>Paw Oo Quarter, TaZe Township, Sagaing Davision.</v>
          </cell>
          <cell r="CA589" t="str">
            <v>U Pyay Aye;Paw_U Quarter, Tant Sal Township, Sagaing Davision;09-400538414</v>
          </cell>
          <cell r="CB589" t="str">
            <v>3Jun15: C1 SAR Sub</v>
          </cell>
          <cell r="CC589" t="str">
            <v>GARDEN LAND</v>
          </cell>
          <cell r="CE589">
            <v>1</v>
          </cell>
          <cell r="CF589">
            <v>42219</v>
          </cell>
          <cell r="CG589">
            <v>42159</v>
          </cell>
          <cell r="CH589">
            <v>42221</v>
          </cell>
          <cell r="CJ589">
            <v>42168</v>
          </cell>
          <cell r="CK589" t="str">
            <v>45</v>
          </cell>
          <cell r="CL589" t="str">
            <v>47</v>
          </cell>
          <cell r="CM589" t="str">
            <v>50</v>
          </cell>
          <cell r="CN589">
            <v>11</v>
          </cell>
          <cell r="CO589">
            <v>42224</v>
          </cell>
          <cell r="CP589">
            <v>42170</v>
          </cell>
          <cell r="CQ589" t="str">
            <v>M1: grid power + battery</v>
          </cell>
          <cell r="CR589">
            <v>0</v>
          </cell>
          <cell r="CS589">
            <v>42225</v>
          </cell>
          <cell r="CT589">
            <v>42170</v>
          </cell>
          <cell r="CU589" t="str">
            <v>SG0550</v>
          </cell>
          <cell r="DH589">
            <v>16</v>
          </cell>
          <cell r="DI589">
            <v>42235</v>
          </cell>
          <cell r="DJ589">
            <v>42186</v>
          </cell>
          <cell r="DK589">
            <v>42232</v>
          </cell>
          <cell r="DL589">
            <v>42168</v>
          </cell>
          <cell r="DM589">
            <v>42236</v>
          </cell>
          <cell r="DN589">
            <v>42187</v>
          </cell>
          <cell r="DO589">
            <v>1</v>
          </cell>
          <cell r="DP589">
            <v>42235</v>
          </cell>
          <cell r="DQ589">
            <v>42187</v>
          </cell>
          <cell r="DT589">
            <v>46</v>
          </cell>
          <cell r="DU589">
            <v>42250</v>
          </cell>
          <cell r="DW589">
            <v>0</v>
          </cell>
          <cell r="DY589">
            <v>42236</v>
          </cell>
          <cell r="DZ589">
            <v>42187</v>
          </cell>
          <cell r="EA589" t="str">
            <v>Camusat</v>
          </cell>
          <cell r="EB589">
            <v>42206</v>
          </cell>
          <cell r="EE589" t="str">
            <v xml:space="preserve">10 Aug 15:Flood affected_Hold-No access; 21-Jul-15:Flooded access or site is flooded_ we canÆt proceed to this site. For now								</v>
          </cell>
          <cell r="EJ589">
            <v>46</v>
          </cell>
          <cell r="EK589">
            <v>42253</v>
          </cell>
          <cell r="EM589">
            <v>42254</v>
          </cell>
          <cell r="EQ589">
            <v>42263</v>
          </cell>
          <cell r="EW589">
            <v>46</v>
          </cell>
          <cell r="EX589">
            <v>42285</v>
          </cell>
          <cell r="EZ589">
            <v>42273</v>
          </cell>
          <cell r="FB589">
            <v>42275</v>
          </cell>
          <cell r="FU589">
            <v>42277</v>
          </cell>
          <cell r="FW589">
            <v>42277</v>
          </cell>
          <cell r="GI589">
            <v>42189</v>
          </cell>
          <cell r="GJ589" t="str">
            <v>40-2015</v>
          </cell>
          <cell r="GN589" t="str">
            <v>ERICSSON</v>
          </cell>
          <cell r="GS589" t="str">
            <v>4/4/4</v>
          </cell>
          <cell r="GU589" t="str">
            <v xml:space="preserve">		</v>
          </cell>
          <cell r="HD589">
            <v>1</v>
          </cell>
        </row>
        <row r="590">
          <cell r="A590" t="str">
            <v>SG0551</v>
          </cell>
          <cell r="B590" t="str">
            <v>ANSG_0486</v>
          </cell>
          <cell r="C590" t="str">
            <v>Apollo</v>
          </cell>
          <cell r="D590" t="str">
            <v>Adriaan Coetsee</v>
          </cell>
          <cell r="F590" t="str">
            <v>Aung Thu Win</v>
          </cell>
          <cell r="G590" t="str">
            <v>Kyaw Zay Yar</v>
          </cell>
          <cell r="H590" t="str">
            <v>RED</v>
          </cell>
          <cell r="I590" t="str">
            <v>North</v>
          </cell>
          <cell r="J590" t="str">
            <v>95.4513</v>
          </cell>
          <cell r="K590" t="str">
            <v>22.9353</v>
          </cell>
          <cell r="L590" t="str">
            <v>Rural</v>
          </cell>
          <cell r="M590" t="str">
            <v>Sagaing</v>
          </cell>
          <cell r="N590" t="str">
            <v>Taze</v>
          </cell>
          <cell r="O590" t="str">
            <v>Taze</v>
          </cell>
          <cell r="P590" t="str">
            <v>Sagaing</v>
          </cell>
          <cell r="Q590" t="str">
            <v>11</v>
          </cell>
          <cell r="R590" t="str">
            <v>Taze</v>
          </cell>
          <cell r="S590" t="str">
            <v>52</v>
          </cell>
          <cell r="T590" t="str">
            <v>GSM+UMTS</v>
          </cell>
          <cell r="W590" t="str">
            <v>Ph2-Priority</v>
          </cell>
          <cell r="X590" t="str">
            <v>45</v>
          </cell>
          <cell r="Y590" t="str">
            <v>47</v>
          </cell>
          <cell r="Z590" t="str">
            <v>GBT</v>
          </cell>
          <cell r="AA590" t="str">
            <v>500</v>
          </cell>
          <cell r="AB590" t="str">
            <v>Access</v>
          </cell>
          <cell r="AC590" t="str">
            <v>Class C</v>
          </cell>
          <cell r="BH590" t="str">
            <v>Camusat</v>
          </cell>
          <cell r="BJ590">
            <v>42167</v>
          </cell>
          <cell r="BK590">
            <v>42158</v>
          </cell>
          <cell r="BL590">
            <v>42172</v>
          </cell>
          <cell r="BM590">
            <v>42166</v>
          </cell>
          <cell r="BT590">
            <v>18</v>
          </cell>
          <cell r="BU590">
            <v>42224</v>
          </cell>
          <cell r="BV590">
            <v>42176</v>
          </cell>
          <cell r="BW590" t="str">
            <v>95.45069</v>
          </cell>
          <cell r="BX590" t="str">
            <v>22.937</v>
          </cell>
          <cell r="BY590" t="str">
            <v>C1</v>
          </cell>
          <cell r="BZ590" t="str">
            <v>Nga Tan Village, Tase Township, Sagaing Region</v>
          </cell>
          <cell r="CA590" t="str">
            <v>U Peter Bran</v>
          </cell>
          <cell r="CB590" t="str">
            <v>21Jun15: C1 SAR Sub</v>
          </cell>
          <cell r="CC590" t="str">
            <v>village</v>
          </cell>
          <cell r="CE590">
            <v>1</v>
          </cell>
          <cell r="CF590">
            <v>42225</v>
          </cell>
          <cell r="CG590">
            <v>42177</v>
          </cell>
          <cell r="CH590">
            <v>42227</v>
          </cell>
          <cell r="CJ590">
            <v>42193</v>
          </cell>
          <cell r="CK590" t="str">
            <v>45</v>
          </cell>
          <cell r="CL590" t="str">
            <v>47</v>
          </cell>
          <cell r="CM590" t="str">
            <v>50</v>
          </cell>
          <cell r="CN590">
            <v>18</v>
          </cell>
          <cell r="CO590">
            <v>42230</v>
          </cell>
          <cell r="CP590">
            <v>42195</v>
          </cell>
          <cell r="CQ590" t="str">
            <v>M1: grid power + battery</v>
          </cell>
          <cell r="CR590">
            <v>3</v>
          </cell>
          <cell r="CS590">
            <v>42231</v>
          </cell>
          <cell r="CT590">
            <v>42198</v>
          </cell>
          <cell r="CU590" t="str">
            <v>SG0551</v>
          </cell>
          <cell r="DH590">
            <v>35</v>
          </cell>
          <cell r="DI590">
            <v>42241</v>
          </cell>
          <cell r="DK590">
            <v>42238</v>
          </cell>
          <cell r="DL590">
            <v>42198</v>
          </cell>
          <cell r="DM590">
            <v>42242</v>
          </cell>
          <cell r="DN590">
            <v>42198</v>
          </cell>
          <cell r="DO590">
            <v>0</v>
          </cell>
          <cell r="DP590">
            <v>42241</v>
          </cell>
          <cell r="DT590">
            <v>0</v>
          </cell>
          <cell r="DU590">
            <v>42256</v>
          </cell>
          <cell r="DW590">
            <v>0</v>
          </cell>
          <cell r="DY590">
            <v>42242</v>
          </cell>
          <cell r="DZ590">
            <v>42250</v>
          </cell>
          <cell r="EA590" t="str">
            <v>Camusat</v>
          </cell>
          <cell r="EE590" t="str">
            <v xml:space="preserve">10 Aug 15:Rain affected_Progress affected; 4-Aug-15:site is flooded but we are trying to do some work / ACCESS PROBLEM IF CONTINUOUS RAIN (DIRT ROAD)								</v>
          </cell>
          <cell r="EJ590">
            <v>0</v>
          </cell>
          <cell r="EK590">
            <v>42259</v>
          </cell>
          <cell r="EM590">
            <v>42260</v>
          </cell>
          <cell r="EQ590">
            <v>42269</v>
          </cell>
          <cell r="EW590">
            <v>0</v>
          </cell>
          <cell r="EX590">
            <v>42283</v>
          </cell>
          <cell r="EZ590">
            <v>42279</v>
          </cell>
          <cell r="FB590">
            <v>42281</v>
          </cell>
          <cell r="FU590">
            <v>42283</v>
          </cell>
          <cell r="FW590">
            <v>42283</v>
          </cell>
          <cell r="GI590">
            <v>42277</v>
          </cell>
          <cell r="GJ590">
            <v>0</v>
          </cell>
          <cell r="GN590" t="str">
            <v>ERICSSON</v>
          </cell>
          <cell r="HD590">
            <v>1</v>
          </cell>
        </row>
        <row r="591">
          <cell r="A591" t="str">
            <v>SG0554</v>
          </cell>
          <cell r="B591" t="str">
            <v>ANSG_0487</v>
          </cell>
          <cell r="C591" t="str">
            <v>Apollo</v>
          </cell>
          <cell r="D591" t="str">
            <v>Adriaan Coetsee</v>
          </cell>
          <cell r="F591" t="str">
            <v>Aung Thu Win</v>
          </cell>
          <cell r="G591" t="str">
            <v>Kyaw Zay Yar</v>
          </cell>
          <cell r="H591" t="str">
            <v>AMBER</v>
          </cell>
          <cell r="I591" t="str">
            <v>North</v>
          </cell>
          <cell r="J591" t="str">
            <v>96.183</v>
          </cell>
          <cell r="K591" t="str">
            <v>24.471</v>
          </cell>
          <cell r="L591" t="str">
            <v>SubUrban</v>
          </cell>
          <cell r="M591" t="str">
            <v>Sagaing</v>
          </cell>
          <cell r="N591" t="str">
            <v>Indaw</v>
          </cell>
          <cell r="O591" t="str">
            <v>Indaw</v>
          </cell>
          <cell r="P591" t="str">
            <v>Sagaing</v>
          </cell>
          <cell r="Q591" t="str">
            <v>11</v>
          </cell>
          <cell r="R591" t="str">
            <v>Indaw</v>
          </cell>
          <cell r="S591" t="str">
            <v>62</v>
          </cell>
          <cell r="T591" t="str">
            <v>GSM+UMTS</v>
          </cell>
          <cell r="W591" t="str">
            <v>Ph2-Priority</v>
          </cell>
          <cell r="X591" t="str">
            <v>35</v>
          </cell>
          <cell r="Y591" t="str">
            <v>37</v>
          </cell>
          <cell r="Z591" t="str">
            <v>GBT</v>
          </cell>
          <cell r="AA591" t="str">
            <v>250</v>
          </cell>
          <cell r="AB591" t="str">
            <v>Access</v>
          </cell>
          <cell r="AC591" t="str">
            <v>Class B</v>
          </cell>
          <cell r="BH591" t="str">
            <v>Camusat</v>
          </cell>
          <cell r="BJ591">
            <v>42165</v>
          </cell>
          <cell r="BK591">
            <v>42157</v>
          </cell>
          <cell r="BL591">
            <v>42170</v>
          </cell>
          <cell r="BM591">
            <v>42164</v>
          </cell>
          <cell r="BT591">
            <v>17</v>
          </cell>
          <cell r="BU591">
            <v>42225</v>
          </cell>
          <cell r="BV591">
            <v>42174</v>
          </cell>
          <cell r="BW591" t="str">
            <v>96.18223</v>
          </cell>
          <cell r="BX591" t="str">
            <v>24.47176</v>
          </cell>
          <cell r="BY591" t="str">
            <v>C1</v>
          </cell>
          <cell r="BZ591" t="str">
            <v>Taw-win-hninsi quarter(7), Maw-luu Village group, Inn_daw township, Sagaing division</v>
          </cell>
          <cell r="CA591" t="str">
            <v>U Maung Kyu</v>
          </cell>
          <cell r="CB591" t="str">
            <v>19Jun15: C1 SAR Sub</v>
          </cell>
          <cell r="CC591" t="str">
            <v>Village</v>
          </cell>
          <cell r="CE591">
            <v>3</v>
          </cell>
          <cell r="CF591">
            <v>42226</v>
          </cell>
          <cell r="CG591">
            <v>42177</v>
          </cell>
          <cell r="CH591">
            <v>42228</v>
          </cell>
          <cell r="CJ591">
            <v>42193</v>
          </cell>
          <cell r="CK591" t="str">
            <v>35</v>
          </cell>
          <cell r="CL591" t="str">
            <v>37</v>
          </cell>
          <cell r="CM591" t="str">
            <v>40</v>
          </cell>
          <cell r="CN591">
            <v>18</v>
          </cell>
          <cell r="CO591">
            <v>42231</v>
          </cell>
          <cell r="CP591">
            <v>42195</v>
          </cell>
          <cell r="CQ591" t="str">
            <v>M1: grid power + battery</v>
          </cell>
          <cell r="CR591">
            <v>3</v>
          </cell>
          <cell r="CS591">
            <v>42232</v>
          </cell>
          <cell r="CT591">
            <v>42198</v>
          </cell>
          <cell r="CU591" t="str">
            <v>SG0554</v>
          </cell>
          <cell r="DH591">
            <v>35</v>
          </cell>
          <cell r="DI591">
            <v>42242</v>
          </cell>
          <cell r="DK591">
            <v>42239</v>
          </cell>
          <cell r="DL591">
            <v>42198</v>
          </cell>
          <cell r="DM591">
            <v>42243</v>
          </cell>
          <cell r="DN591">
            <v>42198</v>
          </cell>
          <cell r="DO591">
            <v>0</v>
          </cell>
          <cell r="DP591">
            <v>42242</v>
          </cell>
          <cell r="DT591">
            <v>0</v>
          </cell>
          <cell r="DU591">
            <v>42257</v>
          </cell>
          <cell r="DW591">
            <v>0</v>
          </cell>
          <cell r="DY591">
            <v>42243</v>
          </cell>
          <cell r="DZ591">
            <v>42231</v>
          </cell>
          <cell r="EA591" t="str">
            <v>Camusat</v>
          </cell>
          <cell r="EJ591">
            <v>2</v>
          </cell>
          <cell r="EK591">
            <v>42258</v>
          </cell>
          <cell r="EM591">
            <v>42259</v>
          </cell>
          <cell r="EQ591">
            <v>42266</v>
          </cell>
          <cell r="EW591">
            <v>2</v>
          </cell>
          <cell r="EX591">
            <v>42225</v>
          </cell>
          <cell r="EZ591">
            <v>42276</v>
          </cell>
          <cell r="FB591">
            <v>42278</v>
          </cell>
          <cell r="FU591">
            <v>42280</v>
          </cell>
          <cell r="FW591">
            <v>42280</v>
          </cell>
          <cell r="GI591">
            <v>42135</v>
          </cell>
          <cell r="GJ591">
            <v>0</v>
          </cell>
          <cell r="GN591" t="str">
            <v>ERICSSON</v>
          </cell>
          <cell r="HD591">
            <v>1</v>
          </cell>
        </row>
        <row r="592">
          <cell r="A592" t="str">
            <v>SG0555</v>
          </cell>
          <cell r="B592" t="str">
            <v>ANSG_0488</v>
          </cell>
          <cell r="C592" t="str">
            <v>Apollo</v>
          </cell>
          <cell r="D592" t="str">
            <v>Adriaan Coetsee</v>
          </cell>
          <cell r="F592" t="str">
            <v>Aung Thu Win</v>
          </cell>
          <cell r="G592" t="str">
            <v>Kyaw Zay Yar</v>
          </cell>
          <cell r="H592" t="str">
            <v>RED</v>
          </cell>
          <cell r="I592" t="str">
            <v>North</v>
          </cell>
          <cell r="J592" t="str">
            <v>95.2295</v>
          </cell>
          <cell r="K592" t="str">
            <v>23.4106</v>
          </cell>
          <cell r="L592" t="str">
            <v>Rural</v>
          </cell>
          <cell r="M592" t="str">
            <v>Sagaing</v>
          </cell>
          <cell r="N592" t="str">
            <v>Kyunhla</v>
          </cell>
          <cell r="O592" t="str">
            <v>Kyunhla</v>
          </cell>
          <cell r="P592" t="str">
            <v>Sagaing</v>
          </cell>
          <cell r="Q592" t="str">
            <v>11</v>
          </cell>
          <cell r="R592" t="str">
            <v>Kyunhla</v>
          </cell>
          <cell r="S592" t="str">
            <v>49</v>
          </cell>
          <cell r="T592" t="str">
            <v>GSM+UMTS</v>
          </cell>
          <cell r="W592" t="str">
            <v>Ph2-Priority</v>
          </cell>
          <cell r="X592" t="str">
            <v>45</v>
          </cell>
          <cell r="Y592" t="str">
            <v>47</v>
          </cell>
          <cell r="Z592" t="str">
            <v>GBT</v>
          </cell>
          <cell r="AA592" t="str">
            <v>500</v>
          </cell>
          <cell r="AB592" t="str">
            <v>Access</v>
          </cell>
          <cell r="AC592" t="str">
            <v>Class C</v>
          </cell>
          <cell r="BE592" t="str">
            <v>Route 14 Dawei - Myeik</v>
          </cell>
          <cell r="BH592" t="str">
            <v>Camusat</v>
          </cell>
          <cell r="BJ592">
            <v>42165</v>
          </cell>
          <cell r="BK592">
            <v>42153</v>
          </cell>
          <cell r="BL592">
            <v>42170</v>
          </cell>
          <cell r="BM592">
            <v>42160</v>
          </cell>
          <cell r="BT592">
            <v>17</v>
          </cell>
          <cell r="BU592">
            <v>42224</v>
          </cell>
          <cell r="BV592">
            <v>42170</v>
          </cell>
          <cell r="BW592" t="str">
            <v>95.2283</v>
          </cell>
          <cell r="BX592" t="str">
            <v>23.41206</v>
          </cell>
          <cell r="BY592" t="str">
            <v>C1</v>
          </cell>
          <cell r="BZ592" t="str">
            <v>Late Sing Taung Village, Kyun Hla Township, Sagaing Region</v>
          </cell>
          <cell r="CA592" t="str">
            <v>Daw Mya Tin;09-252334746</v>
          </cell>
          <cell r="CB592" t="str">
            <v>15Jun15: C1 SAR Sub</v>
          </cell>
          <cell r="CC592" t="str">
            <v>GARDEN LAND</v>
          </cell>
          <cell r="CE592">
            <v>1</v>
          </cell>
          <cell r="CF592">
            <v>42225</v>
          </cell>
          <cell r="CG592">
            <v>42171</v>
          </cell>
          <cell r="CH592">
            <v>42227</v>
          </cell>
          <cell r="CJ592">
            <v>42179</v>
          </cell>
          <cell r="CK592" t="str">
            <v>47</v>
          </cell>
          <cell r="CL592" t="str">
            <v>50</v>
          </cell>
          <cell r="CM592" t="str">
            <v>50</v>
          </cell>
          <cell r="CN592">
            <v>10</v>
          </cell>
          <cell r="CO592">
            <v>42230</v>
          </cell>
          <cell r="CP592">
            <v>42181</v>
          </cell>
          <cell r="CQ592" t="str">
            <v>M1: grid power + battery</v>
          </cell>
          <cell r="CR592">
            <v>4</v>
          </cell>
          <cell r="CS592">
            <v>42231</v>
          </cell>
          <cell r="CT592">
            <v>42185</v>
          </cell>
          <cell r="CU592" t="str">
            <v>SG0555</v>
          </cell>
          <cell r="DH592">
            <v>48</v>
          </cell>
          <cell r="DI592">
            <v>42241</v>
          </cell>
          <cell r="DK592">
            <v>42238</v>
          </cell>
          <cell r="DL592">
            <v>42179</v>
          </cell>
          <cell r="DM592">
            <v>42242</v>
          </cell>
          <cell r="DO592">
            <v>0</v>
          </cell>
          <cell r="DP592">
            <v>42241</v>
          </cell>
          <cell r="DT592">
            <v>0</v>
          </cell>
          <cell r="DU592">
            <v>42256</v>
          </cell>
          <cell r="DW592">
            <v>0</v>
          </cell>
          <cell r="DY592">
            <v>42242</v>
          </cell>
          <cell r="EA592" t="str">
            <v>Camusat</v>
          </cell>
          <cell r="EJ592">
            <v>0</v>
          </cell>
          <cell r="EK592">
            <v>42259</v>
          </cell>
          <cell r="EM592">
            <v>42260</v>
          </cell>
          <cell r="EQ592">
            <v>42269</v>
          </cell>
          <cell r="EW592">
            <v>0</v>
          </cell>
          <cell r="EX592">
            <v>42283</v>
          </cell>
          <cell r="EZ592">
            <v>42279</v>
          </cell>
          <cell r="FB592">
            <v>42281</v>
          </cell>
          <cell r="FU592">
            <v>42283</v>
          </cell>
          <cell r="FW592">
            <v>42283</v>
          </cell>
          <cell r="GI592">
            <v>42215</v>
          </cell>
          <cell r="GJ592">
            <v>0</v>
          </cell>
          <cell r="GN592" t="str">
            <v>ERICSSON</v>
          </cell>
          <cell r="GS592" t="str">
            <v>4/4/4</v>
          </cell>
          <cell r="GU592" t="str">
            <v xml:space="preserve">		</v>
          </cell>
          <cell r="HD592">
            <v>1</v>
          </cell>
        </row>
        <row r="593">
          <cell r="A593" t="str">
            <v>SG0556</v>
          </cell>
          <cell r="B593" t="str">
            <v>ANSG_0489</v>
          </cell>
          <cell r="C593" t="str">
            <v>Apollo</v>
          </cell>
          <cell r="D593" t="str">
            <v>Adriaan Coetsee</v>
          </cell>
          <cell r="F593" t="str">
            <v>Aung Thu Win</v>
          </cell>
          <cell r="G593" t="str">
            <v>Kyaw Zay Yar</v>
          </cell>
          <cell r="H593" t="str">
            <v>RED</v>
          </cell>
          <cell r="I593" t="str">
            <v>North</v>
          </cell>
          <cell r="J593" t="str">
            <v>95.3595</v>
          </cell>
          <cell r="K593" t="str">
            <v>24.1015</v>
          </cell>
          <cell r="L593" t="str">
            <v>Rural</v>
          </cell>
          <cell r="M593" t="str">
            <v>Sagaing</v>
          </cell>
          <cell r="N593" t="str">
            <v>Pinlebu</v>
          </cell>
          <cell r="O593" t="str">
            <v>Pinlebu</v>
          </cell>
          <cell r="P593" t="str">
            <v>Sagaing</v>
          </cell>
          <cell r="Q593" t="str">
            <v>11</v>
          </cell>
          <cell r="R593" t="str">
            <v>Pinlebu</v>
          </cell>
          <cell r="S593" t="str">
            <v>67</v>
          </cell>
          <cell r="T593" t="str">
            <v>GSM+UMTS</v>
          </cell>
          <cell r="W593" t="str">
            <v>Ph2-Priority</v>
          </cell>
          <cell r="X593" t="str">
            <v>45</v>
          </cell>
          <cell r="Y593" t="str">
            <v>47</v>
          </cell>
          <cell r="Z593" t="str">
            <v>GBT</v>
          </cell>
          <cell r="AA593" t="str">
            <v>500</v>
          </cell>
          <cell r="AB593" t="str">
            <v>Access</v>
          </cell>
          <cell r="AC593" t="str">
            <v>Class C</v>
          </cell>
          <cell r="BE593" t="str">
            <v>Route 14 Dawei - Myeik</v>
          </cell>
          <cell r="BH593" t="str">
            <v>Camusat</v>
          </cell>
          <cell r="BJ593">
            <v>42165</v>
          </cell>
          <cell r="BK593">
            <v>42158</v>
          </cell>
          <cell r="BL593">
            <v>42170</v>
          </cell>
          <cell r="BM593">
            <v>42165</v>
          </cell>
          <cell r="BT593">
            <v>17</v>
          </cell>
          <cell r="BU593">
            <v>42224</v>
          </cell>
          <cell r="BV593">
            <v>42175</v>
          </cell>
          <cell r="BW593" t="str">
            <v>95.35953</v>
          </cell>
          <cell r="BX593" t="str">
            <v>24.10163</v>
          </cell>
          <cell r="BY593" t="str">
            <v>C1</v>
          </cell>
          <cell r="BZ593" t="str">
            <v>Pim-Kyine village, Pinlaebuu Township, Sagaing Division</v>
          </cell>
          <cell r="CA593" t="str">
            <v>U Myo Htun</v>
          </cell>
          <cell r="CB593" t="str">
            <v>20Jun15: C1 SAR Sub</v>
          </cell>
          <cell r="CC593" t="str">
            <v>Village</v>
          </cell>
          <cell r="CE593">
            <v>6</v>
          </cell>
          <cell r="CF593">
            <v>42225</v>
          </cell>
          <cell r="CG593">
            <v>42181</v>
          </cell>
          <cell r="CH593">
            <v>42227</v>
          </cell>
          <cell r="CJ593">
            <v>42196</v>
          </cell>
          <cell r="CK593" t="str">
            <v>45</v>
          </cell>
          <cell r="CL593" t="str">
            <v>47</v>
          </cell>
          <cell r="CM593" t="str">
            <v>50</v>
          </cell>
          <cell r="CN593">
            <v>17</v>
          </cell>
          <cell r="CO593">
            <v>42230</v>
          </cell>
          <cell r="CP593">
            <v>42198</v>
          </cell>
          <cell r="CQ593" t="str">
            <v>M1: grid power + battery</v>
          </cell>
          <cell r="CR593">
            <v>1</v>
          </cell>
          <cell r="CS593">
            <v>42231</v>
          </cell>
          <cell r="CT593">
            <v>42199</v>
          </cell>
          <cell r="CU593" t="str">
            <v>SG0556</v>
          </cell>
          <cell r="DH593">
            <v>34</v>
          </cell>
          <cell r="DI593">
            <v>42241</v>
          </cell>
          <cell r="DK593">
            <v>42238</v>
          </cell>
          <cell r="DL593">
            <v>42242</v>
          </cell>
          <cell r="DM593">
            <v>42242</v>
          </cell>
          <cell r="DO593">
            <v>0</v>
          </cell>
          <cell r="DP593">
            <v>42241</v>
          </cell>
          <cell r="DT593">
            <v>0</v>
          </cell>
          <cell r="DU593">
            <v>42256</v>
          </cell>
          <cell r="DW593">
            <v>0</v>
          </cell>
          <cell r="DY593">
            <v>42242</v>
          </cell>
          <cell r="EA593" t="str">
            <v>Camusat</v>
          </cell>
          <cell r="EJ593">
            <v>0</v>
          </cell>
          <cell r="EK593">
            <v>42259</v>
          </cell>
          <cell r="EM593">
            <v>42260</v>
          </cell>
          <cell r="EQ593">
            <v>42269</v>
          </cell>
          <cell r="EW593">
            <v>0</v>
          </cell>
          <cell r="EX593">
            <v>42283</v>
          </cell>
          <cell r="EZ593">
            <v>42279</v>
          </cell>
          <cell r="FB593">
            <v>42281</v>
          </cell>
          <cell r="FU593">
            <v>42283</v>
          </cell>
          <cell r="FW593">
            <v>42283</v>
          </cell>
          <cell r="GI593">
            <v>42100</v>
          </cell>
          <cell r="GJ593">
            <v>0</v>
          </cell>
          <cell r="GN593" t="str">
            <v>ERICSSON</v>
          </cell>
          <cell r="GS593" t="str">
            <v>4/4/4</v>
          </cell>
          <cell r="GU593" t="str">
            <v xml:space="preserve">		</v>
          </cell>
          <cell r="HD593">
            <v>1</v>
          </cell>
        </row>
        <row r="594">
          <cell r="A594" t="str">
            <v>SG0557</v>
          </cell>
          <cell r="B594" t="str">
            <v>ANSG_0490</v>
          </cell>
          <cell r="C594" t="str">
            <v>Apollo</v>
          </cell>
          <cell r="D594" t="str">
            <v>Adriaan Coetsee</v>
          </cell>
          <cell r="F594" t="str">
            <v>Aung Thu Win</v>
          </cell>
          <cell r="G594" t="str">
            <v>Kyaw Zay Yar</v>
          </cell>
          <cell r="H594" t="str">
            <v>RED</v>
          </cell>
          <cell r="I594" t="str">
            <v>North</v>
          </cell>
          <cell r="J594" t="str">
            <v>95.6828</v>
          </cell>
          <cell r="K594" t="str">
            <v>21.9942</v>
          </cell>
          <cell r="L594" t="str">
            <v>Rural</v>
          </cell>
          <cell r="M594" t="str">
            <v>Sagaing</v>
          </cell>
          <cell r="N594" t="str">
            <v>Myinmu</v>
          </cell>
          <cell r="O594" t="str">
            <v>Myinmu</v>
          </cell>
          <cell r="P594" t="str">
            <v>Sagaing</v>
          </cell>
          <cell r="Q594" t="str">
            <v>11</v>
          </cell>
          <cell r="R594" t="str">
            <v>Myinmu</v>
          </cell>
          <cell r="S594" t="str">
            <v>43</v>
          </cell>
          <cell r="T594" t="str">
            <v>GSM+UMTS</v>
          </cell>
          <cell r="W594" t="str">
            <v>Ph2-Priority</v>
          </cell>
          <cell r="X594" t="str">
            <v>45</v>
          </cell>
          <cell r="Y594" t="str">
            <v>47</v>
          </cell>
          <cell r="Z594" t="str">
            <v>GBT</v>
          </cell>
          <cell r="AA594" t="str">
            <v>500</v>
          </cell>
          <cell r="AB594" t="str">
            <v>Access</v>
          </cell>
          <cell r="AC594" t="str">
            <v>Class C</v>
          </cell>
          <cell r="BH594" t="str">
            <v>Camusat</v>
          </cell>
          <cell r="BJ594">
            <v>42162</v>
          </cell>
          <cell r="BK594">
            <v>42136</v>
          </cell>
          <cell r="BL594">
            <v>42167</v>
          </cell>
          <cell r="BM594">
            <v>42148</v>
          </cell>
          <cell r="BT594">
            <v>62</v>
          </cell>
          <cell r="BU594">
            <v>42195</v>
          </cell>
          <cell r="BV594">
            <v>42198</v>
          </cell>
          <cell r="BW594" t="str">
            <v>95.68202</v>
          </cell>
          <cell r="BX594" t="str">
            <v>21.99433</v>
          </cell>
          <cell r="BY594" t="str">
            <v>C2</v>
          </cell>
          <cell r="BZ594" t="str">
            <v>Tha Pyay Thar Village, Myin Mu Township, Sagaing Division.</v>
          </cell>
          <cell r="CA594" t="str">
            <v>U Win Tin</v>
          </cell>
          <cell r="CB594" t="str">
            <v>13 July 15 :C2-SAR submission  (NOC within village area) ;29 May 15 : C1 SAR Rev1 rejected(RND rejected this candidate because it is 1.36km far from the nominal outside the search ring across the river.); 29May15: C1 SAR Sub</v>
          </cell>
          <cell r="CC594" t="str">
            <v>Farmland</v>
          </cell>
          <cell r="CE594">
            <v>1</v>
          </cell>
          <cell r="CF594">
            <v>42196</v>
          </cell>
          <cell r="CG594">
            <v>42199</v>
          </cell>
          <cell r="CH594">
            <v>42198</v>
          </cell>
          <cell r="CJ594">
            <v>42212</v>
          </cell>
          <cell r="CK594" t="str">
            <v>45</v>
          </cell>
          <cell r="CL594" t="str">
            <v>47</v>
          </cell>
          <cell r="CM594" t="str">
            <v>50</v>
          </cell>
          <cell r="CN594">
            <v>15</v>
          </cell>
          <cell r="CO594">
            <v>42201</v>
          </cell>
          <cell r="CP594">
            <v>42214</v>
          </cell>
          <cell r="CQ594" t="str">
            <v>M4: solar + DG + battery</v>
          </cell>
          <cell r="CR594">
            <v>1</v>
          </cell>
          <cell r="CS594">
            <v>42202</v>
          </cell>
          <cell r="CT594">
            <v>42215</v>
          </cell>
          <cell r="CU594" t="str">
            <v>SG0557</v>
          </cell>
          <cell r="DH594">
            <v>18</v>
          </cell>
          <cell r="DI594">
            <v>42212</v>
          </cell>
          <cell r="DK594">
            <v>42209</v>
          </cell>
          <cell r="DL594">
            <v>42213</v>
          </cell>
          <cell r="DM594">
            <v>42213</v>
          </cell>
          <cell r="DO594">
            <v>0</v>
          </cell>
          <cell r="DP594">
            <v>42212</v>
          </cell>
          <cell r="DT594">
            <v>0</v>
          </cell>
          <cell r="DU594">
            <v>42227</v>
          </cell>
          <cell r="DW594">
            <v>0</v>
          </cell>
          <cell r="DY594">
            <v>42213</v>
          </cell>
          <cell r="EA594" t="str">
            <v>Camusat</v>
          </cell>
          <cell r="EJ594">
            <v>0</v>
          </cell>
          <cell r="EK594">
            <v>42230</v>
          </cell>
          <cell r="EM594">
            <v>42231</v>
          </cell>
          <cell r="EQ594">
            <v>42240</v>
          </cell>
          <cell r="EW594">
            <v>0</v>
          </cell>
          <cell r="EX594">
            <v>42254</v>
          </cell>
          <cell r="EZ594">
            <v>42250</v>
          </cell>
          <cell r="FB594">
            <v>42252</v>
          </cell>
          <cell r="FU594">
            <v>42254</v>
          </cell>
          <cell r="FW594">
            <v>42254</v>
          </cell>
          <cell r="GI594">
            <v>42277</v>
          </cell>
          <cell r="GJ594">
            <v>0</v>
          </cell>
          <cell r="GN594" t="str">
            <v>ERICSSON</v>
          </cell>
          <cell r="HD594">
            <v>1</v>
          </cell>
        </row>
        <row r="595">
          <cell r="A595" t="str">
            <v>SG0558</v>
          </cell>
          <cell r="B595" t="str">
            <v>ANSG_0491</v>
          </cell>
          <cell r="C595" t="str">
            <v>Apollo</v>
          </cell>
          <cell r="D595" t="str">
            <v>Adriaan Coetsee</v>
          </cell>
          <cell r="F595" t="str">
            <v>Aung Thu Win</v>
          </cell>
          <cell r="G595" t="str">
            <v>Kyaw Zay Yar</v>
          </cell>
          <cell r="H595" t="str">
            <v>YELLOW</v>
          </cell>
          <cell r="I595" t="str">
            <v>North</v>
          </cell>
          <cell r="J595" t="str">
            <v>95.2638</v>
          </cell>
          <cell r="K595" t="str">
            <v>21.7236</v>
          </cell>
          <cell r="L595" t="str">
            <v>Rural</v>
          </cell>
          <cell r="M595" t="str">
            <v>Sagaing</v>
          </cell>
          <cell r="N595" t="str">
            <v>Myaung</v>
          </cell>
          <cell r="O595" t="str">
            <v>Myaung</v>
          </cell>
          <cell r="P595" t="str">
            <v>Sagaing</v>
          </cell>
          <cell r="Q595" t="str">
            <v>11</v>
          </cell>
          <cell r="R595" t="str">
            <v>Myaung</v>
          </cell>
          <cell r="S595" t="str">
            <v>44</v>
          </cell>
          <cell r="T595" t="str">
            <v>GSM+UMTS</v>
          </cell>
          <cell r="W595" t="str">
            <v>Ph2-Priority</v>
          </cell>
          <cell r="X595" t="str">
            <v>45</v>
          </cell>
          <cell r="Y595" t="str">
            <v>47</v>
          </cell>
          <cell r="Z595" t="str">
            <v>GBT</v>
          </cell>
          <cell r="AA595" t="str">
            <v>500</v>
          </cell>
          <cell r="AB595" t="str">
            <v>Access</v>
          </cell>
          <cell r="AC595" t="str">
            <v>Class C</v>
          </cell>
          <cell r="BH595" t="str">
            <v>Camusat</v>
          </cell>
          <cell r="BJ595">
            <v>42165</v>
          </cell>
          <cell r="BK595">
            <v>42136</v>
          </cell>
          <cell r="BL595">
            <v>42170</v>
          </cell>
          <cell r="BM595">
            <v>42143</v>
          </cell>
          <cell r="BT595">
            <v>17</v>
          </cell>
          <cell r="BU595">
            <v>42218</v>
          </cell>
          <cell r="BV595">
            <v>42153</v>
          </cell>
          <cell r="BW595" t="str">
            <v>95.26496</v>
          </cell>
          <cell r="BX595" t="str">
            <v>21.722404</v>
          </cell>
          <cell r="BY595" t="str">
            <v>C1</v>
          </cell>
          <cell r="BZ595" t="str">
            <v>Owak Nae Boat Village ,Myaung Township,Sagaing Division.</v>
          </cell>
          <cell r="CA595" t="str">
            <v>Daw Oo;Sagaing Division,Myaung Township,Oate Hnae Pote Village;09 792396803,09 977346242</v>
          </cell>
          <cell r="CB595" t="str">
            <v>11 Aug 15 : C1 TSSR Rev 1 approved with 45 M Tower;6 Aug 15 : C1 TSSR Rev 1 sub with 45 M Tower as per Apollo 's request( Fast Track);15 Jun 15 : C1 TSSR sub ;15 Jun 15 : C1 TSSR app;1 Jun 15 : C1 SAR app;29May15: C1 SAR Sub</v>
          </cell>
          <cell r="CC595" t="str">
            <v>Village</v>
          </cell>
          <cell r="CE595">
            <v>3</v>
          </cell>
          <cell r="CF595">
            <v>42219</v>
          </cell>
          <cell r="CG595">
            <v>42156</v>
          </cell>
          <cell r="CH595">
            <v>42221</v>
          </cell>
          <cell r="CJ595">
            <v>42220</v>
          </cell>
          <cell r="CK595" t="str">
            <v>45</v>
          </cell>
          <cell r="CL595" t="str">
            <v>47</v>
          </cell>
          <cell r="CM595" t="str">
            <v>45</v>
          </cell>
          <cell r="CN595">
            <v>66</v>
          </cell>
          <cell r="CO595">
            <v>42224</v>
          </cell>
          <cell r="CP595">
            <v>42222</v>
          </cell>
          <cell r="CQ595" t="str">
            <v>M4: solar + DG + battery</v>
          </cell>
          <cell r="CR595">
            <v>5</v>
          </cell>
          <cell r="CS595">
            <v>42225</v>
          </cell>
          <cell r="CT595">
            <v>42227</v>
          </cell>
          <cell r="CU595" t="str">
            <v>SG0558</v>
          </cell>
          <cell r="DH595">
            <v>-46</v>
          </cell>
          <cell r="DI595">
            <v>42235</v>
          </cell>
          <cell r="DJ595">
            <v>42181</v>
          </cell>
          <cell r="DK595">
            <v>42232</v>
          </cell>
          <cell r="DL595">
            <v>42172</v>
          </cell>
          <cell r="DM595">
            <v>42236</v>
          </cell>
          <cell r="DN595">
            <v>42187</v>
          </cell>
          <cell r="DO595">
            <v>0</v>
          </cell>
          <cell r="DP595">
            <v>42235</v>
          </cell>
          <cell r="DQ595">
            <v>42181</v>
          </cell>
          <cell r="DT595">
            <v>52</v>
          </cell>
          <cell r="DU595">
            <v>42250</v>
          </cell>
          <cell r="DW595">
            <v>0</v>
          </cell>
          <cell r="DY595">
            <v>42236</v>
          </cell>
          <cell r="DZ595">
            <v>42186</v>
          </cell>
          <cell r="EA595" t="str">
            <v>Camusat</v>
          </cell>
          <cell r="ED595" t="str">
            <v>17Aug15 :KyawZay.Yar: Erection ongoing.Power equip; on site &amp; connectivity ready.
27Jul15 :KyawZay.Yar: Pedestal done together with back filling.Equip; PAD not started yet.No tower parts on site.</v>
          </cell>
          <cell r="EJ595">
            <v>19</v>
          </cell>
          <cell r="EK595">
            <v>42253</v>
          </cell>
          <cell r="EL595">
            <v>42205</v>
          </cell>
          <cell r="EM595">
            <v>42254</v>
          </cell>
          <cell r="EN595">
            <v>42226</v>
          </cell>
          <cell r="EQ595">
            <v>42263</v>
          </cell>
          <cell r="ER595">
            <v>42234</v>
          </cell>
          <cell r="ES595">
            <v>42220</v>
          </cell>
          <cell r="ET595">
            <v>42234</v>
          </cell>
          <cell r="EU595">
            <v>42234</v>
          </cell>
          <cell r="EW595">
            <v>47</v>
          </cell>
          <cell r="EX595">
            <v>42283</v>
          </cell>
          <cell r="EZ595">
            <v>42273</v>
          </cell>
          <cell r="FA595">
            <v>42226</v>
          </cell>
          <cell r="FB595">
            <v>42275</v>
          </cell>
          <cell r="FC595">
            <v>42227</v>
          </cell>
          <cell r="FU595">
            <v>42277</v>
          </cell>
          <cell r="FW595">
            <v>42277</v>
          </cell>
          <cell r="FX595">
            <v>42234</v>
          </cell>
          <cell r="FY595" t="str">
            <v>AZM</v>
          </cell>
          <cell r="FZ595">
            <v>42230</v>
          </cell>
          <cell r="GA595">
            <v>42233</v>
          </cell>
          <cell r="GB595">
            <v>42238</v>
          </cell>
          <cell r="GC595">
            <v>42238</v>
          </cell>
          <cell r="GD595">
            <v>42238</v>
          </cell>
          <cell r="GE595">
            <v>42239</v>
          </cell>
          <cell r="GF595">
            <v>42239</v>
          </cell>
          <cell r="GG595">
            <v>42239</v>
          </cell>
          <cell r="GH595">
            <v>42239</v>
          </cell>
          <cell r="GI595">
            <v>42246</v>
          </cell>
          <cell r="GJ595" t="str">
            <v>36-2015</v>
          </cell>
          <cell r="GK595">
            <v>42239</v>
          </cell>
          <cell r="GL595" t="str">
            <v>Infra Issue::Tower is not Ready</v>
          </cell>
          <cell r="GN595" t="str">
            <v>ERICSSON</v>
          </cell>
          <cell r="GP595">
            <v>42206</v>
          </cell>
          <cell r="HD595">
            <v>1</v>
          </cell>
        </row>
        <row r="596">
          <cell r="A596" t="str">
            <v>SG0559</v>
          </cell>
          <cell r="B596" t="str">
            <v>ANSG_0492</v>
          </cell>
          <cell r="C596" t="str">
            <v>Apollo</v>
          </cell>
          <cell r="D596" t="str">
            <v>Adriaan Coetsee</v>
          </cell>
          <cell r="F596" t="str">
            <v>Aung Thu Win</v>
          </cell>
          <cell r="G596" t="str">
            <v>Kyaw Zay Yar</v>
          </cell>
          <cell r="H596" t="str">
            <v>AMBER</v>
          </cell>
          <cell r="I596" t="str">
            <v>North</v>
          </cell>
          <cell r="J596" t="str">
            <v>95.241</v>
          </cell>
          <cell r="K596" t="str">
            <v>21.8344</v>
          </cell>
          <cell r="L596" t="str">
            <v>Rural</v>
          </cell>
          <cell r="M596" t="str">
            <v>Sagaing</v>
          </cell>
          <cell r="N596" t="str">
            <v>Chaung-U</v>
          </cell>
          <cell r="O596" t="str">
            <v>Chaung-U</v>
          </cell>
          <cell r="P596" t="str">
            <v>Sagaing</v>
          </cell>
          <cell r="Q596" t="str">
            <v>11</v>
          </cell>
          <cell r="R596" t="str">
            <v>Chaung-U</v>
          </cell>
          <cell r="S596" t="str">
            <v>56</v>
          </cell>
          <cell r="T596" t="str">
            <v>GSM+UMTS</v>
          </cell>
          <cell r="W596" t="str">
            <v>Ph2-Priority</v>
          </cell>
          <cell r="X596" t="str">
            <v>45</v>
          </cell>
          <cell r="Y596" t="str">
            <v>47</v>
          </cell>
          <cell r="Z596" t="str">
            <v>GBT</v>
          </cell>
          <cell r="AA596" t="str">
            <v>500</v>
          </cell>
          <cell r="AB596" t="str">
            <v>Access</v>
          </cell>
          <cell r="AC596" t="str">
            <v>Class C</v>
          </cell>
          <cell r="BH596" t="str">
            <v>Camusat</v>
          </cell>
          <cell r="BJ596">
            <v>42165</v>
          </cell>
          <cell r="BK596">
            <v>42139</v>
          </cell>
          <cell r="BL596">
            <v>42170</v>
          </cell>
          <cell r="BM596">
            <v>42146</v>
          </cell>
          <cell r="BT596">
            <v>17</v>
          </cell>
          <cell r="BU596">
            <v>42215</v>
          </cell>
          <cell r="BV596">
            <v>42156</v>
          </cell>
          <cell r="BW596" t="str">
            <v>95.24226</v>
          </cell>
          <cell r="BX596" t="str">
            <v>21.833648</v>
          </cell>
          <cell r="BY596" t="str">
            <v>C1</v>
          </cell>
          <cell r="BZ596" t="str">
            <v>Magyi Gwa Village, Chaung U Township, Sagaing Division.</v>
          </cell>
          <cell r="CA596" t="str">
            <v>U Aung Gyi;No (260), Ma Gyee Khwa Village, Chaung Oo Township,Monywar District, Sagaing Division;09 976462844</v>
          </cell>
          <cell r="CB596" t="str">
            <v>1May15: C1 SAR Sub</v>
          </cell>
          <cell r="CE596">
            <v>1</v>
          </cell>
          <cell r="CF596">
            <v>42216</v>
          </cell>
          <cell r="CG596">
            <v>42157</v>
          </cell>
          <cell r="CH596">
            <v>42218</v>
          </cell>
          <cell r="CJ596">
            <v>42164</v>
          </cell>
          <cell r="CK596" t="str">
            <v>45</v>
          </cell>
          <cell r="CL596" t="str">
            <v>47</v>
          </cell>
          <cell r="CM596" t="str">
            <v>50</v>
          </cell>
          <cell r="CN596">
            <v>9</v>
          </cell>
          <cell r="CO596">
            <v>42221</v>
          </cell>
          <cell r="CP596">
            <v>42166</v>
          </cell>
          <cell r="CQ596" t="str">
            <v>M1: grid power + battery</v>
          </cell>
          <cell r="CR596">
            <v>1</v>
          </cell>
          <cell r="CS596">
            <v>42222</v>
          </cell>
          <cell r="CT596">
            <v>42167</v>
          </cell>
          <cell r="CU596" t="str">
            <v>SG0559</v>
          </cell>
          <cell r="DH596">
            <v>14</v>
          </cell>
          <cell r="DI596">
            <v>42232</v>
          </cell>
          <cell r="DJ596">
            <v>42181</v>
          </cell>
          <cell r="DK596">
            <v>42229</v>
          </cell>
          <cell r="DL596">
            <v>42172</v>
          </cell>
          <cell r="DM596">
            <v>42233</v>
          </cell>
          <cell r="DN596">
            <v>42187</v>
          </cell>
          <cell r="DO596">
            <v>0</v>
          </cell>
          <cell r="DP596">
            <v>42232</v>
          </cell>
          <cell r="DQ596">
            <v>42181</v>
          </cell>
          <cell r="DT596">
            <v>52</v>
          </cell>
          <cell r="DU596">
            <v>42247</v>
          </cell>
          <cell r="DW596">
            <v>0</v>
          </cell>
          <cell r="DY596">
            <v>42233</v>
          </cell>
          <cell r="DZ596">
            <v>42186</v>
          </cell>
          <cell r="EA596" t="str">
            <v>Camusat</v>
          </cell>
          <cell r="ED596" t="str">
            <v xml:space="preserve">25Jul15 :KyawZay.Yar: Excavation done.Lean concrete done.
</v>
          </cell>
          <cell r="EJ596">
            <v>47</v>
          </cell>
          <cell r="EK596">
            <v>42250</v>
          </cell>
          <cell r="EL596">
            <v>42238</v>
          </cell>
          <cell r="EM596">
            <v>42251</v>
          </cell>
          <cell r="EN596">
            <v>42242</v>
          </cell>
          <cell r="EQ596">
            <v>42260</v>
          </cell>
          <cell r="ER596">
            <v>42250</v>
          </cell>
          <cell r="ES596">
            <v>42243</v>
          </cell>
          <cell r="EW596">
            <v>47</v>
          </cell>
          <cell r="EX596">
            <v>42260</v>
          </cell>
          <cell r="EZ596">
            <v>42270</v>
          </cell>
          <cell r="FA596">
            <v>42246</v>
          </cell>
          <cell r="FB596">
            <v>42272</v>
          </cell>
          <cell r="FC596">
            <v>42250</v>
          </cell>
          <cell r="FU596">
            <v>42274</v>
          </cell>
          <cell r="FW596">
            <v>42274</v>
          </cell>
          <cell r="FY596" t="str">
            <v>ZM</v>
          </cell>
          <cell r="FZ596">
            <v>42245</v>
          </cell>
          <cell r="GA596">
            <v>42250</v>
          </cell>
          <cell r="GI596">
            <v>42135</v>
          </cell>
          <cell r="GJ596" t="str">
            <v>40-2015</v>
          </cell>
          <cell r="GN596" t="str">
            <v>ERICSSON</v>
          </cell>
          <cell r="GP596">
            <v>42206</v>
          </cell>
          <cell r="HD596">
            <v>1</v>
          </cell>
        </row>
        <row r="597">
          <cell r="A597" t="str">
            <v>SG0561</v>
          </cell>
          <cell r="B597" t="str">
            <v>ANSG_0493</v>
          </cell>
          <cell r="C597" t="str">
            <v>Apollo</v>
          </cell>
          <cell r="D597" t="str">
            <v>Adriaan Coetsee</v>
          </cell>
          <cell r="F597" t="str">
            <v>Aung Thu Win</v>
          </cell>
          <cell r="G597" t="str">
            <v>Kyaw Zay Yar</v>
          </cell>
          <cell r="H597" t="str">
            <v>YELLOW</v>
          </cell>
          <cell r="I597" t="str">
            <v>North</v>
          </cell>
          <cell r="J597" t="str">
            <v>95.6819</v>
          </cell>
          <cell r="K597" t="str">
            <v>22.0658</v>
          </cell>
          <cell r="L597" t="str">
            <v>Rural</v>
          </cell>
          <cell r="M597" t="str">
            <v>Sagaing</v>
          </cell>
          <cell r="N597" t="str">
            <v>Sagaing</v>
          </cell>
          <cell r="O597" t="str">
            <v>Sagaing</v>
          </cell>
          <cell r="P597" t="str">
            <v>Sagaing</v>
          </cell>
          <cell r="Q597" t="str">
            <v>11</v>
          </cell>
          <cell r="R597" t="str">
            <v>Sagaing</v>
          </cell>
          <cell r="S597" t="str">
            <v>42</v>
          </cell>
          <cell r="T597" t="str">
            <v>GSM+UMTS</v>
          </cell>
          <cell r="W597" t="str">
            <v>Ph2-Priority</v>
          </cell>
          <cell r="X597" t="str">
            <v>45</v>
          </cell>
          <cell r="Y597" t="str">
            <v>47</v>
          </cell>
          <cell r="Z597" t="str">
            <v>GBT</v>
          </cell>
          <cell r="AA597" t="str">
            <v>500</v>
          </cell>
          <cell r="AB597" t="str">
            <v>Access</v>
          </cell>
          <cell r="AC597" t="str">
            <v>Class C</v>
          </cell>
          <cell r="BE597" t="str">
            <v>Route 15 Taunggyi - Tachileik</v>
          </cell>
          <cell r="BH597" t="str">
            <v>Camusat</v>
          </cell>
          <cell r="BJ597">
            <v>42155</v>
          </cell>
          <cell r="BK597">
            <v>42130</v>
          </cell>
          <cell r="BL597">
            <v>42160</v>
          </cell>
          <cell r="BM597">
            <v>42138</v>
          </cell>
          <cell r="BT597">
            <v>18</v>
          </cell>
          <cell r="BU597">
            <v>42224</v>
          </cell>
          <cell r="BV597">
            <v>42148</v>
          </cell>
          <cell r="BW597" t="str">
            <v>95.68036</v>
          </cell>
          <cell r="BX597" t="str">
            <v>22.065673</v>
          </cell>
          <cell r="BY597" t="str">
            <v>C1</v>
          </cell>
          <cell r="BZ597" t="str">
            <v>Kywe Pon village, Sagaing township, Sagaing.</v>
          </cell>
          <cell r="CA597" t="str">
            <v>U Nyo Maung;Kywe Pon village, Sagaing township, Sagaing division.;9792214982</v>
          </cell>
          <cell r="CB597" t="str">
            <v>24May15: C1 SAR Sub.</v>
          </cell>
          <cell r="CE597">
            <v>1</v>
          </cell>
          <cell r="CF597">
            <v>42225</v>
          </cell>
          <cell r="CG597">
            <v>42149</v>
          </cell>
          <cell r="CH597">
            <v>42227</v>
          </cell>
          <cell r="CJ597">
            <v>42157</v>
          </cell>
          <cell r="CK597" t="str">
            <v>45</v>
          </cell>
          <cell r="CL597" t="str">
            <v>47</v>
          </cell>
          <cell r="CM597" t="str">
            <v>50</v>
          </cell>
          <cell r="CN597">
            <v>10</v>
          </cell>
          <cell r="CO597">
            <v>42230</v>
          </cell>
          <cell r="CP597">
            <v>42159</v>
          </cell>
          <cell r="CQ597" t="str">
            <v>M1: grid power + battery</v>
          </cell>
          <cell r="CR597">
            <v>4</v>
          </cell>
          <cell r="CS597">
            <v>42231</v>
          </cell>
          <cell r="CT597">
            <v>42163</v>
          </cell>
          <cell r="CU597" t="str">
            <v>SG0561</v>
          </cell>
          <cell r="DH597">
            <v>8</v>
          </cell>
          <cell r="DI597">
            <v>42241</v>
          </cell>
          <cell r="DJ597">
            <v>42171</v>
          </cell>
          <cell r="DK597">
            <v>42238</v>
          </cell>
          <cell r="DL597">
            <v>42172</v>
          </cell>
          <cell r="DM597">
            <v>42242</v>
          </cell>
          <cell r="DN597">
            <v>42181</v>
          </cell>
          <cell r="DO597">
            <v>0</v>
          </cell>
          <cell r="DP597">
            <v>42241</v>
          </cell>
          <cell r="DQ597">
            <v>42171</v>
          </cell>
          <cell r="DT597">
            <v>62</v>
          </cell>
          <cell r="DU597">
            <v>42256</v>
          </cell>
          <cell r="DW597">
            <v>0</v>
          </cell>
          <cell r="DY597">
            <v>42242</v>
          </cell>
          <cell r="DZ597">
            <v>42181</v>
          </cell>
          <cell r="EA597" t="str">
            <v>Camusat</v>
          </cell>
          <cell r="EJ597">
            <v>45</v>
          </cell>
          <cell r="EK597">
            <v>42259</v>
          </cell>
          <cell r="EL597">
            <v>42226</v>
          </cell>
          <cell r="EM597">
            <v>42260</v>
          </cell>
          <cell r="EN597">
            <v>42235</v>
          </cell>
          <cell r="EQ597">
            <v>42269</v>
          </cell>
          <cell r="ER597">
            <v>42240</v>
          </cell>
          <cell r="ES597">
            <v>42238</v>
          </cell>
          <cell r="ET597">
            <v>42243</v>
          </cell>
          <cell r="EU597">
            <v>42243</v>
          </cell>
          <cell r="EW597">
            <v>52</v>
          </cell>
          <cell r="EX597">
            <v>42283</v>
          </cell>
          <cell r="EZ597">
            <v>42279</v>
          </cell>
          <cell r="FA597">
            <v>42244</v>
          </cell>
          <cell r="FB597">
            <v>42281</v>
          </cell>
          <cell r="FC597">
            <v>42245</v>
          </cell>
          <cell r="FU597">
            <v>42283</v>
          </cell>
          <cell r="FW597">
            <v>42283</v>
          </cell>
          <cell r="FX597">
            <v>42245</v>
          </cell>
          <cell r="FY597" t="str">
            <v>EM</v>
          </cell>
          <cell r="FZ597">
            <v>42241</v>
          </cell>
          <cell r="GA597">
            <v>42244</v>
          </cell>
          <cell r="GB597">
            <v>42247</v>
          </cell>
          <cell r="GC597">
            <v>42247</v>
          </cell>
          <cell r="GD597">
            <v>42247</v>
          </cell>
          <cell r="GE597">
            <v>42247</v>
          </cell>
          <cell r="GF597">
            <v>42247</v>
          </cell>
          <cell r="GG597">
            <v>42247</v>
          </cell>
          <cell r="GH597">
            <v>42247</v>
          </cell>
          <cell r="GI597">
            <v>42100</v>
          </cell>
          <cell r="GJ597" t="str">
            <v>40-2015</v>
          </cell>
          <cell r="GK597">
            <v>42247</v>
          </cell>
          <cell r="GN597" t="str">
            <v>ERICSSON</v>
          </cell>
          <cell r="GP597">
            <v>42207</v>
          </cell>
          <cell r="HD597">
            <v>1</v>
          </cell>
        </row>
        <row r="598">
          <cell r="A598" t="str">
            <v>SG0562</v>
          </cell>
          <cell r="B598" t="str">
            <v>ANSG_0494</v>
          </cell>
          <cell r="C598" t="str">
            <v>Apollo</v>
          </cell>
          <cell r="D598" t="str">
            <v>Adriaan Coetsee</v>
          </cell>
          <cell r="F598" t="str">
            <v>Aung Thu Win</v>
          </cell>
          <cell r="G598" t="str">
            <v>Kyaw Zay Yar</v>
          </cell>
          <cell r="H598" t="str">
            <v>RED</v>
          </cell>
          <cell r="I598" t="str">
            <v>North</v>
          </cell>
          <cell r="J598" t="str">
            <v>95.3939</v>
          </cell>
          <cell r="K598" t="str">
            <v>21.7518</v>
          </cell>
          <cell r="L598" t="str">
            <v>Rural</v>
          </cell>
          <cell r="M598" t="str">
            <v>Sagaing</v>
          </cell>
          <cell r="N598" t="str">
            <v>Myaung</v>
          </cell>
          <cell r="O598" t="str">
            <v>Myaung</v>
          </cell>
          <cell r="P598" t="str">
            <v>Sagaing</v>
          </cell>
          <cell r="Q598" t="str">
            <v>11</v>
          </cell>
          <cell r="R598" t="str">
            <v>Myaung</v>
          </cell>
          <cell r="S598" t="str">
            <v>44</v>
          </cell>
          <cell r="T598" t="str">
            <v>GSM+UMTS</v>
          </cell>
          <cell r="W598" t="str">
            <v>Ph2-Priority</v>
          </cell>
          <cell r="X598" t="str">
            <v>45</v>
          </cell>
          <cell r="Y598" t="str">
            <v>47</v>
          </cell>
          <cell r="Z598" t="str">
            <v>GBT</v>
          </cell>
          <cell r="AA598" t="str">
            <v>500</v>
          </cell>
          <cell r="AB598" t="str">
            <v>Access</v>
          </cell>
          <cell r="AC598" t="str">
            <v>Class C</v>
          </cell>
          <cell r="BH598" t="str">
            <v>Camusat</v>
          </cell>
          <cell r="BJ598">
            <v>42165</v>
          </cell>
          <cell r="BK598">
            <v>42171</v>
          </cell>
          <cell r="BL598">
            <v>42170</v>
          </cell>
          <cell r="BM598">
            <v>42178</v>
          </cell>
          <cell r="BT598">
            <v>10</v>
          </cell>
          <cell r="BU598">
            <v>42224</v>
          </cell>
          <cell r="BV598">
            <v>42181</v>
          </cell>
          <cell r="BW598" t="str">
            <v>95.3935</v>
          </cell>
          <cell r="BX598" t="str">
            <v>21.75239</v>
          </cell>
          <cell r="BY598" t="str">
            <v>C1</v>
          </cell>
          <cell r="BZ598" t="str">
            <v>Min Tan Village ,Myaung Township,Sagaing Division.</v>
          </cell>
          <cell r="CA598" t="str">
            <v>U Kyaw Swe Win;09 792242982</v>
          </cell>
          <cell r="CE598">
            <v>3</v>
          </cell>
          <cell r="CF598">
            <v>42225</v>
          </cell>
          <cell r="CG598">
            <v>42184</v>
          </cell>
          <cell r="CH598">
            <v>42227</v>
          </cell>
          <cell r="CJ598">
            <v>42186</v>
          </cell>
          <cell r="CK598" t="str">
            <v>45</v>
          </cell>
          <cell r="CL598" t="str">
            <v>47</v>
          </cell>
          <cell r="CM598" t="str">
            <v>50</v>
          </cell>
          <cell r="CN598">
            <v>4</v>
          </cell>
          <cell r="CO598">
            <v>42230</v>
          </cell>
          <cell r="CP598">
            <v>42188</v>
          </cell>
          <cell r="CQ598" t="str">
            <v>M4: solar + DG + battery</v>
          </cell>
          <cell r="CR598">
            <v>3</v>
          </cell>
          <cell r="CS598">
            <v>42231</v>
          </cell>
          <cell r="CT598">
            <v>42191</v>
          </cell>
          <cell r="CU598" t="str">
            <v>SG0562</v>
          </cell>
          <cell r="DH598">
            <v>26</v>
          </cell>
          <cell r="DI598">
            <v>42241</v>
          </cell>
          <cell r="DJ598">
            <v>42217</v>
          </cell>
          <cell r="DK598">
            <v>42238</v>
          </cell>
          <cell r="DL598">
            <v>42242</v>
          </cell>
          <cell r="DM598">
            <v>42242</v>
          </cell>
          <cell r="DO598">
            <v>0</v>
          </cell>
          <cell r="DP598">
            <v>42241</v>
          </cell>
          <cell r="DQ598">
            <v>42217</v>
          </cell>
          <cell r="DT598">
            <v>16</v>
          </cell>
          <cell r="DU598">
            <v>42256</v>
          </cell>
          <cell r="DW598">
            <v>0</v>
          </cell>
          <cell r="DY598">
            <v>42242</v>
          </cell>
          <cell r="EA598" t="str">
            <v>Camusat</v>
          </cell>
          <cell r="EB598">
            <v>42215</v>
          </cell>
          <cell r="EE598" t="str">
            <v xml:space="preserve">10 Aug 15:Flood affected_Hold-No access; 30-Jul-15:Site cancelled from SKOM &amp; CW, due to Flooded access. SG Area is affected by Flood.								</v>
          </cell>
          <cell r="EJ598">
            <v>0</v>
          </cell>
          <cell r="EK598">
            <v>42259</v>
          </cell>
          <cell r="EM598">
            <v>42260</v>
          </cell>
          <cell r="EQ598">
            <v>42269</v>
          </cell>
          <cell r="EW598">
            <v>0</v>
          </cell>
          <cell r="EX598">
            <v>42283</v>
          </cell>
          <cell r="EZ598">
            <v>42279</v>
          </cell>
          <cell r="FB598">
            <v>42281</v>
          </cell>
          <cell r="FU598">
            <v>42283</v>
          </cell>
          <cell r="FW598">
            <v>42283</v>
          </cell>
          <cell r="GI598">
            <v>42277</v>
          </cell>
          <cell r="GJ598">
            <v>0</v>
          </cell>
          <cell r="GN598" t="str">
            <v>ERICSSON</v>
          </cell>
          <cell r="GU598" t="str">
            <v xml:space="preserve">		</v>
          </cell>
          <cell r="HD598">
            <v>1</v>
          </cell>
        </row>
        <row r="599">
          <cell r="A599" t="str">
            <v>SG0563</v>
          </cell>
          <cell r="B599" t="str">
            <v>ANSG_0495</v>
          </cell>
          <cell r="C599" t="str">
            <v>Apollo</v>
          </cell>
          <cell r="D599" t="str">
            <v>Adriaan Coetsee</v>
          </cell>
          <cell r="F599" t="str">
            <v>Aung Thu Win</v>
          </cell>
          <cell r="G599" t="str">
            <v>Kyaw Zay Yar</v>
          </cell>
          <cell r="H599" t="str">
            <v>RED</v>
          </cell>
          <cell r="I599" t="str">
            <v>North</v>
          </cell>
          <cell r="J599" t="str">
            <v>95.3507</v>
          </cell>
          <cell r="K599" t="str">
            <v>21.7187</v>
          </cell>
          <cell r="L599" t="str">
            <v>Rural</v>
          </cell>
          <cell r="M599" t="str">
            <v>Sagaing</v>
          </cell>
          <cell r="N599" t="str">
            <v>Myaung</v>
          </cell>
          <cell r="O599" t="str">
            <v>Myaung</v>
          </cell>
          <cell r="P599" t="str">
            <v>Sagaing</v>
          </cell>
          <cell r="Q599" t="str">
            <v>11</v>
          </cell>
          <cell r="R599" t="str">
            <v>Myaung</v>
          </cell>
          <cell r="S599" t="str">
            <v>44</v>
          </cell>
          <cell r="T599" t="str">
            <v>GSM+UMTS</v>
          </cell>
          <cell r="U599" t="str">
            <v>YAN-N017</v>
          </cell>
          <cell r="V599" t="str">
            <v>1</v>
          </cell>
          <cell r="W599" t="str">
            <v>Ph2-Priority</v>
          </cell>
          <cell r="X599" t="str">
            <v>45</v>
          </cell>
          <cell r="Y599" t="str">
            <v>47</v>
          </cell>
          <cell r="Z599" t="str">
            <v>GBT</v>
          </cell>
          <cell r="AA599" t="str">
            <v>500</v>
          </cell>
          <cell r="AB599" t="str">
            <v>Access</v>
          </cell>
          <cell r="AC599" t="str">
            <v>Class C</v>
          </cell>
          <cell r="AD599" t="str">
            <v>1210.77</v>
          </cell>
          <cell r="AE599" t="str">
            <v>1836.84</v>
          </cell>
          <cell r="AF599" t="str">
            <v>1</v>
          </cell>
          <cell r="AG599" t="str">
            <v>YN0222</v>
          </cell>
          <cell r="AH599" t="str">
            <v>YN0231</v>
          </cell>
          <cell r="BE599" t="str">
            <v>Yangon Ring 1</v>
          </cell>
          <cell r="BF599">
            <v>41760</v>
          </cell>
          <cell r="BG599">
            <v>41994</v>
          </cell>
          <cell r="BH599" t="str">
            <v>Camusat</v>
          </cell>
          <cell r="BJ599">
            <v>42165</v>
          </cell>
          <cell r="BK599">
            <v>42171</v>
          </cell>
          <cell r="BL599">
            <v>42170</v>
          </cell>
          <cell r="BT599">
            <v>10</v>
          </cell>
          <cell r="BU599">
            <v>42224</v>
          </cell>
          <cell r="BV599">
            <v>42181</v>
          </cell>
          <cell r="BW599" t="str">
            <v>95.35098</v>
          </cell>
          <cell r="BX599" t="str">
            <v>21.72089</v>
          </cell>
          <cell r="BY599" t="str">
            <v>C1</v>
          </cell>
          <cell r="BZ599" t="str">
            <v>Sagaing Division , Myaung Township, Mal Ma thaw Village .</v>
          </cell>
          <cell r="CA599" t="str">
            <v>U Tin Htun</v>
          </cell>
          <cell r="CB599"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C599" t="str">
            <v>Village</v>
          </cell>
          <cell r="CE599">
            <v>3</v>
          </cell>
          <cell r="CF599">
            <v>42225</v>
          </cell>
          <cell r="CG599">
            <v>42184</v>
          </cell>
          <cell r="CH599">
            <v>42227</v>
          </cell>
          <cell r="CJ599">
            <v>42193</v>
          </cell>
          <cell r="CK599" t="str">
            <v>45</v>
          </cell>
          <cell r="CL599" t="str">
            <v>47</v>
          </cell>
          <cell r="CM599" t="str">
            <v>50</v>
          </cell>
          <cell r="CN599">
            <v>11</v>
          </cell>
          <cell r="CO599">
            <v>42230</v>
          </cell>
          <cell r="CP599">
            <v>42195</v>
          </cell>
          <cell r="CQ599" t="str">
            <v>M4: solar + DG + battery</v>
          </cell>
          <cell r="CR599">
            <v>3</v>
          </cell>
          <cell r="CS599">
            <v>42231</v>
          </cell>
          <cell r="CT599">
            <v>42198</v>
          </cell>
          <cell r="CU599" t="str">
            <v>SG0563</v>
          </cell>
          <cell r="DH599">
            <v>19</v>
          </cell>
          <cell r="DI599">
            <v>42241</v>
          </cell>
          <cell r="DJ599">
            <v>42217</v>
          </cell>
          <cell r="DK599">
            <v>42238</v>
          </cell>
          <cell r="DL599">
            <v>42242</v>
          </cell>
          <cell r="DM599">
            <v>42242</v>
          </cell>
          <cell r="DO599">
            <v>0</v>
          </cell>
          <cell r="DP599">
            <v>42241</v>
          </cell>
          <cell r="DQ599">
            <v>42217</v>
          </cell>
          <cell r="DR599" t="str">
            <v>YCDC</v>
          </cell>
          <cell r="DT599">
            <v>16</v>
          </cell>
          <cell r="DU599">
            <v>42256</v>
          </cell>
          <cell r="DW599">
            <v>0</v>
          </cell>
          <cell r="DY599">
            <v>42242</v>
          </cell>
          <cell r="EA599" t="str">
            <v>Camusat</v>
          </cell>
          <cell r="EB599">
            <v>42215</v>
          </cell>
          <cell r="EE599" t="str">
            <v xml:space="preserve">10 Aug 15:Flood affected_Hold-No access; 30-Jul-15: Site cancelled from SKOM &amp; CW, due to Flooded access. SG Area is affected by Flood.								</v>
          </cell>
          <cell r="EJ599">
            <v>0</v>
          </cell>
          <cell r="EK599">
            <v>42259</v>
          </cell>
          <cell r="EM599">
            <v>42260</v>
          </cell>
          <cell r="EQ599">
            <v>42269</v>
          </cell>
          <cell r="EW599">
            <v>0</v>
          </cell>
          <cell r="EX599">
            <v>42283</v>
          </cell>
          <cell r="EZ599">
            <v>42279</v>
          </cell>
          <cell r="FB599">
            <v>42281</v>
          </cell>
          <cell r="FD599">
            <v>41947</v>
          </cell>
          <cell r="FF599">
            <v>41954</v>
          </cell>
          <cell r="FH599">
            <v>41956</v>
          </cell>
          <cell r="FJ599">
            <v>41959</v>
          </cell>
          <cell r="FN599">
            <v>41963</v>
          </cell>
          <cell r="FP599">
            <v>41965</v>
          </cell>
          <cell r="FR599">
            <v>41979</v>
          </cell>
          <cell r="FU599">
            <v>42283</v>
          </cell>
          <cell r="FW599">
            <v>42283</v>
          </cell>
          <cell r="GI599">
            <v>42277</v>
          </cell>
          <cell r="GJ599">
            <v>0</v>
          </cell>
          <cell r="GN599" t="str">
            <v>ERICSSON</v>
          </cell>
          <cell r="GS599" t="str">
            <v>4/4/4</v>
          </cell>
          <cell r="GU599" t="str">
            <v xml:space="preserve">		</v>
          </cell>
          <cell r="HD599">
            <v>1</v>
          </cell>
        </row>
        <row r="600">
          <cell r="A600" t="str">
            <v>SG0564</v>
          </cell>
          <cell r="B600" t="str">
            <v>ANSG_0496</v>
          </cell>
          <cell r="C600" t="str">
            <v>Apollo</v>
          </cell>
          <cell r="D600" t="str">
            <v>Adriaan Coetsee</v>
          </cell>
          <cell r="F600" t="str">
            <v>Aung Thu Win</v>
          </cell>
          <cell r="G600" t="str">
            <v>Kyaw Zay Yar</v>
          </cell>
          <cell r="H600" t="str">
            <v>RED</v>
          </cell>
          <cell r="I600" t="str">
            <v>North</v>
          </cell>
          <cell r="J600" t="str">
            <v>95.3265</v>
          </cell>
          <cell r="K600" t="str">
            <v>21.7425</v>
          </cell>
          <cell r="L600" t="str">
            <v>Rural</v>
          </cell>
          <cell r="M600" t="str">
            <v>Sagaing</v>
          </cell>
          <cell r="N600" t="str">
            <v>Myaung</v>
          </cell>
          <cell r="O600" t="str">
            <v>Myaung</v>
          </cell>
          <cell r="P600" t="str">
            <v>Sagaing</v>
          </cell>
          <cell r="Q600" t="str">
            <v>11</v>
          </cell>
          <cell r="R600" t="str">
            <v>Myaung</v>
          </cell>
          <cell r="S600" t="str">
            <v>44</v>
          </cell>
          <cell r="T600" t="str">
            <v>GSM+UMTS</v>
          </cell>
          <cell r="W600" t="str">
            <v>Ph2-Priority</v>
          </cell>
          <cell r="X600" t="str">
            <v>45</v>
          </cell>
          <cell r="Y600" t="str">
            <v>47</v>
          </cell>
          <cell r="Z600" t="str">
            <v>GBT</v>
          </cell>
          <cell r="AA600" t="str">
            <v>500</v>
          </cell>
          <cell r="AB600" t="str">
            <v>Access</v>
          </cell>
          <cell r="AC600" t="str">
            <v>Class C</v>
          </cell>
          <cell r="BH600" t="str">
            <v>Camusat</v>
          </cell>
          <cell r="BJ600">
            <v>42165</v>
          </cell>
          <cell r="BK600">
            <v>42171</v>
          </cell>
          <cell r="BL600">
            <v>42170</v>
          </cell>
          <cell r="BM600">
            <v>42174</v>
          </cell>
          <cell r="BT600">
            <v>10</v>
          </cell>
          <cell r="BU600">
            <v>42224</v>
          </cell>
          <cell r="BV600">
            <v>42181</v>
          </cell>
          <cell r="BW600" t="str">
            <v>95.32673</v>
          </cell>
          <cell r="BX600" t="str">
            <v>21.74362</v>
          </cell>
          <cell r="BY600" t="str">
            <v>C1</v>
          </cell>
          <cell r="BZ600" t="str">
            <v>Kinn Village, Myaung Township, Sagaing Division</v>
          </cell>
          <cell r="CA600" t="str">
            <v>U Myo Win Zaw</v>
          </cell>
          <cell r="CC600" t="str">
            <v>Village</v>
          </cell>
          <cell r="CE600">
            <v>6</v>
          </cell>
          <cell r="CF600">
            <v>42225</v>
          </cell>
          <cell r="CG600">
            <v>42187</v>
          </cell>
          <cell r="CH600">
            <v>42227</v>
          </cell>
          <cell r="CJ600">
            <v>42196</v>
          </cell>
          <cell r="CK600" t="str">
            <v>45</v>
          </cell>
          <cell r="CL600" t="str">
            <v>47</v>
          </cell>
          <cell r="CM600" t="str">
            <v>50</v>
          </cell>
          <cell r="CN600">
            <v>11</v>
          </cell>
          <cell r="CO600">
            <v>42230</v>
          </cell>
          <cell r="CP600">
            <v>42198</v>
          </cell>
          <cell r="CQ600" t="str">
            <v>M4: solar + DG + battery</v>
          </cell>
          <cell r="CR600">
            <v>1</v>
          </cell>
          <cell r="CS600">
            <v>42231</v>
          </cell>
          <cell r="CT600">
            <v>42199</v>
          </cell>
          <cell r="CU600" t="str">
            <v>SG0564</v>
          </cell>
          <cell r="DH600">
            <v>34</v>
          </cell>
          <cell r="DI600">
            <v>42241</v>
          </cell>
          <cell r="DK600">
            <v>42238</v>
          </cell>
          <cell r="DL600">
            <v>42201</v>
          </cell>
          <cell r="DM600">
            <v>42242</v>
          </cell>
          <cell r="DO600">
            <v>0</v>
          </cell>
          <cell r="DP600">
            <v>42241</v>
          </cell>
          <cell r="DT600">
            <v>0</v>
          </cell>
          <cell r="DU600">
            <v>42256</v>
          </cell>
          <cell r="DW600">
            <v>0</v>
          </cell>
          <cell r="DY600">
            <v>42242</v>
          </cell>
          <cell r="EA600" t="str">
            <v>Camusat</v>
          </cell>
          <cell r="EJ600">
            <v>0</v>
          </cell>
          <cell r="EK600">
            <v>42259</v>
          </cell>
          <cell r="EM600">
            <v>42260</v>
          </cell>
          <cell r="EQ600">
            <v>42269</v>
          </cell>
          <cell r="EW600">
            <v>0</v>
          </cell>
          <cell r="EX600">
            <v>42283</v>
          </cell>
          <cell r="EZ600">
            <v>42279</v>
          </cell>
          <cell r="FB600">
            <v>42281</v>
          </cell>
          <cell r="FU600">
            <v>42283</v>
          </cell>
          <cell r="FW600">
            <v>42283</v>
          </cell>
          <cell r="GI600">
            <v>42000</v>
          </cell>
          <cell r="GJ600">
            <v>0</v>
          </cell>
          <cell r="GN600" t="str">
            <v>ERICSSON</v>
          </cell>
          <cell r="HD600">
            <v>1</v>
          </cell>
        </row>
        <row r="601">
          <cell r="A601" t="str">
            <v>SG0565</v>
          </cell>
          <cell r="B601" t="str">
            <v>ANSG_0497</v>
          </cell>
          <cell r="C601" t="str">
            <v>Apollo</v>
          </cell>
          <cell r="D601" t="str">
            <v>Adriaan Coetsee</v>
          </cell>
          <cell r="F601" t="str">
            <v>Aung Thu Win</v>
          </cell>
          <cell r="G601" t="str">
            <v>Kyaw Zay Yar</v>
          </cell>
          <cell r="H601" t="str">
            <v>RED</v>
          </cell>
          <cell r="I601" t="str">
            <v>North</v>
          </cell>
          <cell r="J601" t="str">
            <v>95.2943</v>
          </cell>
          <cell r="K601" t="str">
            <v>21.7191</v>
          </cell>
          <cell r="L601" t="str">
            <v>Rural</v>
          </cell>
          <cell r="M601" t="str">
            <v>Sagaing</v>
          </cell>
          <cell r="N601" t="str">
            <v>Myaung</v>
          </cell>
          <cell r="O601" t="str">
            <v>Myaung</v>
          </cell>
          <cell r="P601" t="str">
            <v>Sagaing</v>
          </cell>
          <cell r="Q601" t="str">
            <v>11</v>
          </cell>
          <cell r="R601" t="str">
            <v>Myaung</v>
          </cell>
          <cell r="S601" t="str">
            <v>44</v>
          </cell>
          <cell r="T601" t="str">
            <v>GSM+UMTS</v>
          </cell>
          <cell r="W601" t="str">
            <v>Ph2-Priority</v>
          </cell>
          <cell r="X601" t="str">
            <v>45</v>
          </cell>
          <cell r="Y601" t="str">
            <v>47</v>
          </cell>
          <cell r="Z601" t="str">
            <v>GBT</v>
          </cell>
          <cell r="AA601" t="str">
            <v>500</v>
          </cell>
          <cell r="AB601" t="str">
            <v>Access</v>
          </cell>
          <cell r="AC601" t="str">
            <v>Class C</v>
          </cell>
          <cell r="BE601" t="str">
            <v>Route 6 Mandalay - Monywa</v>
          </cell>
          <cell r="BH601" t="str">
            <v>Camusat</v>
          </cell>
          <cell r="BJ601">
            <v>42165</v>
          </cell>
          <cell r="BK601">
            <v>42171</v>
          </cell>
          <cell r="BL601">
            <v>42170</v>
          </cell>
          <cell r="BM601">
            <v>42138</v>
          </cell>
          <cell r="BT601">
            <v>10</v>
          </cell>
          <cell r="BU601">
            <v>42224</v>
          </cell>
          <cell r="BV601">
            <v>42181</v>
          </cell>
          <cell r="BW601" t="str">
            <v>95.29179</v>
          </cell>
          <cell r="BX601" t="str">
            <v>21.72033</v>
          </cell>
          <cell r="BY601" t="str">
            <v>C1</v>
          </cell>
          <cell r="BZ601" t="str">
            <v>Sagaing Division , Myaung Township, Kyauk Yin Village group, Kyauk Yit village .</v>
          </cell>
          <cell r="CA601" t="str">
            <v>U Zin Moe</v>
          </cell>
          <cell r="CB601" t="str">
            <v>24May15: C1 SAR Sub.</v>
          </cell>
          <cell r="CC601" t="str">
            <v>Village</v>
          </cell>
          <cell r="CE601">
            <v>3</v>
          </cell>
          <cell r="CF601">
            <v>42225</v>
          </cell>
          <cell r="CG601">
            <v>42184</v>
          </cell>
          <cell r="CH601">
            <v>42227</v>
          </cell>
          <cell r="CJ601">
            <v>42197</v>
          </cell>
          <cell r="CK601" t="str">
            <v>45</v>
          </cell>
          <cell r="CL601" t="str">
            <v>47</v>
          </cell>
          <cell r="CM601" t="str">
            <v>50</v>
          </cell>
          <cell r="CN601">
            <v>15</v>
          </cell>
          <cell r="CO601">
            <v>42230</v>
          </cell>
          <cell r="CP601">
            <v>42199</v>
          </cell>
          <cell r="CQ601" t="str">
            <v>M4: solar + DG + battery</v>
          </cell>
          <cell r="CR601">
            <v>2</v>
          </cell>
          <cell r="CS601">
            <v>42231</v>
          </cell>
          <cell r="CT601">
            <v>42201</v>
          </cell>
          <cell r="CU601" t="str">
            <v>SG0565</v>
          </cell>
          <cell r="DH601">
            <v>32</v>
          </cell>
          <cell r="DI601">
            <v>42241</v>
          </cell>
          <cell r="DJ601">
            <v>42170</v>
          </cell>
          <cell r="DK601">
            <v>42238</v>
          </cell>
          <cell r="DL601">
            <v>42198</v>
          </cell>
          <cell r="DM601">
            <v>42242</v>
          </cell>
          <cell r="DN601">
            <v>42198</v>
          </cell>
          <cell r="DO601">
            <v>0</v>
          </cell>
          <cell r="DP601">
            <v>42241</v>
          </cell>
          <cell r="DQ601">
            <v>42170</v>
          </cell>
          <cell r="DT601">
            <v>0</v>
          </cell>
          <cell r="DU601">
            <v>42256</v>
          </cell>
          <cell r="DV601">
            <v>42177</v>
          </cell>
          <cell r="DW601">
            <v>0</v>
          </cell>
          <cell r="DY601">
            <v>42242</v>
          </cell>
          <cell r="DZ601">
            <v>42235</v>
          </cell>
          <cell r="EA601" t="str">
            <v>Camusat</v>
          </cell>
          <cell r="ED601" t="str">
            <v xml:space="preserve">01Sep15 :KyawZay.Yar: Excavation done.Pouring lean concrete done.
</v>
          </cell>
          <cell r="EJ601">
            <v>0</v>
          </cell>
          <cell r="EK601">
            <v>42259</v>
          </cell>
          <cell r="EL601">
            <v>42205</v>
          </cell>
          <cell r="EM601">
            <v>42260</v>
          </cell>
          <cell r="EN601">
            <v>42233</v>
          </cell>
          <cell r="EQ601">
            <v>42269</v>
          </cell>
          <cell r="ES601">
            <v>42234</v>
          </cell>
          <cell r="EW601">
            <v>0</v>
          </cell>
          <cell r="EX601">
            <v>42283</v>
          </cell>
          <cell r="EZ601">
            <v>42279</v>
          </cell>
          <cell r="FB601">
            <v>42281</v>
          </cell>
          <cell r="FU601">
            <v>42283</v>
          </cell>
          <cell r="FW601">
            <v>42283</v>
          </cell>
          <cell r="FY601" t="str">
            <v>CFVL</v>
          </cell>
          <cell r="GI601">
            <v>42215</v>
          </cell>
          <cell r="GJ601">
            <v>0</v>
          </cell>
          <cell r="GN601" t="str">
            <v>ERICSSON</v>
          </cell>
          <cell r="HD601">
            <v>1</v>
          </cell>
        </row>
        <row r="602">
          <cell r="A602" t="str">
            <v>SG0566</v>
          </cell>
          <cell r="B602" t="str">
            <v>ANSG_0498</v>
          </cell>
          <cell r="C602" t="str">
            <v>Apollo</v>
          </cell>
          <cell r="D602" t="str">
            <v>Adriaan Coetsee</v>
          </cell>
          <cell r="F602" t="str">
            <v>Aung Thu Win</v>
          </cell>
          <cell r="G602" t="str">
            <v>Kyaw Zay Yar</v>
          </cell>
          <cell r="H602" t="str">
            <v>YELLOW</v>
          </cell>
          <cell r="I602" t="str">
            <v>North</v>
          </cell>
          <cell r="J602" t="str">
            <v>95.5006</v>
          </cell>
          <cell r="K602" t="str">
            <v>22.0452</v>
          </cell>
          <cell r="L602" t="str">
            <v>Rural</v>
          </cell>
          <cell r="M602" t="str">
            <v>Sagaing</v>
          </cell>
          <cell r="N602" t="str">
            <v>Myinmu</v>
          </cell>
          <cell r="O602" t="str">
            <v>Myinmu</v>
          </cell>
          <cell r="P602" t="str">
            <v>Sagaing</v>
          </cell>
          <cell r="Q602" t="str">
            <v>11</v>
          </cell>
          <cell r="R602" t="str">
            <v>Myinmu</v>
          </cell>
          <cell r="S602" t="str">
            <v>43</v>
          </cell>
          <cell r="T602" t="str">
            <v>GSM+UMTS</v>
          </cell>
          <cell r="W602" t="str">
            <v>Ph2-Priority</v>
          </cell>
          <cell r="X602" t="str">
            <v>45</v>
          </cell>
          <cell r="Y602" t="str">
            <v>47</v>
          </cell>
          <cell r="Z602" t="str">
            <v>GBT</v>
          </cell>
          <cell r="AA602" t="str">
            <v>500</v>
          </cell>
          <cell r="AB602" t="str">
            <v>Access</v>
          </cell>
          <cell r="AC602" t="str">
            <v>Class C</v>
          </cell>
          <cell r="BE602" t="str">
            <v>Route 13 Mawlamyine-Dawei</v>
          </cell>
          <cell r="BH602" t="str">
            <v>Camusat</v>
          </cell>
          <cell r="BJ602">
            <v>42155</v>
          </cell>
          <cell r="BK602">
            <v>42148</v>
          </cell>
          <cell r="BL602">
            <v>42160</v>
          </cell>
          <cell r="BM602">
            <v>42155</v>
          </cell>
          <cell r="BT602">
            <v>17</v>
          </cell>
          <cell r="BU602">
            <v>42211</v>
          </cell>
          <cell r="BV602">
            <v>42165</v>
          </cell>
          <cell r="BW602" t="str">
            <v>95.50162</v>
          </cell>
          <cell r="BX602" t="str">
            <v>22.042732</v>
          </cell>
          <cell r="BY602" t="str">
            <v>C1</v>
          </cell>
          <cell r="BZ602" t="str">
            <v>Nyaung Pin Kan Village, Myin Mu Township,Sagaing Division.</v>
          </cell>
          <cell r="CA602" t="str">
            <v>Daw Aung Po;09-791762592 ; 09-796487058</v>
          </cell>
          <cell r="CB602" t="str">
            <v>10Jun15:C1 SAR Sub</v>
          </cell>
          <cell r="CC602" t="str">
            <v>Village</v>
          </cell>
          <cell r="CE602">
            <v>1</v>
          </cell>
          <cell r="CF602">
            <v>42212</v>
          </cell>
          <cell r="CG602">
            <v>42166</v>
          </cell>
          <cell r="CH602">
            <v>42214</v>
          </cell>
          <cell r="CJ602">
            <v>42174</v>
          </cell>
          <cell r="CK602" t="str">
            <v>45</v>
          </cell>
          <cell r="CL602" t="str">
            <v>47</v>
          </cell>
          <cell r="CM602" t="str">
            <v>50</v>
          </cell>
          <cell r="CN602">
            <v>10</v>
          </cell>
          <cell r="CO602">
            <v>42217</v>
          </cell>
          <cell r="CP602">
            <v>42176</v>
          </cell>
          <cell r="CQ602" t="str">
            <v>M1: grid power + battery</v>
          </cell>
          <cell r="CR602">
            <v>1</v>
          </cell>
          <cell r="CS602">
            <v>42218</v>
          </cell>
          <cell r="CT602">
            <v>42177</v>
          </cell>
          <cell r="CU602" t="str">
            <v>SG0566</v>
          </cell>
          <cell r="DH602">
            <v>15</v>
          </cell>
          <cell r="DI602">
            <v>42228</v>
          </cell>
          <cell r="DJ602">
            <v>42192</v>
          </cell>
          <cell r="DK602">
            <v>42225</v>
          </cell>
          <cell r="DL602">
            <v>42172</v>
          </cell>
          <cell r="DM602">
            <v>42229</v>
          </cell>
          <cell r="DN602">
            <v>42193</v>
          </cell>
          <cell r="DO602">
            <v>0</v>
          </cell>
          <cell r="DP602">
            <v>42228</v>
          </cell>
          <cell r="DQ602">
            <v>42192</v>
          </cell>
          <cell r="DT602">
            <v>41</v>
          </cell>
          <cell r="DU602">
            <v>42243</v>
          </cell>
          <cell r="DW602">
            <v>0</v>
          </cell>
          <cell r="DY602">
            <v>42229</v>
          </cell>
          <cell r="DZ602">
            <v>42193</v>
          </cell>
          <cell r="EA602" t="str">
            <v>Camusat</v>
          </cell>
          <cell r="EJ602">
            <v>27</v>
          </cell>
          <cell r="EK602">
            <v>42246</v>
          </cell>
          <cell r="EL602">
            <v>42220</v>
          </cell>
          <cell r="EM602">
            <v>42247</v>
          </cell>
          <cell r="EN602">
            <v>42234</v>
          </cell>
          <cell r="EQ602">
            <v>42256</v>
          </cell>
          <cell r="ER602">
            <v>42243</v>
          </cell>
          <cell r="ES602">
            <v>42227</v>
          </cell>
          <cell r="ET602">
            <v>42245</v>
          </cell>
          <cell r="EU602">
            <v>42245</v>
          </cell>
          <cell r="EW602">
            <v>40</v>
          </cell>
          <cell r="EX602">
            <v>42283</v>
          </cell>
          <cell r="EZ602">
            <v>42266</v>
          </cell>
          <cell r="FA602">
            <v>42238</v>
          </cell>
          <cell r="FB602">
            <v>42268</v>
          </cell>
          <cell r="FC602">
            <v>42243</v>
          </cell>
          <cell r="FU602">
            <v>42270</v>
          </cell>
          <cell r="FW602">
            <v>42270</v>
          </cell>
          <cell r="FX602">
            <v>42245</v>
          </cell>
          <cell r="FY602" t="str">
            <v>CFVL</v>
          </cell>
          <cell r="FZ602">
            <v>42236</v>
          </cell>
          <cell r="GA602">
            <v>42239</v>
          </cell>
          <cell r="GB602">
            <v>42250</v>
          </cell>
          <cell r="GC602">
            <v>42250</v>
          </cell>
          <cell r="GD602">
            <v>42250</v>
          </cell>
          <cell r="GI602">
            <v>42307</v>
          </cell>
          <cell r="GJ602" t="str">
            <v>44-2015</v>
          </cell>
          <cell r="GL602" t="str">
            <v>Road Condition is too bad to transport the material at site. near by home Material kept.</v>
          </cell>
          <cell r="GN602" t="str">
            <v>ERICSSON</v>
          </cell>
          <cell r="GP602">
            <v>42207</v>
          </cell>
          <cell r="GQ602">
            <v>0</v>
          </cell>
          <cell r="GS602" t="str">
            <v>4/4/4</v>
          </cell>
          <cell r="GU602" t="str">
            <v xml:space="preserve">		</v>
          </cell>
          <cell r="HD602">
            <v>1</v>
          </cell>
        </row>
        <row r="603">
          <cell r="A603" t="str">
            <v>SG0567</v>
          </cell>
          <cell r="B603" t="str">
            <v>ANSG_0499</v>
          </cell>
          <cell r="C603" t="str">
            <v>Apollo</v>
          </cell>
          <cell r="D603" t="str">
            <v>Adriaan Coetsee</v>
          </cell>
          <cell r="F603" t="str">
            <v>Aung Thu Win</v>
          </cell>
          <cell r="G603" t="str">
            <v>Kyaw Zay Yar</v>
          </cell>
          <cell r="H603" t="str">
            <v>AMBER</v>
          </cell>
          <cell r="I603" t="str">
            <v>North</v>
          </cell>
          <cell r="J603" t="str">
            <v>95.3449</v>
          </cell>
          <cell r="K603" t="str">
            <v>21.6845</v>
          </cell>
          <cell r="L603" t="str">
            <v>Rural</v>
          </cell>
          <cell r="M603" t="str">
            <v>Sagaing</v>
          </cell>
          <cell r="N603" t="str">
            <v>Myaung</v>
          </cell>
          <cell r="O603" t="str">
            <v>Myaung</v>
          </cell>
          <cell r="P603" t="str">
            <v>Sagaing</v>
          </cell>
          <cell r="Q603" t="str">
            <v>11</v>
          </cell>
          <cell r="R603" t="str">
            <v>Myaung</v>
          </cell>
          <cell r="S603" t="str">
            <v>44</v>
          </cell>
          <cell r="T603" t="str">
            <v>GSM+UMTS</v>
          </cell>
          <cell r="W603" t="str">
            <v>Ph2-Priority</v>
          </cell>
          <cell r="X603" t="str">
            <v>45</v>
          </cell>
          <cell r="Y603" t="str">
            <v>47</v>
          </cell>
          <cell r="Z603" t="str">
            <v>GBT</v>
          </cell>
          <cell r="AA603" t="str">
            <v>500</v>
          </cell>
          <cell r="AB603" t="str">
            <v>Access</v>
          </cell>
          <cell r="AC603" t="str">
            <v>Class C</v>
          </cell>
          <cell r="BH603" t="str">
            <v>Camusat</v>
          </cell>
          <cell r="BJ603">
            <v>42165</v>
          </cell>
          <cell r="BK603">
            <v>42142</v>
          </cell>
          <cell r="BL603">
            <v>42170</v>
          </cell>
          <cell r="BM603">
            <v>42142</v>
          </cell>
          <cell r="BT603">
            <v>35</v>
          </cell>
          <cell r="BU603">
            <v>42195</v>
          </cell>
          <cell r="BV603">
            <v>42177</v>
          </cell>
          <cell r="BW603" t="str">
            <v>95.34522</v>
          </cell>
          <cell r="BX603" t="str">
            <v>21.68546</v>
          </cell>
          <cell r="BY603" t="str">
            <v>C1</v>
          </cell>
          <cell r="BZ603" t="str">
            <v>Pauk Chaung Village, Myaung Township,Sagain Division.</v>
          </cell>
          <cell r="CA603" t="str">
            <v>U Thein Naing;Pauk Chaung Village, Pauk Chaunt Village Group, Myaung Township;09-977045767</v>
          </cell>
          <cell r="CB603" t="str">
            <v>2 July 15: C1- TSSR submission (revised coordinates)</v>
          </cell>
          <cell r="CE603">
            <v>2</v>
          </cell>
          <cell r="CF603">
            <v>42196</v>
          </cell>
          <cell r="CG603">
            <v>42179</v>
          </cell>
          <cell r="CH603">
            <v>42198</v>
          </cell>
          <cell r="CJ603">
            <v>42185</v>
          </cell>
          <cell r="CK603" t="str">
            <v>45</v>
          </cell>
          <cell r="CL603" t="str">
            <v>47</v>
          </cell>
          <cell r="CM603" t="str">
            <v>45</v>
          </cell>
          <cell r="CN603">
            <v>8</v>
          </cell>
          <cell r="CO603">
            <v>42201</v>
          </cell>
          <cell r="CP603">
            <v>42187</v>
          </cell>
          <cell r="CQ603" t="str">
            <v>M4: solar + DG + battery</v>
          </cell>
          <cell r="CR603">
            <v>4</v>
          </cell>
          <cell r="CS603">
            <v>42202</v>
          </cell>
          <cell r="CT603">
            <v>42191</v>
          </cell>
          <cell r="CU603" t="str">
            <v>SG0567</v>
          </cell>
          <cell r="DH603">
            <v>-20</v>
          </cell>
          <cell r="DI603">
            <v>42212</v>
          </cell>
          <cell r="DJ603">
            <v>42171</v>
          </cell>
          <cell r="DK603">
            <v>42209</v>
          </cell>
          <cell r="DL603">
            <v>42168</v>
          </cell>
          <cell r="DM603">
            <v>42213</v>
          </cell>
          <cell r="DN603">
            <v>42201</v>
          </cell>
          <cell r="DO603">
            <v>0</v>
          </cell>
          <cell r="DP603">
            <v>42212</v>
          </cell>
          <cell r="DQ603">
            <v>42171</v>
          </cell>
          <cell r="DT603">
            <v>10</v>
          </cell>
          <cell r="DU603">
            <v>42227</v>
          </cell>
          <cell r="DV603">
            <v>42181</v>
          </cell>
          <cell r="DW603">
            <v>19</v>
          </cell>
          <cell r="DY603">
            <v>42213</v>
          </cell>
          <cell r="DZ603">
            <v>42200</v>
          </cell>
          <cell r="EA603" t="str">
            <v>Camusat</v>
          </cell>
          <cell r="EB603">
            <v>42219</v>
          </cell>
          <cell r="EE603" t="str">
            <v xml:space="preserve">10 Aug 15:Flood affected_Hold-No access; 3-Aug-15: Flooded access or site is flooded_ we canÆt proceed to this site								</v>
          </cell>
          <cell r="EJ603">
            <v>33</v>
          </cell>
          <cell r="EK603">
            <v>42230</v>
          </cell>
          <cell r="EM603">
            <v>42231</v>
          </cell>
          <cell r="EQ603">
            <v>42240</v>
          </cell>
          <cell r="EW603">
            <v>33</v>
          </cell>
          <cell r="EX603">
            <v>42254</v>
          </cell>
          <cell r="EZ603">
            <v>42250</v>
          </cell>
          <cell r="FB603">
            <v>42252</v>
          </cell>
          <cell r="FU603">
            <v>42254</v>
          </cell>
          <cell r="FW603">
            <v>42254</v>
          </cell>
          <cell r="GI603">
            <v>42307</v>
          </cell>
          <cell r="GJ603" t="str">
            <v>44-2015</v>
          </cell>
          <cell r="GN603" t="str">
            <v>ERICSSON</v>
          </cell>
          <cell r="GS603" t="str">
            <v>4/4/4</v>
          </cell>
          <cell r="GU603" t="str">
            <v xml:space="preserve">		</v>
          </cell>
          <cell r="HD603">
            <v>1</v>
          </cell>
        </row>
        <row r="604">
          <cell r="A604" t="str">
            <v>SG0568</v>
          </cell>
          <cell r="B604" t="str">
            <v>ANSG_0500</v>
          </cell>
          <cell r="C604" t="str">
            <v>Apollo</v>
          </cell>
          <cell r="D604" t="str">
            <v>Adriaan Coetsee</v>
          </cell>
          <cell r="F604" t="str">
            <v>Aung Thu Win</v>
          </cell>
          <cell r="G604" t="str">
            <v>Kyaw Zay Yar</v>
          </cell>
          <cell r="H604" t="str">
            <v>RED</v>
          </cell>
          <cell r="I604" t="str">
            <v>North</v>
          </cell>
          <cell r="J604" t="str">
            <v>95.2649</v>
          </cell>
          <cell r="K604" t="str">
            <v>21.6689</v>
          </cell>
          <cell r="L604" t="str">
            <v>Rural</v>
          </cell>
          <cell r="M604" t="str">
            <v>Sagaing</v>
          </cell>
          <cell r="N604" t="str">
            <v>Myaung</v>
          </cell>
          <cell r="O604" t="str">
            <v>Myaung</v>
          </cell>
          <cell r="P604" t="str">
            <v>Sagaing</v>
          </cell>
          <cell r="Q604" t="str">
            <v>11</v>
          </cell>
          <cell r="R604" t="str">
            <v>Myaung</v>
          </cell>
          <cell r="S604" t="str">
            <v>44</v>
          </cell>
          <cell r="T604" t="str">
            <v>GSM+UMTS</v>
          </cell>
          <cell r="W604" t="str">
            <v>Ph2-Priority</v>
          </cell>
          <cell r="X604" t="str">
            <v>45</v>
          </cell>
          <cell r="Y604" t="str">
            <v>47</v>
          </cell>
          <cell r="Z604" t="str">
            <v>GBT</v>
          </cell>
          <cell r="AA604" t="str">
            <v>500</v>
          </cell>
          <cell r="AB604" t="str">
            <v>Access</v>
          </cell>
          <cell r="AC604" t="str">
            <v>Class C</v>
          </cell>
          <cell r="BE604" t="str">
            <v>Yangon Ring 4</v>
          </cell>
          <cell r="BH604" t="str">
            <v>Camusat</v>
          </cell>
          <cell r="BJ604">
            <v>42165</v>
          </cell>
          <cell r="BK604">
            <v>42140</v>
          </cell>
          <cell r="BL604">
            <v>42170</v>
          </cell>
          <cell r="BM604">
            <v>42147</v>
          </cell>
          <cell r="BT604">
            <v>17</v>
          </cell>
          <cell r="BU604">
            <v>42195</v>
          </cell>
          <cell r="BV604">
            <v>42157</v>
          </cell>
          <cell r="BW604" t="str">
            <v>95.26543</v>
          </cell>
          <cell r="BX604" t="str">
            <v>21.66773</v>
          </cell>
          <cell r="BY604" t="str">
            <v>C1</v>
          </cell>
          <cell r="BZ604" t="str">
            <v>Salay Kone Village, Myaung Township, Sagaing Division.</v>
          </cell>
          <cell r="CA604" t="str">
            <v>U Kywe Maung;Sue Lae Kone Village, Myaung Township, Sagaing Division.;09 - 33243260</v>
          </cell>
          <cell r="CB604" t="str">
            <v>2Jun15: C1 SAR Sub.</v>
          </cell>
          <cell r="CC604" t="str">
            <v>Village</v>
          </cell>
          <cell r="CE604">
            <v>1</v>
          </cell>
          <cell r="CF604">
            <v>42196</v>
          </cell>
          <cell r="CG604">
            <v>42158</v>
          </cell>
          <cell r="CH604">
            <v>42198</v>
          </cell>
          <cell r="CJ604">
            <v>42168</v>
          </cell>
          <cell r="CK604" t="str">
            <v>46</v>
          </cell>
          <cell r="CL604" t="str">
            <v>47</v>
          </cell>
          <cell r="CM604" t="str">
            <v>50</v>
          </cell>
          <cell r="CN604">
            <v>12</v>
          </cell>
          <cell r="CO604">
            <v>42201</v>
          </cell>
          <cell r="CP604">
            <v>42170</v>
          </cell>
          <cell r="CQ604" t="str">
            <v>M4: solar + DG + battery</v>
          </cell>
          <cell r="CR604">
            <v>2</v>
          </cell>
          <cell r="CS604">
            <v>42202</v>
          </cell>
          <cell r="CT604">
            <v>42172</v>
          </cell>
          <cell r="CU604" t="str">
            <v>SG0568</v>
          </cell>
          <cell r="DH604">
            <v>61</v>
          </cell>
          <cell r="DI604">
            <v>42212</v>
          </cell>
          <cell r="DK604">
            <v>42209</v>
          </cell>
          <cell r="DL604">
            <v>42201</v>
          </cell>
          <cell r="DM604">
            <v>42213</v>
          </cell>
          <cell r="DO604">
            <v>0</v>
          </cell>
          <cell r="DP604">
            <v>42212</v>
          </cell>
          <cell r="DT604">
            <v>0</v>
          </cell>
          <cell r="DU604">
            <v>42227</v>
          </cell>
          <cell r="DW604">
            <v>0</v>
          </cell>
          <cell r="DY604">
            <v>42213</v>
          </cell>
          <cell r="EA604" t="str">
            <v>Camusat</v>
          </cell>
          <cell r="EJ604">
            <v>0</v>
          </cell>
          <cell r="EK604">
            <v>42230</v>
          </cell>
          <cell r="EM604">
            <v>42231</v>
          </cell>
          <cell r="EQ604">
            <v>42240</v>
          </cell>
          <cell r="EW604">
            <v>0</v>
          </cell>
          <cell r="EX604">
            <v>42254</v>
          </cell>
          <cell r="EZ604">
            <v>42250</v>
          </cell>
          <cell r="FB604">
            <v>42252</v>
          </cell>
          <cell r="FU604">
            <v>42254</v>
          </cell>
          <cell r="FW604">
            <v>42254</v>
          </cell>
          <cell r="GI604">
            <v>42246</v>
          </cell>
          <cell r="GJ604">
            <v>0</v>
          </cell>
          <cell r="GN604" t="str">
            <v>ERICSSON</v>
          </cell>
          <cell r="GU604" t="str">
            <v xml:space="preserve">		</v>
          </cell>
          <cell r="HD604">
            <v>1</v>
          </cell>
        </row>
        <row r="605">
          <cell r="A605" t="str">
            <v>SG0569</v>
          </cell>
          <cell r="B605" t="str">
            <v>ANSG_0501</v>
          </cell>
          <cell r="C605" t="str">
            <v>Apollo</v>
          </cell>
          <cell r="D605" t="str">
            <v>Adriaan Coetsee</v>
          </cell>
          <cell r="F605" t="str">
            <v>Aung Thu Win</v>
          </cell>
          <cell r="G605" t="str">
            <v>Kyaw Zay Yar</v>
          </cell>
          <cell r="H605" t="str">
            <v>RED</v>
          </cell>
          <cell r="I605" t="str">
            <v>North</v>
          </cell>
          <cell r="J605" t="str">
            <v>95.5286</v>
          </cell>
          <cell r="K605" t="str">
            <v>23.3167</v>
          </cell>
          <cell r="L605" t="str">
            <v>Rural</v>
          </cell>
          <cell r="M605" t="str">
            <v>Sagaing</v>
          </cell>
          <cell r="N605" t="str">
            <v>Kyunhla</v>
          </cell>
          <cell r="O605" t="str">
            <v>Kyunhla</v>
          </cell>
          <cell r="P605" t="str">
            <v>Sagaing</v>
          </cell>
          <cell r="Q605" t="str">
            <v>11</v>
          </cell>
          <cell r="R605" t="str">
            <v>Kyunhla</v>
          </cell>
          <cell r="S605" t="str">
            <v>49</v>
          </cell>
          <cell r="T605" t="str">
            <v>GSM+UMTS</v>
          </cell>
          <cell r="W605" t="str">
            <v>Ph2-Priority</v>
          </cell>
          <cell r="X605" t="str">
            <v>45</v>
          </cell>
          <cell r="Y605" t="str">
            <v>47</v>
          </cell>
          <cell r="Z605" t="str">
            <v>GBT</v>
          </cell>
          <cell r="AA605" t="str">
            <v>500</v>
          </cell>
          <cell r="AB605" t="str">
            <v>Access</v>
          </cell>
          <cell r="AC605" t="str">
            <v>Class C</v>
          </cell>
          <cell r="BH605" t="str">
            <v>Camusat</v>
          </cell>
          <cell r="BJ605">
            <v>42165</v>
          </cell>
          <cell r="BK605">
            <v>42130</v>
          </cell>
          <cell r="BL605">
            <v>42170</v>
          </cell>
          <cell r="BM605">
            <v>42156</v>
          </cell>
          <cell r="BT605">
            <v>36</v>
          </cell>
          <cell r="BU605">
            <v>42226</v>
          </cell>
          <cell r="BV605">
            <v>42166</v>
          </cell>
          <cell r="BW605" t="str">
            <v>95.52981</v>
          </cell>
          <cell r="BX605" t="str">
            <v>23.31563</v>
          </cell>
          <cell r="BY605" t="str">
            <v>C1</v>
          </cell>
          <cell r="BZ605" t="str">
            <v>Dawna Street, Pyin Ma Myaing Quarter, Kyun Hla, Sagaing Region</v>
          </cell>
          <cell r="CA605" t="str">
            <v>U Boe Htoo;Dawna Street, Pyin Ma Myaing Quarter, Kyun Hla, Sagaing Region;09-254862406</v>
          </cell>
          <cell r="CB605" t="str">
            <v>11Jun15: C1 SAR Sub</v>
          </cell>
          <cell r="CE605">
            <v>1</v>
          </cell>
          <cell r="CF605">
            <v>42227</v>
          </cell>
          <cell r="CG605">
            <v>42167</v>
          </cell>
          <cell r="CH605">
            <v>42229</v>
          </cell>
          <cell r="CJ605">
            <v>42179</v>
          </cell>
          <cell r="CK605" t="str">
            <v>47</v>
          </cell>
          <cell r="CL605" t="str">
            <v>50</v>
          </cell>
          <cell r="CM605" t="str">
            <v>50</v>
          </cell>
          <cell r="CN605">
            <v>14</v>
          </cell>
          <cell r="CO605">
            <v>42232</v>
          </cell>
          <cell r="CP605">
            <v>42181</v>
          </cell>
          <cell r="CQ605" t="str">
            <v>M1: grid power + battery</v>
          </cell>
          <cell r="CR605">
            <v>4</v>
          </cell>
          <cell r="CS605">
            <v>42233</v>
          </cell>
          <cell r="CT605">
            <v>42185</v>
          </cell>
          <cell r="CU605" t="str">
            <v>SG0569</v>
          </cell>
          <cell r="DH605">
            <v>32</v>
          </cell>
          <cell r="DI605">
            <v>42243</v>
          </cell>
          <cell r="DJ605">
            <v>42217</v>
          </cell>
          <cell r="DK605">
            <v>42240</v>
          </cell>
          <cell r="DL605">
            <v>42179</v>
          </cell>
          <cell r="DM605">
            <v>42244</v>
          </cell>
          <cell r="DN605">
            <v>42201</v>
          </cell>
          <cell r="DO605">
            <v>0</v>
          </cell>
          <cell r="DP605">
            <v>42243</v>
          </cell>
          <cell r="DQ605">
            <v>42217</v>
          </cell>
          <cell r="DT605">
            <v>16</v>
          </cell>
          <cell r="DU605">
            <v>42258</v>
          </cell>
          <cell r="DV605">
            <v>42181</v>
          </cell>
          <cell r="DW605">
            <v>0</v>
          </cell>
          <cell r="DY605">
            <v>42244</v>
          </cell>
          <cell r="DZ605">
            <v>42200</v>
          </cell>
          <cell r="EA605" t="str">
            <v>Camusat</v>
          </cell>
          <cell r="EB605">
            <v>42217</v>
          </cell>
          <cell r="EE605" t="str">
            <v xml:space="preserve">10 Aug 15:Flood affected_Hold-No access; 1-Aug-15: Site cancelled from SKOM &amp; CW, due to Flooded access. SG Area is affected by Flood.								</v>
          </cell>
          <cell r="EJ605">
            <v>0</v>
          </cell>
          <cell r="EK605">
            <v>42261</v>
          </cell>
          <cell r="EM605">
            <v>42262</v>
          </cell>
          <cell r="EQ605">
            <v>42271</v>
          </cell>
          <cell r="EW605">
            <v>0</v>
          </cell>
          <cell r="EX605">
            <v>42285</v>
          </cell>
          <cell r="EZ605">
            <v>42281</v>
          </cell>
          <cell r="FB605">
            <v>42283</v>
          </cell>
          <cell r="FU605">
            <v>42285</v>
          </cell>
          <cell r="FW605">
            <v>42285</v>
          </cell>
          <cell r="GJ605">
            <v>0</v>
          </cell>
          <cell r="GN605" t="str">
            <v>ERICSSON</v>
          </cell>
          <cell r="HD605">
            <v>1</v>
          </cell>
        </row>
        <row r="606">
          <cell r="A606" t="str">
            <v>SG0570</v>
          </cell>
          <cell r="B606" t="str">
            <v>ANSG_0502</v>
          </cell>
          <cell r="C606" t="str">
            <v>Apollo</v>
          </cell>
          <cell r="D606" t="str">
            <v>Adriaan Coetsee</v>
          </cell>
          <cell r="F606" t="str">
            <v>Aung Thu Win</v>
          </cell>
          <cell r="G606" t="str">
            <v>Kyaw Zay Yar</v>
          </cell>
          <cell r="H606" t="str">
            <v>RED</v>
          </cell>
          <cell r="I606" t="str">
            <v>North</v>
          </cell>
          <cell r="J606" t="str">
            <v>95.6912</v>
          </cell>
          <cell r="K606" t="str">
            <v>22.8524</v>
          </cell>
          <cell r="L606" t="str">
            <v>Rural</v>
          </cell>
          <cell r="M606" t="str">
            <v>Sagaing</v>
          </cell>
          <cell r="N606" t="str">
            <v>Khin-U</v>
          </cell>
          <cell r="O606" t="str">
            <v>Khin-U</v>
          </cell>
          <cell r="P606" t="str">
            <v>Sagaing</v>
          </cell>
          <cell r="Q606" t="str">
            <v>11</v>
          </cell>
          <cell r="R606" t="str">
            <v>Khin-U</v>
          </cell>
          <cell r="S606" t="str">
            <v>46</v>
          </cell>
          <cell r="T606" t="str">
            <v>GSM+UMTS</v>
          </cell>
          <cell r="W606" t="str">
            <v>Ph2-Priority</v>
          </cell>
          <cell r="X606" t="str">
            <v>45</v>
          </cell>
          <cell r="Y606" t="str">
            <v>47</v>
          </cell>
          <cell r="Z606" t="str">
            <v>GBT</v>
          </cell>
          <cell r="AA606" t="str">
            <v>500</v>
          </cell>
          <cell r="AB606" t="str">
            <v>Access</v>
          </cell>
          <cell r="AC606" t="str">
            <v>Class C</v>
          </cell>
          <cell r="BE606" t="str">
            <v>Route 15 Taunggyi - Tachileik</v>
          </cell>
          <cell r="BH606" t="str">
            <v>Camusat</v>
          </cell>
          <cell r="BJ606">
            <v>42167</v>
          </cell>
          <cell r="BK606">
            <v>42158</v>
          </cell>
          <cell r="BL606">
            <v>42172</v>
          </cell>
          <cell r="BM606">
            <v>42166</v>
          </cell>
          <cell r="BT606">
            <v>18</v>
          </cell>
          <cell r="BU606">
            <v>42199</v>
          </cell>
          <cell r="BV606">
            <v>42176</v>
          </cell>
          <cell r="BW606" t="str">
            <v>95.68575</v>
          </cell>
          <cell r="BX606" t="str">
            <v>22.85039</v>
          </cell>
          <cell r="BY606" t="str">
            <v>C1</v>
          </cell>
          <cell r="BZ606" t="str">
            <v>No(1), Alalsho Village, Khin Oo Township, Sagaing District</v>
          </cell>
          <cell r="CA606" t="str">
            <v>U Nyo San</v>
          </cell>
          <cell r="CB606" t="str">
            <v>21Jun15: C1 SAR Sub</v>
          </cell>
          <cell r="CC606" t="str">
            <v>village</v>
          </cell>
          <cell r="CE606">
            <v>1</v>
          </cell>
          <cell r="CF606">
            <v>42200</v>
          </cell>
          <cell r="CG606">
            <v>42177</v>
          </cell>
          <cell r="CH606">
            <v>42202</v>
          </cell>
          <cell r="CJ606">
            <v>42193</v>
          </cell>
          <cell r="CK606" t="str">
            <v>45</v>
          </cell>
          <cell r="CL606" t="str">
            <v>47</v>
          </cell>
          <cell r="CM606" t="str">
            <v>50</v>
          </cell>
          <cell r="CN606">
            <v>18</v>
          </cell>
          <cell r="CO606">
            <v>42205</v>
          </cell>
          <cell r="CP606">
            <v>42195</v>
          </cell>
          <cell r="CQ606" t="str">
            <v>M1: grid power + battery</v>
          </cell>
          <cell r="CR606">
            <v>3</v>
          </cell>
          <cell r="CS606">
            <v>42206</v>
          </cell>
          <cell r="CT606">
            <v>42198</v>
          </cell>
          <cell r="CU606" t="str">
            <v>SG0570</v>
          </cell>
          <cell r="DH606">
            <v>35</v>
          </cell>
          <cell r="DI606">
            <v>42216</v>
          </cell>
          <cell r="DK606">
            <v>42213</v>
          </cell>
          <cell r="DL606">
            <v>42198</v>
          </cell>
          <cell r="DM606">
            <v>42217</v>
          </cell>
          <cell r="DN606">
            <v>42198</v>
          </cell>
          <cell r="DO606">
            <v>0</v>
          </cell>
          <cell r="DP606">
            <v>42216</v>
          </cell>
          <cell r="DT606">
            <v>0</v>
          </cell>
          <cell r="DU606">
            <v>42231</v>
          </cell>
          <cell r="DW606">
            <v>0</v>
          </cell>
          <cell r="DY606">
            <v>42217</v>
          </cell>
          <cell r="DZ606">
            <v>42237</v>
          </cell>
          <cell r="EA606" t="str">
            <v>Camusat</v>
          </cell>
          <cell r="EJ606">
            <v>0</v>
          </cell>
          <cell r="EK606">
            <v>42234</v>
          </cell>
          <cell r="EM606">
            <v>42235</v>
          </cell>
          <cell r="EQ606">
            <v>42244</v>
          </cell>
          <cell r="EW606">
            <v>0</v>
          </cell>
          <cell r="EX606">
            <v>42254</v>
          </cell>
          <cell r="EZ606">
            <v>42254</v>
          </cell>
          <cell r="FB606">
            <v>42256</v>
          </cell>
          <cell r="FU606">
            <v>42258</v>
          </cell>
          <cell r="FW606">
            <v>42258</v>
          </cell>
          <cell r="GF606">
            <v>42134</v>
          </cell>
          <cell r="GI606">
            <v>42215</v>
          </cell>
          <cell r="GJ606">
            <v>0</v>
          </cell>
          <cell r="GN606" t="str">
            <v>ERICSSON</v>
          </cell>
          <cell r="HD606">
            <v>1</v>
          </cell>
        </row>
        <row r="607">
          <cell r="A607" t="str">
            <v>SG0571</v>
          </cell>
          <cell r="B607" t="str">
            <v>ANSG_0503</v>
          </cell>
          <cell r="C607" t="str">
            <v>Apollo</v>
          </cell>
          <cell r="D607" t="str">
            <v>Adriaan Coetsee</v>
          </cell>
          <cell r="F607" t="str">
            <v>Aung Thu Win</v>
          </cell>
          <cell r="G607" t="str">
            <v>Kyaw Zay Yar</v>
          </cell>
          <cell r="H607" t="str">
            <v>AMBER</v>
          </cell>
          <cell r="I607" t="str">
            <v>North</v>
          </cell>
          <cell r="J607" t="str">
            <v>95.2164</v>
          </cell>
          <cell r="K607" t="str">
            <v>21.8052</v>
          </cell>
          <cell r="L607" t="str">
            <v>Rural</v>
          </cell>
          <cell r="M607" t="str">
            <v>Sagaing</v>
          </cell>
          <cell r="N607" t="str">
            <v>Myaung</v>
          </cell>
          <cell r="O607" t="str">
            <v>Myaung</v>
          </cell>
          <cell r="P607" t="str">
            <v>Sagaing</v>
          </cell>
          <cell r="Q607" t="str">
            <v>11</v>
          </cell>
          <cell r="R607" t="str">
            <v>Myaung</v>
          </cell>
          <cell r="S607" t="str">
            <v>44</v>
          </cell>
          <cell r="T607" t="str">
            <v>GSM+UMTS</v>
          </cell>
          <cell r="W607" t="str">
            <v>Ph2-Priority</v>
          </cell>
          <cell r="X607" t="str">
            <v>45</v>
          </cell>
          <cell r="Y607" t="str">
            <v>47</v>
          </cell>
          <cell r="Z607" t="str">
            <v>GBT</v>
          </cell>
          <cell r="AA607" t="str">
            <v>500</v>
          </cell>
          <cell r="AB607" t="str">
            <v>Access</v>
          </cell>
          <cell r="AC607" t="str">
            <v>Class C</v>
          </cell>
          <cell r="BE607" t="str">
            <v>Route 15 Taunggyi - Tachileik</v>
          </cell>
          <cell r="BH607" t="str">
            <v>Camusat</v>
          </cell>
          <cell r="BJ607">
            <v>42165</v>
          </cell>
          <cell r="BK607">
            <v>42175</v>
          </cell>
          <cell r="BL607">
            <v>42170</v>
          </cell>
          <cell r="BT607">
            <v>10</v>
          </cell>
          <cell r="BU607">
            <v>42199</v>
          </cell>
          <cell r="BV607">
            <v>42185</v>
          </cell>
          <cell r="BW607" t="str">
            <v>95.21622</v>
          </cell>
          <cell r="BX607" t="str">
            <v>21.80569</v>
          </cell>
          <cell r="BY607" t="str">
            <v>C1</v>
          </cell>
          <cell r="BZ607" t="str">
            <v>Myaung Township, Ma Kyi Bote Village .</v>
          </cell>
          <cell r="CA607" t="str">
            <v>Daw Nyut May</v>
          </cell>
          <cell r="CC607" t="str">
            <v>Village</v>
          </cell>
          <cell r="CE607">
            <v>1</v>
          </cell>
          <cell r="CF607">
            <v>42200</v>
          </cell>
          <cell r="CG607">
            <v>42186</v>
          </cell>
          <cell r="CH607">
            <v>42202</v>
          </cell>
          <cell r="CJ607">
            <v>42196</v>
          </cell>
          <cell r="CK607" t="str">
            <v>45</v>
          </cell>
          <cell r="CL607" t="str">
            <v>47</v>
          </cell>
          <cell r="CM607" t="str">
            <v>50</v>
          </cell>
          <cell r="CN607">
            <v>12</v>
          </cell>
          <cell r="CO607">
            <v>42205</v>
          </cell>
          <cell r="CP607">
            <v>42198</v>
          </cell>
          <cell r="CQ607" t="str">
            <v>M1: grid power + battery</v>
          </cell>
          <cell r="CR607">
            <v>1</v>
          </cell>
          <cell r="CS607">
            <v>42206</v>
          </cell>
          <cell r="CT607">
            <v>42199</v>
          </cell>
          <cell r="CU607" t="str">
            <v>SG0571</v>
          </cell>
          <cell r="DH607">
            <v>34</v>
          </cell>
          <cell r="DI607">
            <v>42216</v>
          </cell>
          <cell r="DK607">
            <v>42213</v>
          </cell>
          <cell r="DL607">
            <v>42242</v>
          </cell>
          <cell r="DM607">
            <v>42217</v>
          </cell>
          <cell r="DO607">
            <v>0</v>
          </cell>
          <cell r="DP607">
            <v>42216</v>
          </cell>
          <cell r="DT607">
            <v>0</v>
          </cell>
          <cell r="DU607">
            <v>42231</v>
          </cell>
          <cell r="DW607">
            <v>0</v>
          </cell>
          <cell r="DY607">
            <v>42217</v>
          </cell>
          <cell r="DZ607">
            <v>42229</v>
          </cell>
          <cell r="EA607" t="str">
            <v>Camusat</v>
          </cell>
          <cell r="ED607" t="str">
            <v>01Sep15 :KyawZay.Yar: Rebar for column done.
25Aug15 :KyawZay.Yar: Excavation done.Pouring lean concrete done.</v>
          </cell>
          <cell r="EJ607">
            <v>4</v>
          </cell>
          <cell r="EK607">
            <v>42234</v>
          </cell>
          <cell r="EM607">
            <v>42235</v>
          </cell>
          <cell r="EQ607">
            <v>42244</v>
          </cell>
          <cell r="EW607">
            <v>4</v>
          </cell>
          <cell r="EX607">
            <v>42254</v>
          </cell>
          <cell r="EZ607">
            <v>42254</v>
          </cell>
          <cell r="FB607">
            <v>42256</v>
          </cell>
          <cell r="FU607">
            <v>42258</v>
          </cell>
          <cell r="FW607">
            <v>42258</v>
          </cell>
          <cell r="GI607">
            <v>42215</v>
          </cell>
          <cell r="GJ607">
            <v>0</v>
          </cell>
          <cell r="GN607" t="str">
            <v>ERICSSON</v>
          </cell>
          <cell r="HD607">
            <v>1</v>
          </cell>
        </row>
        <row r="608">
          <cell r="A608" t="str">
            <v>SH0023</v>
          </cell>
          <cell r="B608" t="str">
            <v>ANSH_0003</v>
          </cell>
          <cell r="C608" t="str">
            <v>Apollo</v>
          </cell>
          <cell r="D608" t="str">
            <v>Chris Thomson</v>
          </cell>
          <cell r="F608" t="str">
            <v>Mya Kyauk</v>
          </cell>
          <cell r="G608" t="str">
            <v>Thandar Htoo</v>
          </cell>
          <cell r="H608" t="str">
            <v>RED</v>
          </cell>
          <cell r="I608" t="str">
            <v>North</v>
          </cell>
          <cell r="J608" t="str">
            <v>99.89246393</v>
          </cell>
          <cell r="K608" t="str">
            <v>20.46439432</v>
          </cell>
          <cell r="L608" t="str">
            <v>Suburban</v>
          </cell>
          <cell r="M608" t="str">
            <v>Shan East</v>
          </cell>
          <cell r="N608" t="str">
            <v>Tachileik</v>
          </cell>
          <cell r="O608" t="str">
            <v>Tachileik</v>
          </cell>
          <cell r="P608" t="str">
            <v>Shan East</v>
          </cell>
          <cell r="Q608" t="str">
            <v>4</v>
          </cell>
          <cell r="R608" t="str">
            <v>Tachileik</v>
          </cell>
          <cell r="S608" t="str">
            <v>294</v>
          </cell>
          <cell r="T608" t="str">
            <v>GSM+UMTS</v>
          </cell>
          <cell r="W608" t="str">
            <v>Ph2-Priority</v>
          </cell>
          <cell r="X608" t="str">
            <v>35</v>
          </cell>
          <cell r="Y608" t="str">
            <v>37</v>
          </cell>
          <cell r="Z608" t="str">
            <v>GBT</v>
          </cell>
          <cell r="AA608" t="str">
            <v>250</v>
          </cell>
          <cell r="AB608" t="str">
            <v>Access</v>
          </cell>
          <cell r="AC608" t="str">
            <v>Class B</v>
          </cell>
          <cell r="BE608" t="str">
            <v>Route 15 Taunggyi - Tachileik</v>
          </cell>
          <cell r="BH608" t="str">
            <v>Camusat</v>
          </cell>
          <cell r="BJ608">
            <v>42172</v>
          </cell>
          <cell r="BK608">
            <v>42146</v>
          </cell>
          <cell r="BL608">
            <v>42177</v>
          </cell>
          <cell r="BM608">
            <v>42153</v>
          </cell>
          <cell r="BT608">
            <v>17</v>
          </cell>
          <cell r="BU608">
            <v>42259</v>
          </cell>
          <cell r="BV608">
            <v>42208</v>
          </cell>
          <cell r="BW608" t="str">
            <v>99.893656</v>
          </cell>
          <cell r="BX608" t="str">
            <v>20.466869</v>
          </cell>
          <cell r="BY608" t="str">
            <v>C1</v>
          </cell>
          <cell r="BZ608" t="str">
            <v>U Ba Win</v>
          </cell>
          <cell r="CA608" t="str">
            <v>Residential</v>
          </cell>
          <cell r="CB608" t="str">
            <v>8Jun15: C1 SAR Sub.</v>
          </cell>
          <cell r="CC608" t="str">
            <v>Residential</v>
          </cell>
          <cell r="CE608">
            <v>4</v>
          </cell>
          <cell r="CF608">
            <v>42260</v>
          </cell>
          <cell r="CG608">
            <v>42212</v>
          </cell>
          <cell r="CH608">
            <v>42262</v>
          </cell>
          <cell r="CJ608">
            <v>42226</v>
          </cell>
          <cell r="CK608" t="str">
            <v>35</v>
          </cell>
          <cell r="CL608" t="str">
            <v>37</v>
          </cell>
          <cell r="CM608" t="str">
            <v>40</v>
          </cell>
          <cell r="CN608">
            <v>16</v>
          </cell>
          <cell r="CO608">
            <v>42265</v>
          </cell>
          <cell r="CP608">
            <v>42228</v>
          </cell>
          <cell r="CQ608" t="str">
            <v>M1: grid power + battery</v>
          </cell>
          <cell r="CR608">
            <v>5</v>
          </cell>
          <cell r="CS608">
            <v>42266</v>
          </cell>
          <cell r="CT608">
            <v>42233</v>
          </cell>
          <cell r="CU608" t="str">
            <v>SH0023</v>
          </cell>
          <cell r="DH608">
            <v>0</v>
          </cell>
          <cell r="DI608">
            <v>42276</v>
          </cell>
          <cell r="DK608">
            <v>42273</v>
          </cell>
          <cell r="DL608">
            <v>42201</v>
          </cell>
          <cell r="DM608">
            <v>42277</v>
          </cell>
          <cell r="DN608">
            <v>42201</v>
          </cell>
          <cell r="DO608">
            <v>0</v>
          </cell>
          <cell r="DP608">
            <v>42276</v>
          </cell>
          <cell r="DT608">
            <v>0</v>
          </cell>
          <cell r="DU608">
            <v>42291</v>
          </cell>
          <cell r="DW608">
            <v>0</v>
          </cell>
          <cell r="DY608">
            <v>42277</v>
          </cell>
          <cell r="DZ608">
            <v>42207</v>
          </cell>
          <cell r="EA608" t="str">
            <v>Camusat</v>
          </cell>
          <cell r="EB608">
            <v>42224</v>
          </cell>
          <cell r="EE608" t="str">
            <v xml:space="preserve">10 Aug 15:Flood affected_Hold-No access; 8-Aug-15: Neighbor complaints on this site,NOC issue{We have another site with work stoppage order from TS administrator, BP is complete with 105/106 just waiting for the NPD Council letter of approval so I can forward to NCDC. This has been dragging our progress.}								</v>
          </cell>
          <cell r="EJ608">
            <v>0</v>
          </cell>
          <cell r="EK608">
            <v>42292</v>
          </cell>
          <cell r="EM608">
            <v>42293</v>
          </cell>
          <cell r="EQ608">
            <v>42300</v>
          </cell>
          <cell r="EW608">
            <v>0</v>
          </cell>
          <cell r="EX608">
            <v>42314</v>
          </cell>
          <cell r="EZ608">
            <v>42310</v>
          </cell>
          <cell r="FB608">
            <v>42312</v>
          </cell>
          <cell r="FU608">
            <v>42314</v>
          </cell>
          <cell r="FW608">
            <v>42314</v>
          </cell>
          <cell r="GF608">
            <v>42134</v>
          </cell>
          <cell r="GI608">
            <v>42215</v>
          </cell>
          <cell r="GJ608">
            <v>0</v>
          </cell>
          <cell r="GN608" t="str">
            <v>ERICSSON</v>
          </cell>
          <cell r="HD608">
            <v>1</v>
          </cell>
        </row>
        <row r="609">
          <cell r="A609" t="str">
            <v>SH0033</v>
          </cell>
          <cell r="B609" t="str">
            <v>ANSH_0004</v>
          </cell>
          <cell r="C609" t="str">
            <v>Apollo</v>
          </cell>
          <cell r="D609" t="str">
            <v>Chris Thomson</v>
          </cell>
          <cell r="F609" t="str">
            <v>Mya Kyauk</v>
          </cell>
          <cell r="G609" t="str">
            <v>Thandar Htoo</v>
          </cell>
          <cell r="H609" t="str">
            <v>RED</v>
          </cell>
          <cell r="I609" t="str">
            <v>North</v>
          </cell>
          <cell r="J609" t="str">
            <v>99.614001</v>
          </cell>
          <cell r="K609" t="str">
            <v>21.26428</v>
          </cell>
          <cell r="L609" t="str">
            <v>Suburban</v>
          </cell>
          <cell r="M609" t="str">
            <v>Shan East</v>
          </cell>
          <cell r="N609" t="str">
            <v>Kengtung</v>
          </cell>
          <cell r="O609" t="str">
            <v>Kengtung</v>
          </cell>
          <cell r="P609" t="str">
            <v>Shan East</v>
          </cell>
          <cell r="Q609" t="str">
            <v>4</v>
          </cell>
          <cell r="R609" t="str">
            <v>Kengtung</v>
          </cell>
          <cell r="S609" t="str">
            <v>287</v>
          </cell>
          <cell r="T609" t="str">
            <v>GSM+UMTS</v>
          </cell>
          <cell r="W609" t="str">
            <v>Ph2-Priority</v>
          </cell>
          <cell r="X609" t="str">
            <v>35</v>
          </cell>
          <cell r="Y609" t="str">
            <v>37</v>
          </cell>
          <cell r="Z609" t="str">
            <v>GBT</v>
          </cell>
          <cell r="AA609" t="str">
            <v>250</v>
          </cell>
          <cell r="AB609" t="str">
            <v>Access</v>
          </cell>
          <cell r="AC609" t="str">
            <v>Class B</v>
          </cell>
          <cell r="BE609" t="str">
            <v>Route 15 Taunggyi - Tachileik</v>
          </cell>
          <cell r="BH609" t="str">
            <v>Camusat</v>
          </cell>
          <cell r="BJ609">
            <v>42173</v>
          </cell>
          <cell r="BK609">
            <v>42167</v>
          </cell>
          <cell r="BL609">
            <v>42178</v>
          </cell>
          <cell r="BM609">
            <v>42174</v>
          </cell>
          <cell r="BT609">
            <v>66</v>
          </cell>
          <cell r="BU609">
            <v>42259</v>
          </cell>
          <cell r="BV609">
            <v>42208</v>
          </cell>
          <cell r="BW609" t="str">
            <v>99.612655</v>
          </cell>
          <cell r="BX609" t="str">
            <v>21.264204</v>
          </cell>
          <cell r="BY609" t="str">
            <v>C1</v>
          </cell>
          <cell r="BZ609" t="str">
            <v>Hui Khar Village,Mine Zin Group,Kengtong, Eastern Shan State</v>
          </cell>
          <cell r="CA609" t="str">
            <v>U Jone Sin</v>
          </cell>
          <cell r="CC609" t="str">
            <v>Residential</v>
          </cell>
          <cell r="CE609">
            <v>4</v>
          </cell>
          <cell r="CF609">
            <v>42260</v>
          </cell>
          <cell r="CG609">
            <v>42212</v>
          </cell>
          <cell r="CH609">
            <v>42262</v>
          </cell>
          <cell r="CJ609">
            <v>42227</v>
          </cell>
          <cell r="CK609" t="str">
            <v>35</v>
          </cell>
          <cell r="CL609" t="str">
            <v>37</v>
          </cell>
          <cell r="CM609" t="str">
            <v>40</v>
          </cell>
          <cell r="CN609">
            <v>17</v>
          </cell>
          <cell r="CO609">
            <v>42265</v>
          </cell>
          <cell r="CP609">
            <v>42229</v>
          </cell>
          <cell r="CQ609" t="str">
            <v>M1: grid power + battery</v>
          </cell>
          <cell r="CR609">
            <v>4</v>
          </cell>
          <cell r="CS609">
            <v>42266</v>
          </cell>
          <cell r="CT609">
            <v>42233</v>
          </cell>
          <cell r="CU609" t="str">
            <v>SH0033</v>
          </cell>
          <cell r="DH609">
            <v>0</v>
          </cell>
          <cell r="DI609">
            <v>42276</v>
          </cell>
          <cell r="DK609">
            <v>42273</v>
          </cell>
          <cell r="DM609">
            <v>42277</v>
          </cell>
          <cell r="DO609">
            <v>0</v>
          </cell>
          <cell r="DP609">
            <v>42276</v>
          </cell>
          <cell r="DT609">
            <v>0</v>
          </cell>
          <cell r="DU609">
            <v>42291</v>
          </cell>
          <cell r="DW609">
            <v>0</v>
          </cell>
          <cell r="DY609">
            <v>42277</v>
          </cell>
          <cell r="EA609" t="str">
            <v>Camusat</v>
          </cell>
          <cell r="EJ609">
            <v>0</v>
          </cell>
          <cell r="EK609">
            <v>42292</v>
          </cell>
          <cell r="EM609">
            <v>42293</v>
          </cell>
          <cell r="EQ609">
            <v>42300</v>
          </cell>
          <cell r="EW609">
            <v>0</v>
          </cell>
          <cell r="EX609">
            <v>42314</v>
          </cell>
          <cell r="EZ609">
            <v>42310</v>
          </cell>
          <cell r="FB609">
            <v>42312</v>
          </cell>
          <cell r="FU609">
            <v>42314</v>
          </cell>
          <cell r="FW609">
            <v>42314</v>
          </cell>
          <cell r="FY609" t="str">
            <v>ABC</v>
          </cell>
          <cell r="GI609">
            <v>42246</v>
          </cell>
          <cell r="GJ609">
            <v>0</v>
          </cell>
          <cell r="GN609" t="str">
            <v>ERICSSON</v>
          </cell>
          <cell r="HD609">
            <v>1</v>
          </cell>
        </row>
        <row r="610">
          <cell r="A610" t="str">
            <v>SH0049</v>
          </cell>
          <cell r="B610" t="str">
            <v>ANSH_0005</v>
          </cell>
          <cell r="C610" t="str">
            <v>Apollo</v>
          </cell>
          <cell r="D610" t="str">
            <v>Chris Thomson</v>
          </cell>
          <cell r="F610" t="str">
            <v>Mya Kyauk</v>
          </cell>
          <cell r="G610" t="str">
            <v>Thandar Htoo</v>
          </cell>
          <cell r="H610" t="str">
            <v>RED</v>
          </cell>
          <cell r="I610" t="str">
            <v>North</v>
          </cell>
          <cell r="J610" t="str">
            <v>99.90442001</v>
          </cell>
          <cell r="K610" t="str">
            <v>20.45689923</v>
          </cell>
          <cell r="L610" t="str">
            <v>Suburban</v>
          </cell>
          <cell r="M610" t="str">
            <v>Shan East</v>
          </cell>
          <cell r="N610" t="str">
            <v>Tachileik</v>
          </cell>
          <cell r="O610" t="str">
            <v>Tachileik</v>
          </cell>
          <cell r="P610" t="str">
            <v>Shan East</v>
          </cell>
          <cell r="Q610" t="str">
            <v>4</v>
          </cell>
          <cell r="R610" t="str">
            <v>Tachileik</v>
          </cell>
          <cell r="S610" t="str">
            <v>294</v>
          </cell>
          <cell r="T610" t="str">
            <v>GSM+UMTS</v>
          </cell>
          <cell r="W610" t="str">
            <v>Ph2-Priority</v>
          </cell>
          <cell r="X610" t="str">
            <v>35</v>
          </cell>
          <cell r="Y610" t="str">
            <v>37</v>
          </cell>
          <cell r="Z610" t="str">
            <v>GBT</v>
          </cell>
          <cell r="AA610" t="str">
            <v>100</v>
          </cell>
          <cell r="AB610" t="str">
            <v>Access</v>
          </cell>
          <cell r="AC610" t="str">
            <v>Class B</v>
          </cell>
          <cell r="BE610" t="str">
            <v>Route 15 Taunggyi - Tachileik</v>
          </cell>
          <cell r="BH610" t="str">
            <v>Camusat</v>
          </cell>
          <cell r="BJ610">
            <v>42173</v>
          </cell>
          <cell r="BK610">
            <v>42169</v>
          </cell>
          <cell r="BL610">
            <v>42178</v>
          </cell>
          <cell r="BT610">
            <v>64</v>
          </cell>
          <cell r="BU610">
            <v>42259</v>
          </cell>
          <cell r="BV610">
            <v>42208</v>
          </cell>
          <cell r="BW610" t="str">
            <v>99.904417</v>
          </cell>
          <cell r="BX610" t="str">
            <v>20.45657</v>
          </cell>
          <cell r="BY610" t="str">
            <v>C1</v>
          </cell>
          <cell r="BZ610" t="str">
            <v>Mel Khaung Quarter,Mel Khaung Group,Tachilate Township, Eastern Shan State</v>
          </cell>
          <cell r="CA610" t="str">
            <v>U MAN SHWE THAN</v>
          </cell>
          <cell r="CB610" t="str">
            <v>04 Aug 15 : C1 SAR rejected( RND rejected because this site is 3.64km far from the nominal point and then the candidate (22.02879,95.09303) is close to SG0451 which is already approved TSSR. We would like to request  Tower co to search new candidate between 90 degree and 110 degree from nominal point); 30 July 15 : C1 SAR +justification sub</v>
          </cell>
          <cell r="CC610" t="str">
            <v>Residential</v>
          </cell>
          <cell r="CE610">
            <v>1</v>
          </cell>
          <cell r="CF610">
            <v>42260</v>
          </cell>
          <cell r="CG610">
            <v>42209</v>
          </cell>
          <cell r="CH610">
            <v>42262</v>
          </cell>
          <cell r="CJ610">
            <v>42230</v>
          </cell>
          <cell r="CK610" t="str">
            <v>35</v>
          </cell>
          <cell r="CL610" t="str">
            <v>37</v>
          </cell>
          <cell r="CM610" t="str">
            <v>40</v>
          </cell>
          <cell r="CN610">
            <v>23</v>
          </cell>
          <cell r="CO610">
            <v>42265</v>
          </cell>
          <cell r="CP610">
            <v>42232</v>
          </cell>
          <cell r="CQ610" t="str">
            <v>M1: grid power + battery</v>
          </cell>
          <cell r="CR610">
            <v>1</v>
          </cell>
          <cell r="CS610">
            <v>42266</v>
          </cell>
          <cell r="CT610">
            <v>42234</v>
          </cell>
          <cell r="CU610" t="str">
            <v>SH0049</v>
          </cell>
          <cell r="DH610">
            <v>0</v>
          </cell>
          <cell r="DI610">
            <v>42276</v>
          </cell>
          <cell r="DK610">
            <v>42273</v>
          </cell>
          <cell r="DM610">
            <v>42277</v>
          </cell>
          <cell r="DO610">
            <v>0</v>
          </cell>
          <cell r="DP610">
            <v>42276</v>
          </cell>
          <cell r="DT610">
            <v>0</v>
          </cell>
          <cell r="DU610">
            <v>42291</v>
          </cell>
          <cell r="DW610">
            <v>0</v>
          </cell>
          <cell r="DY610">
            <v>42277</v>
          </cell>
          <cell r="EA610" t="str">
            <v>Camusat</v>
          </cell>
          <cell r="EJ610">
            <v>0</v>
          </cell>
          <cell r="EK610">
            <v>42292</v>
          </cell>
          <cell r="EM610">
            <v>42293</v>
          </cell>
          <cell r="EQ610">
            <v>42300</v>
          </cell>
          <cell r="EW610">
            <v>0</v>
          </cell>
          <cell r="EX610">
            <v>42314</v>
          </cell>
          <cell r="EZ610">
            <v>42310</v>
          </cell>
          <cell r="FB610">
            <v>42312</v>
          </cell>
          <cell r="FU610">
            <v>42314</v>
          </cell>
          <cell r="FW610">
            <v>42314</v>
          </cell>
          <cell r="GI610">
            <v>42159</v>
          </cell>
          <cell r="GJ610">
            <v>0</v>
          </cell>
          <cell r="GN610" t="str">
            <v>ERICSSON</v>
          </cell>
          <cell r="HD610">
            <v>1</v>
          </cell>
        </row>
        <row r="611">
          <cell r="A611" t="str">
            <v>SH0051</v>
          </cell>
          <cell r="B611" t="str">
            <v>ANSH_0006</v>
          </cell>
          <cell r="C611" t="str">
            <v>Apollo</v>
          </cell>
          <cell r="D611" t="str">
            <v>Chris Thomson</v>
          </cell>
          <cell r="F611" t="str">
            <v>Mya Kyauk</v>
          </cell>
          <cell r="G611" t="str">
            <v>Thandar Htoo</v>
          </cell>
          <cell r="H611" t="str">
            <v>RED</v>
          </cell>
          <cell r="I611" t="str">
            <v>North</v>
          </cell>
          <cell r="J611" t="str">
            <v>99.9349696</v>
          </cell>
          <cell r="K611" t="str">
            <v>20.47492382</v>
          </cell>
          <cell r="L611" t="str">
            <v>Suburban</v>
          </cell>
          <cell r="M611" t="str">
            <v>Shan East</v>
          </cell>
          <cell r="N611" t="str">
            <v>Tachileik</v>
          </cell>
          <cell r="O611" t="str">
            <v>Tachileik</v>
          </cell>
          <cell r="P611" t="str">
            <v>Shan East</v>
          </cell>
          <cell r="Q611" t="str">
            <v>4</v>
          </cell>
          <cell r="R611" t="str">
            <v>Tachileik</v>
          </cell>
          <cell r="S611" t="str">
            <v>294</v>
          </cell>
          <cell r="T611" t="str">
            <v>GSM+UMTS</v>
          </cell>
          <cell r="W611" t="str">
            <v>Ph2-Priority</v>
          </cell>
          <cell r="X611" t="str">
            <v>45</v>
          </cell>
          <cell r="Y611" t="str">
            <v>47</v>
          </cell>
          <cell r="Z611" t="str">
            <v>GBT</v>
          </cell>
          <cell r="AA611" t="str">
            <v>100</v>
          </cell>
          <cell r="AB611" t="str">
            <v>Access</v>
          </cell>
          <cell r="AC611" t="str">
            <v>Class B</v>
          </cell>
          <cell r="BE611" t="str">
            <v>Route 15 Taunggyi - Tachileik</v>
          </cell>
          <cell r="BH611" t="str">
            <v>Camusat</v>
          </cell>
          <cell r="BJ611">
            <v>42173</v>
          </cell>
          <cell r="BK611">
            <v>42140</v>
          </cell>
          <cell r="BL611">
            <v>42178</v>
          </cell>
          <cell r="BM611">
            <v>42147</v>
          </cell>
          <cell r="BT611">
            <v>48</v>
          </cell>
          <cell r="BU611">
            <v>42259</v>
          </cell>
          <cell r="BV611">
            <v>42208</v>
          </cell>
          <cell r="BW611" t="str">
            <v>20.475977</v>
          </cell>
          <cell r="BX611" t="str">
            <v>99.934402</v>
          </cell>
          <cell r="BY611" t="str">
            <v>C1</v>
          </cell>
          <cell r="BZ611" t="str">
            <v>Hui Khai Quarter, Houng Late Group, Tachilate Township,</v>
          </cell>
          <cell r="CA611" t="str">
            <v>U Sam Cap</v>
          </cell>
          <cell r="CB611" t="str">
            <v>25 Aug 15 :C1 SAR updated technical info released again with 40 M Tower and CAA letter also uploaded;13 Aug 15: Apollo send email for C1 SAR to reduce Tower Height (Need to update again because CAA app 40M Tower height only);30 Jul 15 : C1 SAR app;23 Jul 15 : C1 SAR sub;</v>
          </cell>
          <cell r="CC611" t="str">
            <v>Residential</v>
          </cell>
          <cell r="CE611">
            <v>7</v>
          </cell>
          <cell r="CF611">
            <v>42260</v>
          </cell>
          <cell r="CG611">
            <v>42215</v>
          </cell>
          <cell r="CH611">
            <v>42262</v>
          </cell>
          <cell r="CJ611">
            <v>42247</v>
          </cell>
          <cell r="CK611" t="str">
            <v>39</v>
          </cell>
          <cell r="CL611" t="str">
            <v>42</v>
          </cell>
          <cell r="CM611" t="str">
            <v>40</v>
          </cell>
          <cell r="CN611">
            <v>18</v>
          </cell>
          <cell r="CO611">
            <v>42265</v>
          </cell>
          <cell r="CP611">
            <v>42249</v>
          </cell>
          <cell r="CQ611" t="str">
            <v>M1: grid power + battery</v>
          </cell>
          <cell r="CR611">
            <v>0</v>
          </cell>
          <cell r="CS611">
            <v>42266</v>
          </cell>
          <cell r="CT611">
            <v>42250</v>
          </cell>
          <cell r="CU611" t="str">
            <v>SH0051</v>
          </cell>
          <cell r="DH611">
            <v>0</v>
          </cell>
          <cell r="DI611">
            <v>42276</v>
          </cell>
          <cell r="DJ611">
            <v>42184</v>
          </cell>
          <cell r="DK611">
            <v>42273</v>
          </cell>
          <cell r="DL611">
            <v>42172</v>
          </cell>
          <cell r="DM611">
            <v>42277</v>
          </cell>
          <cell r="DO611">
            <v>0</v>
          </cell>
          <cell r="DP611">
            <v>42276</v>
          </cell>
          <cell r="DQ611">
            <v>42184</v>
          </cell>
          <cell r="DT611">
            <v>0</v>
          </cell>
          <cell r="DU611">
            <v>42291</v>
          </cell>
          <cell r="DW611">
            <v>0</v>
          </cell>
          <cell r="DY611">
            <v>42277</v>
          </cell>
          <cell r="DZ611">
            <v>42229</v>
          </cell>
          <cell r="EA611" t="str">
            <v>Camusat</v>
          </cell>
          <cell r="EJ611">
            <v>0</v>
          </cell>
          <cell r="EK611">
            <v>42294</v>
          </cell>
          <cell r="EM611">
            <v>42295</v>
          </cell>
          <cell r="EQ611">
            <v>42304</v>
          </cell>
          <cell r="EW611">
            <v>0</v>
          </cell>
          <cell r="EX611">
            <v>42318</v>
          </cell>
          <cell r="EZ611">
            <v>42314</v>
          </cell>
          <cell r="FB611">
            <v>42316</v>
          </cell>
          <cell r="FU611">
            <v>42318</v>
          </cell>
          <cell r="FW611">
            <v>42318</v>
          </cell>
          <cell r="GI611">
            <v>42166</v>
          </cell>
          <cell r="GJ611">
            <v>0</v>
          </cell>
          <cell r="GN611" t="str">
            <v>ERICSSON</v>
          </cell>
          <cell r="HD611">
            <v>1</v>
          </cell>
        </row>
        <row r="612">
          <cell r="A612" t="str">
            <v>SH0070</v>
          </cell>
          <cell r="B612" t="str">
            <v>ANSH_0007</v>
          </cell>
          <cell r="C612" t="str">
            <v>Apollo</v>
          </cell>
          <cell r="D612" t="str">
            <v>Chris Thomson</v>
          </cell>
          <cell r="F612" t="str">
            <v>Mya Kyauk</v>
          </cell>
          <cell r="G612" t="str">
            <v>Thandar Htoo</v>
          </cell>
          <cell r="H612" t="str">
            <v>RED</v>
          </cell>
          <cell r="I612" t="str">
            <v>North</v>
          </cell>
          <cell r="J612" t="str">
            <v>99.98053844</v>
          </cell>
          <cell r="K612" t="str">
            <v>20.56142821</v>
          </cell>
          <cell r="L612" t="str">
            <v>Suburban</v>
          </cell>
          <cell r="M612" t="str">
            <v>Shan East</v>
          </cell>
          <cell r="N612" t="str">
            <v>Tachileik</v>
          </cell>
          <cell r="O612" t="str">
            <v>Tachileik</v>
          </cell>
          <cell r="P612" t="str">
            <v>Shan East</v>
          </cell>
          <cell r="Q612" t="str">
            <v>4</v>
          </cell>
          <cell r="R612" t="str">
            <v>Tachileik</v>
          </cell>
          <cell r="S612" t="str">
            <v>294</v>
          </cell>
          <cell r="T612" t="str">
            <v>GSM+UMTS</v>
          </cell>
          <cell r="W612" t="str">
            <v>Ph2-Priority</v>
          </cell>
          <cell r="X612" t="str">
            <v>35</v>
          </cell>
          <cell r="Y612" t="str">
            <v>37</v>
          </cell>
          <cell r="Z612" t="str">
            <v>GBT</v>
          </cell>
          <cell r="AA612" t="str">
            <v>250</v>
          </cell>
          <cell r="AB612" t="str">
            <v>Access</v>
          </cell>
          <cell r="AC612" t="str">
            <v>Class B</v>
          </cell>
          <cell r="BE612" t="str">
            <v>Route 15 Taunggyi - Tachileik</v>
          </cell>
          <cell r="BH612" t="str">
            <v>Camusat</v>
          </cell>
          <cell r="BJ612">
            <v>42173</v>
          </cell>
          <cell r="BK612">
            <v>42108</v>
          </cell>
          <cell r="BL612">
            <v>42178</v>
          </cell>
          <cell r="BM612">
            <v>42115</v>
          </cell>
          <cell r="BT612">
            <v>17</v>
          </cell>
          <cell r="BU612">
            <v>42257</v>
          </cell>
          <cell r="BV612">
            <v>42229</v>
          </cell>
          <cell r="BW612" t="str">
            <v>99.973782</v>
          </cell>
          <cell r="BX612" t="str">
            <v>20.55979</v>
          </cell>
          <cell r="BY612" t="str">
            <v>C2</v>
          </cell>
          <cell r="BZ612" t="str">
            <v>Si li Nouk Village, Mine Koe Group, Tachilate Township, Eastern Shan State</v>
          </cell>
          <cell r="CA612" t="str">
            <v>Daw Nan Phu</v>
          </cell>
          <cell r="CB612" t="str">
            <v>13 Aug 15 : C2 SAR sub;30 July 15 : C1 SAR rejected(RND rejected because this site is 2,48km far from the nominal point. Please find the new candidate within the search ring. This site have already reviewed as Young tower co. But it is coming up by Apollo site code. As per confirmation mail on 24_July, it isn't included in Young EFT site list. That's why we reviewed again by Apollo);23 July 15 : C1 SAR sub</v>
          </cell>
          <cell r="CC612" t="str">
            <v>Residential</v>
          </cell>
          <cell r="CE612">
            <v>4</v>
          </cell>
          <cell r="CF612">
            <v>42258</v>
          </cell>
          <cell r="CG612">
            <v>42235</v>
          </cell>
          <cell r="CH612">
            <v>42260</v>
          </cell>
          <cell r="CJ612">
            <v>42242</v>
          </cell>
          <cell r="CK612" t="str">
            <v>35</v>
          </cell>
          <cell r="CL612" t="str">
            <v>37</v>
          </cell>
          <cell r="CM612" t="str">
            <v>40</v>
          </cell>
          <cell r="CN612">
            <v>0</v>
          </cell>
          <cell r="CO612">
            <v>42263</v>
          </cell>
          <cell r="CP612">
            <v>42244</v>
          </cell>
          <cell r="CQ612" t="str">
            <v>M1: grid power + battery</v>
          </cell>
          <cell r="CR612">
            <v>0</v>
          </cell>
          <cell r="CS612">
            <v>42264</v>
          </cell>
          <cell r="CT612">
            <v>42247</v>
          </cell>
          <cell r="CU612" t="str">
            <v>SH0070</v>
          </cell>
          <cell r="DH612">
            <v>0</v>
          </cell>
          <cell r="DI612">
            <v>42274</v>
          </cell>
          <cell r="DJ612">
            <v>42179</v>
          </cell>
          <cell r="DK612">
            <v>42271</v>
          </cell>
          <cell r="DL612">
            <v>42168</v>
          </cell>
          <cell r="DM612">
            <v>42275</v>
          </cell>
          <cell r="DO612">
            <v>0</v>
          </cell>
          <cell r="DP612">
            <v>42274</v>
          </cell>
          <cell r="DQ612">
            <v>42179</v>
          </cell>
          <cell r="DT612">
            <v>0</v>
          </cell>
          <cell r="DU612">
            <v>42289</v>
          </cell>
          <cell r="DW612">
            <v>0</v>
          </cell>
          <cell r="DY612">
            <v>42275</v>
          </cell>
          <cell r="EA612" t="str">
            <v>Camusat</v>
          </cell>
          <cell r="EB612">
            <v>42220</v>
          </cell>
          <cell r="EE612" t="str">
            <v xml:space="preserve">10 Aug 15:Flood affected_Hold-No access; 4-Aug-15:Lessor canÆt contact for confirmation about the flooding.								</v>
          </cell>
          <cell r="EJ612">
            <v>0</v>
          </cell>
          <cell r="EK612">
            <v>42290</v>
          </cell>
          <cell r="EM612">
            <v>42291</v>
          </cell>
          <cell r="EQ612">
            <v>42298</v>
          </cell>
          <cell r="EW612">
            <v>0</v>
          </cell>
          <cell r="EX612">
            <v>42312</v>
          </cell>
          <cell r="EZ612">
            <v>42308</v>
          </cell>
          <cell r="FB612">
            <v>42310</v>
          </cell>
          <cell r="FU612">
            <v>42312</v>
          </cell>
          <cell r="FW612">
            <v>42312</v>
          </cell>
          <cell r="GF612">
            <v>42196</v>
          </cell>
          <cell r="GJ612">
            <v>0</v>
          </cell>
          <cell r="GN612" t="str">
            <v>ERICSSON</v>
          </cell>
          <cell r="HD612">
            <v>1</v>
          </cell>
        </row>
        <row r="613">
          <cell r="A613" t="str">
            <v>SH0098</v>
          </cell>
          <cell r="B613" t="str">
            <v>ANSH_0008</v>
          </cell>
          <cell r="C613" t="str">
            <v>Apollo</v>
          </cell>
          <cell r="D613" t="str">
            <v>Adriaan Coetsee</v>
          </cell>
          <cell r="F613" t="str">
            <v>Mya Kyauk</v>
          </cell>
          <cell r="G613" t="str">
            <v>Thandar Htoo</v>
          </cell>
          <cell r="H613" t="str">
            <v>RED</v>
          </cell>
          <cell r="I613" t="str">
            <v>North</v>
          </cell>
          <cell r="J613" t="str">
            <v>98.21059</v>
          </cell>
          <cell r="K613" t="str">
            <v>24.08933</v>
          </cell>
          <cell r="L613" t="str">
            <v>Rural</v>
          </cell>
          <cell r="M613" t="str">
            <v>Shan North</v>
          </cell>
          <cell r="N613" t="str">
            <v>Muse</v>
          </cell>
          <cell r="O613" t="str">
            <v>Muse</v>
          </cell>
          <cell r="P613" t="str">
            <v>Shan North</v>
          </cell>
          <cell r="Q613" t="str">
            <v>5</v>
          </cell>
          <cell r="R613" t="str">
            <v>Muse</v>
          </cell>
          <cell r="S613" t="str">
            <v>271</v>
          </cell>
          <cell r="T613" t="str">
            <v>GSM+UMTS</v>
          </cell>
          <cell r="W613" t="str">
            <v>Ph2-Priority</v>
          </cell>
          <cell r="X613" t="str">
            <v>45</v>
          </cell>
          <cell r="Y613" t="str">
            <v>47</v>
          </cell>
          <cell r="Z613" t="str">
            <v>GBT</v>
          </cell>
          <cell r="AA613" t="str">
            <v>500</v>
          </cell>
          <cell r="AB613" t="str">
            <v>Access</v>
          </cell>
          <cell r="AC613" t="str">
            <v>Class C</v>
          </cell>
          <cell r="BE613" t="str">
            <v>Route 9 Mandalay - Muse</v>
          </cell>
          <cell r="BH613" t="str">
            <v>Camusat</v>
          </cell>
          <cell r="BJ613">
            <v>42173</v>
          </cell>
          <cell r="BK613">
            <v>42157</v>
          </cell>
          <cell r="BL613">
            <v>42178</v>
          </cell>
          <cell r="BM613">
            <v>42164</v>
          </cell>
          <cell r="BT613">
            <v>17</v>
          </cell>
          <cell r="BU613">
            <v>42260</v>
          </cell>
          <cell r="BV613">
            <v>42174</v>
          </cell>
          <cell r="BW613" t="str">
            <v>94.93062</v>
          </cell>
          <cell r="BX613" t="str">
            <v>24.86389</v>
          </cell>
          <cell r="BY613" t="str">
            <v>C1</v>
          </cell>
          <cell r="CB613" t="str">
            <v>6 July 15 : C1 SAR approved as an option 1 and Apollo can support 70 M Tower(  TND approved with 70M and 1.8m MW antenna for SG0430 and SG0445),(RND approved with 35m / 37m GBT as priority 1. This site is 500m far from the nominal point. Although it is far from nominal , it can cover the rural and population area.);19Jun15: C1 SAR Sub</v>
          </cell>
          <cell r="CE613">
            <v>0</v>
          </cell>
          <cell r="CF613">
            <v>42261</v>
          </cell>
          <cell r="CG613">
            <v>42191</v>
          </cell>
          <cell r="CH613">
            <v>42263</v>
          </cell>
          <cell r="CN613">
            <v>0</v>
          </cell>
          <cell r="CO613">
            <v>42266</v>
          </cell>
          <cell r="CQ613" t="str">
            <v>M4: solar + DG + battery</v>
          </cell>
          <cell r="CR613">
            <v>0</v>
          </cell>
          <cell r="CS613">
            <v>42267</v>
          </cell>
          <cell r="CU613" t="str">
            <v>SH0098</v>
          </cell>
          <cell r="DH613">
            <v>0</v>
          </cell>
          <cell r="DI613">
            <v>42277</v>
          </cell>
          <cell r="DK613">
            <v>42274</v>
          </cell>
          <cell r="DM613">
            <v>42278</v>
          </cell>
          <cell r="DO613">
            <v>0</v>
          </cell>
          <cell r="DP613">
            <v>42277</v>
          </cell>
          <cell r="DT613">
            <v>0</v>
          </cell>
          <cell r="DU613">
            <v>42292</v>
          </cell>
          <cell r="DW613">
            <v>0</v>
          </cell>
          <cell r="DY613">
            <v>42278</v>
          </cell>
          <cell r="EA613" t="str">
            <v>Camusat</v>
          </cell>
          <cell r="EJ613">
            <v>0</v>
          </cell>
          <cell r="EK613">
            <v>42295</v>
          </cell>
          <cell r="EM613">
            <v>42296</v>
          </cell>
          <cell r="EQ613">
            <v>42305</v>
          </cell>
          <cell r="EW613">
            <v>0</v>
          </cell>
          <cell r="EX613">
            <v>42319</v>
          </cell>
          <cell r="EZ613">
            <v>42315</v>
          </cell>
          <cell r="FB613">
            <v>42317</v>
          </cell>
          <cell r="FU613">
            <v>42319</v>
          </cell>
          <cell r="FW613">
            <v>42319</v>
          </cell>
          <cell r="GJ613">
            <v>0</v>
          </cell>
          <cell r="GN613" t="str">
            <v>ERICSSON</v>
          </cell>
          <cell r="HD613">
            <v>1</v>
          </cell>
        </row>
        <row r="614">
          <cell r="A614" t="str">
            <v>SH0131</v>
          </cell>
          <cell r="B614" t="str">
            <v>ANSH_0009</v>
          </cell>
          <cell r="C614" t="str">
            <v>Apollo</v>
          </cell>
          <cell r="D614" t="str">
            <v>Chris Thomson</v>
          </cell>
          <cell r="F614" t="str">
            <v>Mya Kyauk</v>
          </cell>
          <cell r="G614" t="str">
            <v>Thandar Htoo</v>
          </cell>
          <cell r="H614" t="str">
            <v>RED</v>
          </cell>
          <cell r="I614" t="str">
            <v>North</v>
          </cell>
          <cell r="J614" t="str">
            <v>99.811862</v>
          </cell>
          <cell r="K614" t="str">
            <v>21.113335</v>
          </cell>
          <cell r="L614" t="str">
            <v>Highway</v>
          </cell>
          <cell r="M614" t="str">
            <v>Shan East</v>
          </cell>
          <cell r="N614" t="str">
            <v>Kengtung</v>
          </cell>
          <cell r="O614" t="str">
            <v>Kengtung</v>
          </cell>
          <cell r="P614" t="str">
            <v>Shan East</v>
          </cell>
          <cell r="Q614" t="str">
            <v>4</v>
          </cell>
          <cell r="R614" t="str">
            <v>Kengtung</v>
          </cell>
          <cell r="S614" t="str">
            <v>287</v>
          </cell>
          <cell r="T614" t="str">
            <v>GSM+UMTS</v>
          </cell>
          <cell r="W614" t="str">
            <v>Ph2-Priority</v>
          </cell>
          <cell r="X614" t="str">
            <v>45</v>
          </cell>
          <cell r="Y614" t="str">
            <v>47</v>
          </cell>
          <cell r="Z614" t="str">
            <v>GBT</v>
          </cell>
          <cell r="AA614" t="str">
            <v>500</v>
          </cell>
          <cell r="AB614" t="str">
            <v>Access</v>
          </cell>
          <cell r="AC614" t="str">
            <v>Class C</v>
          </cell>
          <cell r="BE614" t="str">
            <v>Route 15 Taunggyi - Tachileik</v>
          </cell>
          <cell r="BH614" t="str">
            <v>Camusat</v>
          </cell>
          <cell r="BJ614">
            <v>42173</v>
          </cell>
          <cell r="BK614">
            <v>42159</v>
          </cell>
          <cell r="BL614">
            <v>42178</v>
          </cell>
          <cell r="BM614">
            <v>42166</v>
          </cell>
          <cell r="BT614">
            <v>17</v>
          </cell>
          <cell r="BU614">
            <v>42259</v>
          </cell>
          <cell r="BV614">
            <v>42176</v>
          </cell>
          <cell r="BW614" t="str">
            <v>99.807523</v>
          </cell>
          <cell r="BX614" t="str">
            <v>21.113199</v>
          </cell>
          <cell r="BY614" t="str">
            <v>C1</v>
          </cell>
          <cell r="CB614" t="str">
            <v>21JUn15: C1 SAR Sub</v>
          </cell>
          <cell r="CC614" t="str">
            <v>Forest</v>
          </cell>
          <cell r="CE614">
            <v>2</v>
          </cell>
          <cell r="CF614">
            <v>42260</v>
          </cell>
          <cell r="CG614">
            <v>42178</v>
          </cell>
          <cell r="CH614">
            <v>42262</v>
          </cell>
          <cell r="CN614">
            <v>55</v>
          </cell>
          <cell r="CO614">
            <v>42265</v>
          </cell>
          <cell r="CQ614" t="str">
            <v>M4: solar + DG + battery</v>
          </cell>
          <cell r="CR614">
            <v>0</v>
          </cell>
          <cell r="CS614">
            <v>42266</v>
          </cell>
          <cell r="CU614" t="str">
            <v>SH0131</v>
          </cell>
          <cell r="DH614">
            <v>0</v>
          </cell>
          <cell r="DI614">
            <v>42276</v>
          </cell>
          <cell r="DK614">
            <v>42273</v>
          </cell>
          <cell r="DM614">
            <v>42277</v>
          </cell>
          <cell r="DO614">
            <v>0</v>
          </cell>
          <cell r="DP614">
            <v>42276</v>
          </cell>
          <cell r="DT614">
            <v>0</v>
          </cell>
          <cell r="DU614">
            <v>42291</v>
          </cell>
          <cell r="DW614">
            <v>0</v>
          </cell>
          <cell r="DY614">
            <v>42277</v>
          </cell>
          <cell r="EA614" t="str">
            <v>Camusat</v>
          </cell>
          <cell r="EJ614">
            <v>0</v>
          </cell>
          <cell r="EK614">
            <v>42294</v>
          </cell>
          <cell r="EM614">
            <v>42295</v>
          </cell>
          <cell r="EQ614">
            <v>42304</v>
          </cell>
          <cell r="EW614">
            <v>0</v>
          </cell>
          <cell r="EX614">
            <v>42318</v>
          </cell>
          <cell r="EZ614">
            <v>42314</v>
          </cell>
          <cell r="FB614">
            <v>42316</v>
          </cell>
          <cell r="FU614">
            <v>42318</v>
          </cell>
          <cell r="FW614">
            <v>42318</v>
          </cell>
          <cell r="GI614">
            <v>42034</v>
          </cell>
          <cell r="GJ614">
            <v>0</v>
          </cell>
          <cell r="GN614" t="str">
            <v>ERICSSON</v>
          </cell>
          <cell r="HD614">
            <v>1</v>
          </cell>
        </row>
        <row r="615">
          <cell r="A615" t="str">
            <v>SH0132</v>
          </cell>
          <cell r="B615" t="str">
            <v>ANSH_0010</v>
          </cell>
          <cell r="C615" t="str">
            <v>Apollo</v>
          </cell>
          <cell r="D615" t="str">
            <v>Chris Thomson</v>
          </cell>
          <cell r="F615" t="str">
            <v>Mya Kyauk</v>
          </cell>
          <cell r="G615" t="str">
            <v>Thandar Htoo</v>
          </cell>
          <cell r="H615" t="str">
            <v>RED</v>
          </cell>
          <cell r="I615" t="str">
            <v>North</v>
          </cell>
          <cell r="J615" t="str">
            <v>99.849077</v>
          </cell>
          <cell r="K615" t="str">
            <v>20.903777</v>
          </cell>
          <cell r="L615" t="str">
            <v>Highway</v>
          </cell>
          <cell r="M615" t="str">
            <v>Shan East</v>
          </cell>
          <cell r="N615" t="str">
            <v>Monghpyak</v>
          </cell>
          <cell r="O615" t="str">
            <v>Monghpyak</v>
          </cell>
          <cell r="P615" t="str">
            <v>Shan East</v>
          </cell>
          <cell r="Q615" t="str">
            <v>4</v>
          </cell>
          <cell r="R615" t="str">
            <v>Monghpyak</v>
          </cell>
          <cell r="S615" t="str">
            <v>295</v>
          </cell>
          <cell r="T615" t="str">
            <v>GSM+UMTS</v>
          </cell>
          <cell r="W615" t="str">
            <v>Ph2-Priority</v>
          </cell>
          <cell r="X615" t="str">
            <v>55</v>
          </cell>
          <cell r="Y615" t="str">
            <v>57</v>
          </cell>
          <cell r="Z615" t="str">
            <v>GBT</v>
          </cell>
          <cell r="AA615" t="str">
            <v>500</v>
          </cell>
          <cell r="AB615" t="str">
            <v>Access</v>
          </cell>
          <cell r="AC615" t="str">
            <v>Class C</v>
          </cell>
          <cell r="BE615" t="str">
            <v>Route 15 Taunggyi - Tachileik</v>
          </cell>
          <cell r="BH615" t="str">
            <v>Camusat</v>
          </cell>
          <cell r="BJ615">
            <v>42173</v>
          </cell>
          <cell r="BK615">
            <v>42159</v>
          </cell>
          <cell r="BL615">
            <v>42178</v>
          </cell>
          <cell r="BM615">
            <v>42178</v>
          </cell>
          <cell r="BT615">
            <v>73</v>
          </cell>
          <cell r="BU615">
            <v>42266</v>
          </cell>
          <cell r="BV615">
            <v>42198</v>
          </cell>
          <cell r="BW615" t="str">
            <v>95.34921</v>
          </cell>
          <cell r="BX615" t="str">
            <v>22.51677</v>
          </cell>
          <cell r="BY615" t="str">
            <v>Reject</v>
          </cell>
          <cell r="BZ615" t="str">
            <v>Taw Tan Group, Shaw PhyuVillage , De Pae Yin Township, Sagaing Division.</v>
          </cell>
          <cell r="CA615" t="str">
            <v>U Tin Htun</v>
          </cell>
          <cell r="CB615" t="str">
            <v>18 Aug 15 : C3 SAR rejected( RND rejected because Candidate location is lower than nominal point. If Tower Co can get candidate at ( 20.911285,  99.836412), we will accept.);16 Aug 15 : C3 SAR sub(Candidate 3 Nominated by Ministry of Forestry);26 June 15 : C1 SAR approved as an option 1 ( TND approved with 25M repeater tower SH0132_R1(20.878742, 99.849481));21JUn15: C1 SAR Sub</v>
          </cell>
          <cell r="CC615" t="str">
            <v>Village</v>
          </cell>
          <cell r="CE615">
            <v>1</v>
          </cell>
          <cell r="CF615">
            <v>42267</v>
          </cell>
          <cell r="CG615">
            <v>42199</v>
          </cell>
          <cell r="CH615">
            <v>42269</v>
          </cell>
          <cell r="CJ615">
            <v>42206</v>
          </cell>
          <cell r="CK615" t="str">
            <v>45</v>
          </cell>
          <cell r="CL615" t="str">
            <v>47</v>
          </cell>
          <cell r="CM615" t="str">
            <v>60</v>
          </cell>
          <cell r="CN615">
            <v>0</v>
          </cell>
          <cell r="CO615">
            <v>42272</v>
          </cell>
          <cell r="CP615">
            <v>42208</v>
          </cell>
          <cell r="CQ615" t="str">
            <v>M4: solar + DG + battery</v>
          </cell>
          <cell r="CR615">
            <v>0</v>
          </cell>
          <cell r="CS615">
            <v>42273</v>
          </cell>
          <cell r="CT615">
            <v>42209</v>
          </cell>
          <cell r="CU615" t="str">
            <v>SH0132</v>
          </cell>
          <cell r="DH615">
            <v>0</v>
          </cell>
          <cell r="DI615">
            <v>42283</v>
          </cell>
          <cell r="DK615">
            <v>42280</v>
          </cell>
          <cell r="DL615">
            <v>42213</v>
          </cell>
          <cell r="DM615">
            <v>42284</v>
          </cell>
          <cell r="DO615">
            <v>0</v>
          </cell>
          <cell r="DP615">
            <v>42283</v>
          </cell>
          <cell r="DT615">
            <v>0</v>
          </cell>
          <cell r="DU615">
            <v>42298</v>
          </cell>
          <cell r="DW615">
            <v>0</v>
          </cell>
          <cell r="DY615">
            <v>42284</v>
          </cell>
          <cell r="EA615" t="str">
            <v>Camusat</v>
          </cell>
          <cell r="EJ615">
            <v>0</v>
          </cell>
          <cell r="EK615">
            <v>42306</v>
          </cell>
          <cell r="EM615">
            <v>42307</v>
          </cell>
          <cell r="EQ615">
            <v>42319</v>
          </cell>
          <cell r="EW615">
            <v>0</v>
          </cell>
          <cell r="EX615">
            <v>42333</v>
          </cell>
          <cell r="EZ615">
            <v>42329</v>
          </cell>
          <cell r="FB615">
            <v>42331</v>
          </cell>
          <cell r="FU615">
            <v>42333</v>
          </cell>
          <cell r="FW615">
            <v>42333</v>
          </cell>
          <cell r="GI615">
            <v>42215</v>
          </cell>
          <cell r="GJ615">
            <v>0</v>
          </cell>
          <cell r="GN615" t="str">
            <v>ERICSSON</v>
          </cell>
          <cell r="HD615">
            <v>1</v>
          </cell>
        </row>
        <row r="616">
          <cell r="A616" t="str">
            <v>SH0151</v>
          </cell>
          <cell r="B616" t="str">
            <v>ANSH_0011</v>
          </cell>
          <cell r="C616" t="str">
            <v>Apollo</v>
          </cell>
          <cell r="D616" t="str">
            <v>Adriaan Coetsee</v>
          </cell>
          <cell r="F616" t="str">
            <v>Mya Kyauk</v>
          </cell>
          <cell r="G616" t="str">
            <v>Thandar Htoo</v>
          </cell>
          <cell r="H616" t="str">
            <v>RED</v>
          </cell>
          <cell r="I616" t="str">
            <v>North</v>
          </cell>
          <cell r="J616" t="str">
            <v>98.040482</v>
          </cell>
          <cell r="K616" t="str">
            <v>22.191562</v>
          </cell>
          <cell r="L616" t="str">
            <v>Rural</v>
          </cell>
          <cell r="M616" t="str">
            <v>Shan North</v>
          </cell>
          <cell r="N616" t="str">
            <v>Mongyai</v>
          </cell>
          <cell r="O616" t="str">
            <v>Mongyai</v>
          </cell>
          <cell r="P616" t="str">
            <v>Shan North</v>
          </cell>
          <cell r="Q616" t="str">
            <v>5</v>
          </cell>
          <cell r="R616" t="str">
            <v>Mongyai</v>
          </cell>
          <cell r="S616" t="str">
            <v>265</v>
          </cell>
          <cell r="T616" t="str">
            <v>GSM+UMTS</v>
          </cell>
          <cell r="W616" t="str">
            <v>Ph2-Priority</v>
          </cell>
          <cell r="X616" t="str">
            <v>45</v>
          </cell>
          <cell r="Y616" t="str">
            <v>47</v>
          </cell>
          <cell r="Z616" t="str">
            <v>GBT</v>
          </cell>
          <cell r="AA616" t="str">
            <v>500</v>
          </cell>
          <cell r="AB616" t="str">
            <v>Access</v>
          </cell>
          <cell r="AC616" t="str">
            <v>Class C</v>
          </cell>
          <cell r="BE616" t="str">
            <v>Route 10 Mandalay - Myitkyina</v>
          </cell>
          <cell r="BH616" t="str">
            <v>Camusat</v>
          </cell>
          <cell r="BJ616">
            <v>42173</v>
          </cell>
          <cell r="BK616">
            <v>42139</v>
          </cell>
          <cell r="BL616">
            <v>42178</v>
          </cell>
          <cell r="BM616">
            <v>42146</v>
          </cell>
          <cell r="BT616">
            <v>17</v>
          </cell>
          <cell r="BU616">
            <v>42199</v>
          </cell>
          <cell r="BV616">
            <v>42200</v>
          </cell>
          <cell r="BW616" t="str">
            <v>98.04267</v>
          </cell>
          <cell r="BX616" t="str">
            <v>22.20076</v>
          </cell>
          <cell r="BY616" t="str">
            <v>C1</v>
          </cell>
          <cell r="BZ616" t="str">
            <v>Mine Yal Township, Man Pyat Village, Shan State</v>
          </cell>
          <cell r="CA616" t="str">
            <v>U Than Hlaing</v>
          </cell>
          <cell r="CB616" t="str">
            <v>15 July 15 :C2-SAR submission + justification</v>
          </cell>
          <cell r="CC616" t="str">
            <v>Farmland</v>
          </cell>
          <cell r="CE616">
            <v>5</v>
          </cell>
          <cell r="CF616">
            <v>42200</v>
          </cell>
          <cell r="CG616">
            <v>42205</v>
          </cell>
          <cell r="CH616">
            <v>42202</v>
          </cell>
          <cell r="CJ616">
            <v>42212</v>
          </cell>
          <cell r="CK616" t="str">
            <v>46</v>
          </cell>
          <cell r="CL616" t="str">
            <v>47</v>
          </cell>
          <cell r="CM616" t="str">
            <v>50</v>
          </cell>
          <cell r="CN616">
            <v>9</v>
          </cell>
          <cell r="CO616">
            <v>42205</v>
          </cell>
          <cell r="CP616">
            <v>42214</v>
          </cell>
          <cell r="CQ616" t="str">
            <v>M4: solar + DG + battery</v>
          </cell>
          <cell r="CR616">
            <v>5</v>
          </cell>
          <cell r="CS616">
            <v>42206</v>
          </cell>
          <cell r="CT616">
            <v>42219</v>
          </cell>
          <cell r="CU616" t="str">
            <v>SH0151</v>
          </cell>
          <cell r="DH616">
            <v>14</v>
          </cell>
          <cell r="DI616">
            <v>42216</v>
          </cell>
          <cell r="DJ616">
            <v>42174</v>
          </cell>
          <cell r="DK616">
            <v>42213</v>
          </cell>
          <cell r="DL616">
            <v>42168</v>
          </cell>
          <cell r="DM616">
            <v>42217</v>
          </cell>
          <cell r="DN616">
            <v>42187</v>
          </cell>
          <cell r="DO616">
            <v>0</v>
          </cell>
          <cell r="DP616">
            <v>42216</v>
          </cell>
          <cell r="DQ616">
            <v>42174</v>
          </cell>
          <cell r="DT616">
            <v>0</v>
          </cell>
          <cell r="DU616">
            <v>42231</v>
          </cell>
          <cell r="DV616">
            <v>42188</v>
          </cell>
          <cell r="DW616">
            <v>0</v>
          </cell>
          <cell r="DY616">
            <v>42217</v>
          </cell>
          <cell r="DZ616">
            <v>42187</v>
          </cell>
          <cell r="EA616" t="str">
            <v>Camusat</v>
          </cell>
          <cell r="ED616" t="str">
            <v xml:space="preserve">13Aug15 :KyawZay.Yar: Rebar for column done.
</v>
          </cell>
          <cell r="EE616" t="str">
            <v xml:space="preserve">13Aug15 :KyawZay.Yar: Site was filled with water.Need to pump the water out.
</v>
          </cell>
          <cell r="EJ616">
            <v>0</v>
          </cell>
          <cell r="EK616">
            <v>42234</v>
          </cell>
          <cell r="EM616">
            <v>42235</v>
          </cell>
          <cell r="EQ616">
            <v>42244</v>
          </cell>
          <cell r="EW616">
            <v>0</v>
          </cell>
          <cell r="EX616">
            <v>42254</v>
          </cell>
          <cell r="EZ616">
            <v>42254</v>
          </cell>
          <cell r="FB616">
            <v>42256</v>
          </cell>
          <cell r="FU616">
            <v>42258</v>
          </cell>
          <cell r="FW616">
            <v>42258</v>
          </cell>
          <cell r="GI616">
            <v>42246</v>
          </cell>
          <cell r="GJ616">
            <v>0</v>
          </cell>
          <cell r="GN616" t="str">
            <v>ERICSSON</v>
          </cell>
          <cell r="HD616">
            <v>1</v>
          </cell>
        </row>
        <row r="617">
          <cell r="A617" t="str">
            <v>SH0154</v>
          </cell>
          <cell r="B617" t="str">
            <v>ANSH_0012</v>
          </cell>
          <cell r="C617" t="str">
            <v>Apollo</v>
          </cell>
          <cell r="D617" t="str">
            <v>Adriaan Coetsee</v>
          </cell>
          <cell r="F617" t="str">
            <v>Mya Kyauk</v>
          </cell>
          <cell r="G617" t="str">
            <v>Thandar Htoo</v>
          </cell>
          <cell r="H617" t="str">
            <v>RED</v>
          </cell>
          <cell r="I617" t="str">
            <v>North</v>
          </cell>
          <cell r="J617" t="str">
            <v>97.916458</v>
          </cell>
          <cell r="K617" t="str">
            <v>22.019432</v>
          </cell>
          <cell r="L617" t="str">
            <v>Rural</v>
          </cell>
          <cell r="M617" t="str">
            <v>Shan South</v>
          </cell>
          <cell r="N617" t="str">
            <v>Kyethi</v>
          </cell>
          <cell r="O617" t="str">
            <v>Kyethi</v>
          </cell>
          <cell r="P617" t="str">
            <v>Shan South</v>
          </cell>
          <cell r="Q617" t="str">
            <v>6</v>
          </cell>
          <cell r="R617" t="str">
            <v>Kyethi</v>
          </cell>
          <cell r="S617" t="str">
            <v>256</v>
          </cell>
          <cell r="T617" t="str">
            <v>GSM+UMTS</v>
          </cell>
          <cell r="W617" t="str">
            <v>Ph2-Priority</v>
          </cell>
          <cell r="X617" t="str">
            <v>45</v>
          </cell>
          <cell r="Y617" t="str">
            <v>47</v>
          </cell>
          <cell r="Z617" t="str">
            <v>GBT</v>
          </cell>
          <cell r="AA617" t="str">
            <v>500</v>
          </cell>
          <cell r="AB617" t="str">
            <v>Access</v>
          </cell>
          <cell r="AC617" t="str">
            <v>Class C</v>
          </cell>
          <cell r="BE617" t="str">
            <v>Route 15 Taunggyi - Tachileik</v>
          </cell>
          <cell r="BH617" t="str">
            <v>KTT</v>
          </cell>
          <cell r="BJ617">
            <v>42174</v>
          </cell>
          <cell r="BK617">
            <v>42169</v>
          </cell>
          <cell r="BL617">
            <v>42179</v>
          </cell>
          <cell r="BM617">
            <v>42176</v>
          </cell>
          <cell r="BT617">
            <v>15</v>
          </cell>
          <cell r="BU617">
            <v>42199</v>
          </cell>
          <cell r="BV617">
            <v>42184</v>
          </cell>
          <cell r="BW617" t="str">
            <v>97.91527</v>
          </cell>
          <cell r="BX617" t="str">
            <v>22.03194</v>
          </cell>
          <cell r="BY617" t="str">
            <v>C1</v>
          </cell>
          <cell r="BZ617" t="str">
            <v>House no.(188), Gway Cho Village, Chauk Township, Magway Division</v>
          </cell>
          <cell r="CA617" t="str">
            <v>U Kyaw Ngwe;House no.(188), Gway Cho Village, Chauk Township, Magway Division;09-256210058</v>
          </cell>
          <cell r="CB617" t="str">
            <v>28 July 15 : C1 SAR approved as an option 1( TND approved SH0154 as fiber site.);29 June 15: C1- SAR submission with justification</v>
          </cell>
          <cell r="CC617" t="str">
            <v>Village</v>
          </cell>
          <cell r="CE617">
            <v>29</v>
          </cell>
          <cell r="CF617">
            <v>42200</v>
          </cell>
          <cell r="CG617">
            <v>42213</v>
          </cell>
          <cell r="CH617">
            <v>42202</v>
          </cell>
          <cell r="CJ617">
            <v>42168</v>
          </cell>
          <cell r="CK617" t="str">
            <v>35</v>
          </cell>
          <cell r="CL617" t="str">
            <v>37</v>
          </cell>
          <cell r="CM617" t="str">
            <v>35</v>
          </cell>
          <cell r="CN617">
            <v>20</v>
          </cell>
          <cell r="CO617">
            <v>42205</v>
          </cell>
          <cell r="CP617">
            <v>42170</v>
          </cell>
          <cell r="CQ617" t="str">
            <v>M4: solar + DG + battery</v>
          </cell>
          <cell r="CR617">
            <v>0</v>
          </cell>
          <cell r="CS617">
            <v>42206</v>
          </cell>
          <cell r="CT617">
            <v>42172</v>
          </cell>
          <cell r="CU617" t="str">
            <v>SH0154</v>
          </cell>
          <cell r="DH617">
            <v>0</v>
          </cell>
          <cell r="DI617">
            <v>42216</v>
          </cell>
          <cell r="DJ617">
            <v>42178</v>
          </cell>
          <cell r="DK617">
            <v>42213</v>
          </cell>
          <cell r="DL617">
            <v>42175</v>
          </cell>
          <cell r="DM617">
            <v>42217</v>
          </cell>
          <cell r="DN617">
            <v>42180</v>
          </cell>
          <cell r="DO617">
            <v>0</v>
          </cell>
          <cell r="DP617">
            <v>42216</v>
          </cell>
          <cell r="DQ617">
            <v>42178</v>
          </cell>
          <cell r="DT617">
            <v>0</v>
          </cell>
          <cell r="DU617">
            <v>42231</v>
          </cell>
          <cell r="DW617">
            <v>0</v>
          </cell>
          <cell r="DY617">
            <v>42217</v>
          </cell>
          <cell r="DZ617">
            <v>42180</v>
          </cell>
          <cell r="EA617" t="str">
            <v>Leadcom</v>
          </cell>
          <cell r="EI617" t="str">
            <v>M5: grid power + DG + battery      </v>
          </cell>
          <cell r="EJ617">
            <v>0</v>
          </cell>
          <cell r="EK617">
            <v>42234</v>
          </cell>
          <cell r="EL617">
            <v>42194</v>
          </cell>
          <cell r="EM617">
            <v>42235</v>
          </cell>
          <cell r="EN617">
            <v>42192</v>
          </cell>
          <cell r="EQ617">
            <v>42244</v>
          </cell>
          <cell r="ER617">
            <v>42202</v>
          </cell>
          <cell r="ES617">
            <v>42199</v>
          </cell>
          <cell r="ET617">
            <v>42202</v>
          </cell>
          <cell r="EU617">
            <v>42202</v>
          </cell>
          <cell r="EW617">
            <v>0</v>
          </cell>
          <cell r="EX617">
            <v>42254</v>
          </cell>
          <cell r="EZ617">
            <v>42254</v>
          </cell>
          <cell r="FA617">
            <v>42205</v>
          </cell>
          <cell r="FB617">
            <v>42256</v>
          </cell>
          <cell r="FC617">
            <v>42205</v>
          </cell>
          <cell r="FU617">
            <v>42258</v>
          </cell>
          <cell r="FV617">
            <v>42206</v>
          </cell>
          <cell r="FW617">
            <v>42258</v>
          </cell>
          <cell r="FX617">
            <v>42205</v>
          </cell>
          <cell r="FY617" t="str">
            <v>CFVL</v>
          </cell>
          <cell r="FZ617">
            <v>42207</v>
          </cell>
          <cell r="GA617">
            <v>42214</v>
          </cell>
          <cell r="GB617">
            <v>42218</v>
          </cell>
          <cell r="GC617">
            <v>42218</v>
          </cell>
          <cell r="GD617">
            <v>42219</v>
          </cell>
          <cell r="GE617">
            <v>42219</v>
          </cell>
          <cell r="GF617">
            <v>42194</v>
          </cell>
          <cell r="GG617">
            <v>42219</v>
          </cell>
          <cell r="GH617">
            <v>42219</v>
          </cell>
          <cell r="GI617">
            <v>42246</v>
          </cell>
          <cell r="GJ617">
            <v>0</v>
          </cell>
          <cell r="GK617">
            <v>42221</v>
          </cell>
          <cell r="GN617" t="str">
            <v>ERICSSON</v>
          </cell>
          <cell r="GQ617">
            <v>0</v>
          </cell>
          <cell r="HD617">
            <v>1</v>
          </cell>
        </row>
        <row r="618">
          <cell r="A618" t="str">
            <v>SH0160</v>
          </cell>
          <cell r="B618" t="str">
            <v>ANSH_0013</v>
          </cell>
          <cell r="C618" t="str">
            <v>Apollo</v>
          </cell>
          <cell r="D618" t="str">
            <v>Chris Thomson</v>
          </cell>
          <cell r="F618" t="str">
            <v>Mya Kyauk</v>
          </cell>
          <cell r="G618" t="str">
            <v>Thandar Htoo</v>
          </cell>
          <cell r="H618" t="str">
            <v>RED</v>
          </cell>
          <cell r="I618" t="str">
            <v>North</v>
          </cell>
          <cell r="J618" t="str">
            <v>98.641626</v>
          </cell>
          <cell r="K618" t="str">
            <v>21.251443</v>
          </cell>
          <cell r="L618" t="str">
            <v>Highway</v>
          </cell>
          <cell r="M618" t="str">
            <v>Shan South</v>
          </cell>
          <cell r="N618" t="str">
            <v>Kunhing</v>
          </cell>
          <cell r="O618" t="str">
            <v>Kunhing</v>
          </cell>
          <cell r="P618" t="str">
            <v>Shan South</v>
          </cell>
          <cell r="Q618" t="str">
            <v>6</v>
          </cell>
          <cell r="R618" t="str">
            <v>Kunhing</v>
          </cell>
          <cell r="S618" t="str">
            <v>255</v>
          </cell>
          <cell r="T618" t="str">
            <v>GSM+UMTS</v>
          </cell>
          <cell r="W618" t="str">
            <v>Ph2-Priority</v>
          </cell>
          <cell r="X618" t="str">
            <v>55</v>
          </cell>
          <cell r="Y618" t="str">
            <v>57</v>
          </cell>
          <cell r="Z618" t="str">
            <v>GBT</v>
          </cell>
          <cell r="AA618" t="str">
            <v>500</v>
          </cell>
          <cell r="AB618" t="str">
            <v>Access</v>
          </cell>
          <cell r="AC618" t="str">
            <v>Class C</v>
          </cell>
          <cell r="BE618" t="str">
            <v>Route 15 Taunggyi - Tachileik</v>
          </cell>
          <cell r="BH618" t="str">
            <v>KTT</v>
          </cell>
          <cell r="BJ618">
            <v>42174</v>
          </cell>
          <cell r="BK618">
            <v>42168</v>
          </cell>
          <cell r="BL618">
            <v>42179</v>
          </cell>
          <cell r="BM618">
            <v>42175</v>
          </cell>
          <cell r="BT618">
            <v>65</v>
          </cell>
          <cell r="BU618">
            <v>42266</v>
          </cell>
          <cell r="BV618">
            <v>42175</v>
          </cell>
          <cell r="BW618" t="str">
            <v>97.65741</v>
          </cell>
          <cell r="BX618" t="str">
            <v>16.39374</v>
          </cell>
          <cell r="BY618" t="str">
            <v>C2</v>
          </cell>
          <cell r="BZ618" t="str">
            <v>Field No. 802- A, Rakhine Kone Field, Oo Paing 65B/ 19 Naungkhayee Village.</v>
          </cell>
          <cell r="CA618" t="str">
            <v>U KYAW MYINT;0 9425265403</v>
          </cell>
          <cell r="CB618" t="str">
            <v>20Jun15: C2 SAR Sub; c1 rejected by AT</v>
          </cell>
          <cell r="CE618">
            <v>0</v>
          </cell>
          <cell r="CF618">
            <v>42267</v>
          </cell>
          <cell r="CG618">
            <v>42178</v>
          </cell>
          <cell r="CH618">
            <v>42269</v>
          </cell>
          <cell r="CJ618">
            <v>42183</v>
          </cell>
          <cell r="CK618" t="str">
            <v>45</v>
          </cell>
          <cell r="CL618" t="str">
            <v>47</v>
          </cell>
          <cell r="CM618" t="str">
            <v>50</v>
          </cell>
          <cell r="CN618">
            <v>0</v>
          </cell>
          <cell r="CO618">
            <v>42272</v>
          </cell>
          <cell r="CP618">
            <v>42185</v>
          </cell>
          <cell r="CQ618" t="str">
            <v>M1: grid power + battery</v>
          </cell>
          <cell r="CR618">
            <v>0</v>
          </cell>
          <cell r="CS618">
            <v>42273</v>
          </cell>
          <cell r="CT618">
            <v>42186</v>
          </cell>
          <cell r="CU618" t="str">
            <v>SH0160</v>
          </cell>
          <cell r="DH618">
            <v>0</v>
          </cell>
          <cell r="DI618">
            <v>42283</v>
          </cell>
          <cell r="DJ618">
            <v>42198</v>
          </cell>
          <cell r="DK618">
            <v>42280</v>
          </cell>
          <cell r="DL618">
            <v>42201</v>
          </cell>
          <cell r="DM618">
            <v>42284</v>
          </cell>
          <cell r="DO618">
            <v>0</v>
          </cell>
          <cell r="DP618">
            <v>42283</v>
          </cell>
          <cell r="DQ618">
            <v>42198</v>
          </cell>
          <cell r="DT618">
            <v>0</v>
          </cell>
          <cell r="DU618">
            <v>42298</v>
          </cell>
          <cell r="DW618">
            <v>0</v>
          </cell>
          <cell r="DY618">
            <v>42284</v>
          </cell>
          <cell r="DZ618">
            <v>42200</v>
          </cell>
          <cell r="EA618" t="str">
            <v>Leadcom</v>
          </cell>
          <cell r="ED618" t="str">
            <v xml:space="preserve">17Aug15 :ThantZin.Oo: 13/8/15 : Lean casting done . Footing rebar-work in progress.
</v>
          </cell>
          <cell r="EJ618">
            <v>0</v>
          </cell>
          <cell r="EK618">
            <v>42306</v>
          </cell>
          <cell r="EM618">
            <v>42307</v>
          </cell>
          <cell r="EQ618">
            <v>42319</v>
          </cell>
          <cell r="EW618">
            <v>0</v>
          </cell>
          <cell r="EX618">
            <v>42333</v>
          </cell>
          <cell r="EZ618">
            <v>42329</v>
          </cell>
          <cell r="FB618">
            <v>42331</v>
          </cell>
          <cell r="FU618">
            <v>42333</v>
          </cell>
          <cell r="FW618">
            <v>42333</v>
          </cell>
          <cell r="GI618">
            <v>42277</v>
          </cell>
          <cell r="GJ618">
            <v>0</v>
          </cell>
          <cell r="GN618" t="str">
            <v>ERICSSON</v>
          </cell>
          <cell r="GP618">
            <v>42207</v>
          </cell>
          <cell r="GS618" t="str">
            <v>4/4/4</v>
          </cell>
          <cell r="GU618" t="str">
            <v xml:space="preserve">		</v>
          </cell>
          <cell r="HD618">
            <v>1</v>
          </cell>
        </row>
        <row r="619">
          <cell r="A619" t="str">
            <v>SH0164</v>
          </cell>
          <cell r="B619" t="str">
            <v>ANSH_0014</v>
          </cell>
          <cell r="C619" t="str">
            <v>Apollo</v>
          </cell>
          <cell r="D619" t="str">
            <v>Chris Thomson</v>
          </cell>
          <cell r="F619" t="str">
            <v>Mya Kyauk</v>
          </cell>
          <cell r="G619" t="str">
            <v>Thandar Htoo</v>
          </cell>
          <cell r="H619" t="str">
            <v>RED</v>
          </cell>
          <cell r="I619" t="str">
            <v>North</v>
          </cell>
          <cell r="J619" t="str">
            <v>99.186635</v>
          </cell>
          <cell r="K619" t="str">
            <v>21.347936</v>
          </cell>
          <cell r="L619" t="str">
            <v>Highway</v>
          </cell>
          <cell r="M619" t="str">
            <v>Shan East</v>
          </cell>
          <cell r="N619" t="str">
            <v>Mongping</v>
          </cell>
          <cell r="O619" t="str">
            <v>Mongping</v>
          </cell>
          <cell r="P619" t="str">
            <v>Shan East</v>
          </cell>
          <cell r="Q619" t="str">
            <v>4</v>
          </cell>
          <cell r="R619" t="str">
            <v>Mongping</v>
          </cell>
          <cell r="S619" t="str">
            <v>292</v>
          </cell>
          <cell r="T619" t="str">
            <v>GSM+UMTS</v>
          </cell>
          <cell r="W619" t="str">
            <v>Ph2-Priority</v>
          </cell>
          <cell r="X619" t="str">
            <v>45</v>
          </cell>
          <cell r="Y619" t="str">
            <v>47</v>
          </cell>
          <cell r="Z619" t="str">
            <v>GBT</v>
          </cell>
          <cell r="AA619" t="str">
            <v>500</v>
          </cell>
          <cell r="AB619" t="str">
            <v>Access</v>
          </cell>
          <cell r="AC619" t="str">
            <v>Class C</v>
          </cell>
          <cell r="BE619" t="str">
            <v>Route 15 Taunggyi - Tachileik</v>
          </cell>
          <cell r="BH619" t="str">
            <v>Camusat</v>
          </cell>
          <cell r="BJ619">
            <v>42174</v>
          </cell>
          <cell r="BK619">
            <v>42169</v>
          </cell>
          <cell r="BL619">
            <v>42179</v>
          </cell>
          <cell r="BM619">
            <v>42176</v>
          </cell>
          <cell r="BT619">
            <v>17</v>
          </cell>
          <cell r="BU619">
            <v>42259</v>
          </cell>
          <cell r="BV619">
            <v>42186</v>
          </cell>
          <cell r="BW619" t="str">
            <v>99.1904</v>
          </cell>
          <cell r="BX619" t="str">
            <v>21.34846</v>
          </cell>
          <cell r="BY619" t="str">
            <v>C1</v>
          </cell>
          <cell r="BZ619" t="str">
            <v>Near Naung Kwe Village,Naung Kwe Group,Tontar Township, Eastern Shan State</v>
          </cell>
          <cell r="CA619" t="str">
            <v>U Lao Ju</v>
          </cell>
          <cell r="CB619" t="str">
            <v>17 Aug 15 : C1 TSSR approved(TND approved SH0164 as fiber site( 50m from Backbone Fiber, No LOS to any possible Far End);28 July 15 : C1 SAR approved as an option 1( TND approved SH0164 as fiber site( 50m from Backbone Fiber, No LOS to any possible Far End))</v>
          </cell>
          <cell r="CC619" t="str">
            <v>Residential</v>
          </cell>
          <cell r="CE619">
            <v>27</v>
          </cell>
          <cell r="CF619">
            <v>42260</v>
          </cell>
          <cell r="CG619">
            <v>42213</v>
          </cell>
          <cell r="CH619">
            <v>42262</v>
          </cell>
          <cell r="CJ619">
            <v>42227</v>
          </cell>
          <cell r="CK619" t="str">
            <v>45</v>
          </cell>
          <cell r="CL619" t="str">
            <v>47</v>
          </cell>
          <cell r="CM619" t="str">
            <v>50</v>
          </cell>
          <cell r="CN619">
            <v>16</v>
          </cell>
          <cell r="CO619">
            <v>42265</v>
          </cell>
          <cell r="CP619">
            <v>42229</v>
          </cell>
          <cell r="CQ619" t="str">
            <v>M4: solar + DG + battery</v>
          </cell>
          <cell r="CR619">
            <v>4</v>
          </cell>
          <cell r="CS619">
            <v>42266</v>
          </cell>
          <cell r="CT619">
            <v>42233</v>
          </cell>
          <cell r="CU619" t="str">
            <v>SH0164</v>
          </cell>
          <cell r="DH619">
            <v>0</v>
          </cell>
          <cell r="DI619">
            <v>42276</v>
          </cell>
          <cell r="DK619">
            <v>42273</v>
          </cell>
          <cell r="DM619">
            <v>42277</v>
          </cell>
          <cell r="DO619">
            <v>0</v>
          </cell>
          <cell r="DP619">
            <v>42276</v>
          </cell>
          <cell r="DT619">
            <v>0</v>
          </cell>
          <cell r="DU619">
            <v>42291</v>
          </cell>
          <cell r="DW619">
            <v>0</v>
          </cell>
          <cell r="DY619">
            <v>42277</v>
          </cell>
          <cell r="EA619" t="str">
            <v>Camusat</v>
          </cell>
          <cell r="EJ619">
            <v>0</v>
          </cell>
          <cell r="EK619">
            <v>42294</v>
          </cell>
          <cell r="EM619">
            <v>42295</v>
          </cell>
          <cell r="EQ619">
            <v>42304</v>
          </cell>
          <cell r="EW619">
            <v>0</v>
          </cell>
          <cell r="EX619">
            <v>42318</v>
          </cell>
          <cell r="EZ619">
            <v>42314</v>
          </cell>
          <cell r="FB619">
            <v>42316</v>
          </cell>
          <cell r="FU619">
            <v>42318</v>
          </cell>
          <cell r="FW619">
            <v>42318</v>
          </cell>
          <cell r="FY619" t="str">
            <v>ABC</v>
          </cell>
          <cell r="GI619">
            <v>42215</v>
          </cell>
          <cell r="GJ619">
            <v>0</v>
          </cell>
          <cell r="GN619" t="str">
            <v>ERICSSON</v>
          </cell>
          <cell r="GU619" t="str">
            <v xml:space="preserve">		</v>
          </cell>
          <cell r="HD619">
            <v>1</v>
          </cell>
        </row>
        <row r="620">
          <cell r="A620" t="str">
            <v>SH0168</v>
          </cell>
          <cell r="B620" t="str">
            <v>ANSH_0015</v>
          </cell>
          <cell r="C620" t="str">
            <v>Apollo</v>
          </cell>
          <cell r="D620" t="str">
            <v>Chris Thomson</v>
          </cell>
          <cell r="F620" t="str">
            <v>Mya Kyauk</v>
          </cell>
          <cell r="G620" t="str">
            <v>Thandar Htoo</v>
          </cell>
          <cell r="H620" t="str">
            <v>RED</v>
          </cell>
          <cell r="I620" t="str">
            <v>North</v>
          </cell>
          <cell r="J620" t="str">
            <v>100.077265</v>
          </cell>
          <cell r="K620" t="str">
            <v>20.712909</v>
          </cell>
          <cell r="L620" t="str">
            <v>Rural</v>
          </cell>
          <cell r="M620" t="str">
            <v>Shan East</v>
          </cell>
          <cell r="N620" t="str">
            <v>Tachileik</v>
          </cell>
          <cell r="O620" t="str">
            <v>Tachileik</v>
          </cell>
          <cell r="P620" t="str">
            <v>Shan East</v>
          </cell>
          <cell r="Q620" t="str">
            <v>4</v>
          </cell>
          <cell r="R620" t="str">
            <v>Tachileik</v>
          </cell>
          <cell r="S620" t="str">
            <v>294</v>
          </cell>
          <cell r="T620" t="str">
            <v>GSM+UMTS</v>
          </cell>
          <cell r="W620" t="str">
            <v>Ph2-Priority</v>
          </cell>
          <cell r="X620" t="str">
            <v>45</v>
          </cell>
          <cell r="Y620" t="str">
            <v>47</v>
          </cell>
          <cell r="Z620" t="str">
            <v>GBT</v>
          </cell>
          <cell r="AA620" t="str">
            <v>500</v>
          </cell>
          <cell r="AB620" t="str">
            <v>Access</v>
          </cell>
          <cell r="AC620" t="str">
            <v>Class C</v>
          </cell>
          <cell r="BE620" t="str">
            <v>Route 15 Taunggyi - Tachileik</v>
          </cell>
          <cell r="BH620" t="str">
            <v>Camusat</v>
          </cell>
          <cell r="BJ620">
            <v>42174</v>
          </cell>
          <cell r="BK620">
            <v>42159</v>
          </cell>
          <cell r="BL620">
            <v>42179</v>
          </cell>
          <cell r="BM620">
            <v>42166</v>
          </cell>
          <cell r="BT620">
            <v>17</v>
          </cell>
          <cell r="BU620">
            <v>42259</v>
          </cell>
          <cell r="BV620">
            <v>42176</v>
          </cell>
          <cell r="BW620" t="str">
            <v>100.087407</v>
          </cell>
          <cell r="BX620" t="str">
            <v>20.711079</v>
          </cell>
          <cell r="BY620" t="str">
            <v>C2</v>
          </cell>
          <cell r="CB620" t="str">
            <v>21JUn15: C2 SAR Sub</v>
          </cell>
          <cell r="CC620" t="str">
            <v>Residential_NP Falls inside Military Area</v>
          </cell>
          <cell r="CE620">
            <v>2</v>
          </cell>
          <cell r="CF620">
            <v>42260</v>
          </cell>
          <cell r="CG620">
            <v>42178</v>
          </cell>
          <cell r="CH620">
            <v>42262</v>
          </cell>
          <cell r="CN620">
            <v>55</v>
          </cell>
          <cell r="CO620">
            <v>42265</v>
          </cell>
          <cell r="CQ620" t="str">
            <v>M1: grid power + battery</v>
          </cell>
          <cell r="CR620">
            <v>0</v>
          </cell>
          <cell r="CS620">
            <v>42266</v>
          </cell>
          <cell r="CU620" t="str">
            <v>SH0168</v>
          </cell>
          <cell r="DH620">
            <v>0</v>
          </cell>
          <cell r="DI620">
            <v>42276</v>
          </cell>
          <cell r="DK620">
            <v>42273</v>
          </cell>
          <cell r="DM620">
            <v>42277</v>
          </cell>
          <cell r="DO620">
            <v>0</v>
          </cell>
          <cell r="DP620">
            <v>42276</v>
          </cell>
          <cell r="DT620">
            <v>0</v>
          </cell>
          <cell r="DU620">
            <v>42291</v>
          </cell>
          <cell r="DW620">
            <v>0</v>
          </cell>
          <cell r="DY620">
            <v>42277</v>
          </cell>
          <cell r="EA620" t="str">
            <v>Camusat</v>
          </cell>
          <cell r="EJ620">
            <v>0</v>
          </cell>
          <cell r="EK620">
            <v>42294</v>
          </cell>
          <cell r="EM620">
            <v>42295</v>
          </cell>
          <cell r="EQ620">
            <v>42304</v>
          </cell>
          <cell r="EW620">
            <v>0</v>
          </cell>
          <cell r="EX620">
            <v>42318</v>
          </cell>
          <cell r="EZ620">
            <v>42314</v>
          </cell>
          <cell r="FB620">
            <v>42316</v>
          </cell>
          <cell r="FU620">
            <v>42318</v>
          </cell>
          <cell r="FW620">
            <v>42318</v>
          </cell>
          <cell r="GI620">
            <v>42159</v>
          </cell>
          <cell r="GJ620">
            <v>0</v>
          </cell>
          <cell r="GN620" t="str">
            <v>ERICSSON</v>
          </cell>
          <cell r="GU620" t="str">
            <v xml:space="preserve">		</v>
          </cell>
          <cell r="HD620">
            <v>1</v>
          </cell>
        </row>
        <row r="621">
          <cell r="A621" t="str">
            <v>SH0238</v>
          </cell>
          <cell r="B621" t="str">
            <v>ANSH_0016</v>
          </cell>
          <cell r="C621" t="str">
            <v>Apollo</v>
          </cell>
          <cell r="D621" t="str">
            <v>Adriaan Coetsee</v>
          </cell>
          <cell r="F621" t="str">
            <v>Mya Kyauk</v>
          </cell>
          <cell r="G621" t="str">
            <v>Thandar Htoo</v>
          </cell>
          <cell r="H621" t="str">
            <v>RED</v>
          </cell>
          <cell r="I621" t="str">
            <v>North</v>
          </cell>
          <cell r="J621" t="str">
            <v>97.683891</v>
          </cell>
          <cell r="K621" t="str">
            <v>23.836221</v>
          </cell>
          <cell r="L621" t="str">
            <v>Suburban</v>
          </cell>
          <cell r="M621" t="str">
            <v>Shan North</v>
          </cell>
          <cell r="N621" t="str">
            <v>Namhkan</v>
          </cell>
          <cell r="O621" t="str">
            <v>Namhkan</v>
          </cell>
          <cell r="P621" t="str">
            <v>Shan North</v>
          </cell>
          <cell r="Q621" t="str">
            <v>5</v>
          </cell>
          <cell r="R621" t="str">
            <v>Namhkan</v>
          </cell>
          <cell r="S621" t="str">
            <v>272</v>
          </cell>
          <cell r="T621" t="str">
            <v>GSM+UMTS</v>
          </cell>
          <cell r="W621" t="str">
            <v>Ph2-Priority</v>
          </cell>
          <cell r="X621" t="str">
            <v>35</v>
          </cell>
          <cell r="Y621" t="str">
            <v>37</v>
          </cell>
          <cell r="Z621" t="str">
            <v>RTP</v>
          </cell>
          <cell r="AA621" t="str">
            <v>100</v>
          </cell>
          <cell r="AB621" t="str">
            <v>Access</v>
          </cell>
          <cell r="AC621" t="str">
            <v>Class B</v>
          </cell>
          <cell r="BE621" t="str">
            <v>Route 19 Myitkyina - Bhamo - Muse</v>
          </cell>
          <cell r="BH621" t="str">
            <v>Camusat</v>
          </cell>
          <cell r="BJ621">
            <v>42174</v>
          </cell>
          <cell r="BK621">
            <v>42130</v>
          </cell>
          <cell r="BL621">
            <v>42179</v>
          </cell>
          <cell r="BT621">
            <v>103</v>
          </cell>
          <cell r="BU621">
            <v>42260</v>
          </cell>
          <cell r="BV621">
            <v>42235</v>
          </cell>
          <cell r="BW621" t="str">
            <v>97.68584</v>
          </cell>
          <cell r="BX621" t="str">
            <v>23.83749</v>
          </cell>
          <cell r="BY621" t="str">
            <v>C1 rev</v>
          </cell>
          <cell r="CB621" t="str">
            <v>19 Aug 15 :C1 SAR rev pdf sub as Rooftop site;prev app as GBT ;21 July 15 : C1 SAR app;14 June 15:C1-SAR submission + Justification</v>
          </cell>
          <cell r="CC621" t="str">
            <v>Town</v>
          </cell>
          <cell r="CD621" t="str">
            <v>10.5</v>
          </cell>
          <cell r="CE621">
            <v>7</v>
          </cell>
          <cell r="CF621">
            <v>42261</v>
          </cell>
          <cell r="CG621">
            <v>42237</v>
          </cell>
          <cell r="CH621">
            <v>42263</v>
          </cell>
          <cell r="CN621">
            <v>27</v>
          </cell>
          <cell r="CO621">
            <v>42266</v>
          </cell>
          <cell r="CQ621" t="str">
            <v>M1: grid power + battery</v>
          </cell>
          <cell r="CR621">
            <v>0</v>
          </cell>
          <cell r="CS621">
            <v>42267</v>
          </cell>
          <cell r="CU621" t="str">
            <v>SH0238</v>
          </cell>
          <cell r="DH621">
            <v>0</v>
          </cell>
          <cell r="DI621">
            <v>42277</v>
          </cell>
          <cell r="DK621">
            <v>42274</v>
          </cell>
          <cell r="DM621">
            <v>42278</v>
          </cell>
          <cell r="DO621">
            <v>0</v>
          </cell>
          <cell r="DP621">
            <v>42277</v>
          </cell>
          <cell r="DT621">
            <v>0</v>
          </cell>
          <cell r="DU621">
            <v>42292</v>
          </cell>
          <cell r="DW621">
            <v>0</v>
          </cell>
          <cell r="DY621">
            <v>42278</v>
          </cell>
          <cell r="EA621" t="str">
            <v>Camusat</v>
          </cell>
          <cell r="EJ621">
            <v>0</v>
          </cell>
          <cell r="EK621">
            <v>42293</v>
          </cell>
          <cell r="EM621">
            <v>42294</v>
          </cell>
          <cell r="EQ621">
            <v>42301</v>
          </cell>
          <cell r="EW621">
            <v>0</v>
          </cell>
          <cell r="EX621">
            <v>42315</v>
          </cell>
          <cell r="EZ621">
            <v>42311</v>
          </cell>
          <cell r="FB621">
            <v>42313</v>
          </cell>
          <cell r="FU621">
            <v>42315</v>
          </cell>
          <cell r="FW621">
            <v>42315</v>
          </cell>
          <cell r="FY621" t="str">
            <v>AZM</v>
          </cell>
          <cell r="GI621">
            <v>42246</v>
          </cell>
          <cell r="GJ621">
            <v>0</v>
          </cell>
          <cell r="GN621" t="str">
            <v>ERICSSON</v>
          </cell>
          <cell r="GS621" t="str">
            <v>4/4/4</v>
          </cell>
          <cell r="GU621" t="str">
            <v xml:space="preserve">		</v>
          </cell>
          <cell r="HD621">
            <v>1</v>
          </cell>
        </row>
        <row r="622">
          <cell r="A622" t="str">
            <v>SH0393</v>
          </cell>
          <cell r="B622" t="str">
            <v>ANSH_0017</v>
          </cell>
          <cell r="C622" t="str">
            <v>Apollo</v>
          </cell>
          <cell r="D622" t="str">
            <v>Chris Thomson</v>
          </cell>
          <cell r="F622" t="str">
            <v>Mya Kyauk</v>
          </cell>
          <cell r="G622" t="str">
            <v>Thandar Htoo</v>
          </cell>
          <cell r="H622" t="str">
            <v>RED</v>
          </cell>
          <cell r="I622" t="str">
            <v>North</v>
          </cell>
          <cell r="J622" t="str">
            <v>96.8806188285131</v>
          </cell>
          <cell r="K622" t="str">
            <v>20.634819122941</v>
          </cell>
          <cell r="L622" t="str">
            <v>Rural</v>
          </cell>
          <cell r="M622" t="str">
            <v>Shan South</v>
          </cell>
          <cell r="N622" t="str">
            <v>Nyaungshwe</v>
          </cell>
          <cell r="O622" t="str">
            <v>Nyaungshwe</v>
          </cell>
          <cell r="P622" t="str">
            <v>Shan South</v>
          </cell>
          <cell r="Q622" t="str">
            <v>6</v>
          </cell>
          <cell r="R622" t="str">
            <v>Nyaungshwe</v>
          </cell>
          <cell r="S622" t="str">
            <v>243</v>
          </cell>
          <cell r="T622" t="str">
            <v>GSM+UMTS</v>
          </cell>
          <cell r="W622" t="str">
            <v>Ph2-Priority</v>
          </cell>
          <cell r="X622" t="str">
            <v>45</v>
          </cell>
          <cell r="Y622" t="str">
            <v>47</v>
          </cell>
          <cell r="Z622" t="str">
            <v>GBT</v>
          </cell>
          <cell r="AA622" t="str">
            <v>500</v>
          </cell>
          <cell r="AB622" t="str">
            <v>Access</v>
          </cell>
          <cell r="AC622" t="str">
            <v>Class C</v>
          </cell>
          <cell r="BE622" t="str">
            <v>Route 4 Meiktila - Taunggyi</v>
          </cell>
          <cell r="BH622" t="str">
            <v>Leadcom</v>
          </cell>
          <cell r="BJ622">
            <v>42174</v>
          </cell>
          <cell r="BK622">
            <v>42168</v>
          </cell>
          <cell r="BL622">
            <v>42179</v>
          </cell>
          <cell r="BM622">
            <v>42175</v>
          </cell>
          <cell r="BT622">
            <v>20</v>
          </cell>
          <cell r="BU622">
            <v>42199</v>
          </cell>
          <cell r="BV622">
            <v>42188</v>
          </cell>
          <cell r="BW622" t="str">
            <v>96.87763</v>
          </cell>
          <cell r="BX622" t="str">
            <v>20.63494</v>
          </cell>
          <cell r="BY622" t="str">
            <v>C1</v>
          </cell>
          <cell r="BZ622" t="str">
            <v>Taungyi Division, Nyaung Shwe Tsp, Taung Poe Kyi Group, Naung Win Yay Puu San Village, Shan State</v>
          </cell>
          <cell r="CA622" t="str">
            <v>U Than Tun</v>
          </cell>
          <cell r="CB622" t="str">
            <v>3 July 15 : C1 SAR sub(Existing MPT Tower @ 520M away)</v>
          </cell>
          <cell r="CC622" t="str">
            <v>Cultivated Land</v>
          </cell>
          <cell r="CE622">
            <v>3</v>
          </cell>
          <cell r="CF622">
            <v>42200</v>
          </cell>
          <cell r="CG622">
            <v>42191</v>
          </cell>
          <cell r="CH622">
            <v>42202</v>
          </cell>
          <cell r="CJ622">
            <v>42200</v>
          </cell>
          <cell r="CK622" t="str">
            <v>45</v>
          </cell>
          <cell r="CL622" t="str">
            <v>47</v>
          </cell>
          <cell r="CM622" t="str">
            <v>50</v>
          </cell>
          <cell r="CN622">
            <v>11</v>
          </cell>
          <cell r="CO622">
            <v>42205</v>
          </cell>
          <cell r="CP622">
            <v>42202</v>
          </cell>
          <cell r="CQ622" t="str">
            <v>M1: grid power + battery</v>
          </cell>
          <cell r="CR622">
            <v>4</v>
          </cell>
          <cell r="CS622">
            <v>42206</v>
          </cell>
          <cell r="CT622">
            <v>42206</v>
          </cell>
          <cell r="CU622" t="str">
            <v>SH0393</v>
          </cell>
          <cell r="DH622">
            <v>27</v>
          </cell>
          <cell r="DI622">
            <v>42216</v>
          </cell>
          <cell r="DK622">
            <v>42213</v>
          </cell>
          <cell r="DM622">
            <v>42217</v>
          </cell>
          <cell r="DO622">
            <v>0</v>
          </cell>
          <cell r="DP622">
            <v>42216</v>
          </cell>
          <cell r="DT622">
            <v>0</v>
          </cell>
          <cell r="DU622">
            <v>42231</v>
          </cell>
          <cell r="DW622">
            <v>0</v>
          </cell>
          <cell r="DY622">
            <v>42217</v>
          </cell>
          <cell r="EA622" t="str">
            <v>Leadcom</v>
          </cell>
          <cell r="EJ622">
            <v>0</v>
          </cell>
          <cell r="EK622">
            <v>42234</v>
          </cell>
          <cell r="EM622">
            <v>42235</v>
          </cell>
          <cell r="EQ622">
            <v>42244</v>
          </cell>
          <cell r="EW622">
            <v>0</v>
          </cell>
          <cell r="EX622">
            <v>42254</v>
          </cell>
          <cell r="EZ622">
            <v>42254</v>
          </cell>
          <cell r="FB622">
            <v>42256</v>
          </cell>
          <cell r="FU622">
            <v>42258</v>
          </cell>
          <cell r="FW622">
            <v>42258</v>
          </cell>
          <cell r="GI622">
            <v>42133</v>
          </cell>
          <cell r="GJ622">
            <v>0</v>
          </cell>
          <cell r="GN622" t="str">
            <v>ERICSSON</v>
          </cell>
          <cell r="HD622">
            <v>1</v>
          </cell>
        </row>
        <row r="623">
          <cell r="A623" t="str">
            <v>SH0395</v>
          </cell>
          <cell r="B623" t="str">
            <v>ANSH_0018</v>
          </cell>
          <cell r="C623" t="str">
            <v>Apollo</v>
          </cell>
          <cell r="D623" t="str">
            <v>Chris Thomson</v>
          </cell>
          <cell r="F623" t="str">
            <v>Mya Kyauk</v>
          </cell>
          <cell r="G623" t="str">
            <v>Thandar Htoo</v>
          </cell>
          <cell r="H623" t="str">
            <v>RED</v>
          </cell>
          <cell r="I623" t="str">
            <v>North</v>
          </cell>
          <cell r="J623" t="str">
            <v>96.6993836876933</v>
          </cell>
          <cell r="K623" t="str">
            <v>20.4192273629536</v>
          </cell>
          <cell r="L623" t="str">
            <v>Rural</v>
          </cell>
          <cell r="M623" t="str">
            <v>Shan South</v>
          </cell>
          <cell r="N623" t="str">
            <v>Pinlaung</v>
          </cell>
          <cell r="O623" t="str">
            <v>Pinlaung</v>
          </cell>
          <cell r="P623" t="str">
            <v>Shan South</v>
          </cell>
          <cell r="Q623" t="str">
            <v>6</v>
          </cell>
          <cell r="R623" t="str">
            <v>Pinlaung</v>
          </cell>
          <cell r="S623" t="str">
            <v>250</v>
          </cell>
          <cell r="T623" t="str">
            <v>GSM+UMTS</v>
          </cell>
          <cell r="W623" t="str">
            <v>Ph2-Priority</v>
          </cell>
          <cell r="X623" t="str">
            <v>45</v>
          </cell>
          <cell r="Y623" t="str">
            <v>47</v>
          </cell>
          <cell r="Z623" t="str">
            <v>GBT</v>
          </cell>
          <cell r="AA623" t="str">
            <v>500</v>
          </cell>
          <cell r="AB623" t="str">
            <v>Access</v>
          </cell>
          <cell r="AC623" t="str">
            <v>Class C</v>
          </cell>
          <cell r="BE623" t="str">
            <v>Route 4 Meiktila - Taunggyi</v>
          </cell>
          <cell r="BH623" t="str">
            <v>Leadcom</v>
          </cell>
          <cell r="BJ623">
            <v>42174</v>
          </cell>
          <cell r="BK623">
            <v>42168</v>
          </cell>
          <cell r="BL623">
            <v>42179</v>
          </cell>
          <cell r="BM623">
            <v>42175</v>
          </cell>
          <cell r="BT623">
            <v>61</v>
          </cell>
          <cell r="BU623">
            <v>42199</v>
          </cell>
          <cell r="BV623">
            <v>42229</v>
          </cell>
          <cell r="BW623" t="str">
            <v>96.70217</v>
          </cell>
          <cell r="BX623" t="str">
            <v>20.42093</v>
          </cell>
          <cell r="BY623" t="str">
            <v>C2</v>
          </cell>
          <cell r="BZ623" t="str">
            <v>Kywe Pon village, Sagaing township, Sagaing.</v>
          </cell>
          <cell r="CA623" t="str">
            <v>U Nyo Maung;Kywe Pon village, Sagaing township, Sagaing division.;9792214982</v>
          </cell>
          <cell r="CB623" t="str">
            <v>13 Aug 15 : C2 SAR sub(331m From Existing 40M MPT Tower)</v>
          </cell>
          <cell r="CC623" t="str">
            <v>Residential</v>
          </cell>
          <cell r="CE623">
            <v>4</v>
          </cell>
          <cell r="CF623">
            <v>42200</v>
          </cell>
          <cell r="CG623">
            <v>42234</v>
          </cell>
          <cell r="CH623">
            <v>42202</v>
          </cell>
          <cell r="CJ623">
            <v>42157</v>
          </cell>
          <cell r="CK623" t="str">
            <v>45</v>
          </cell>
          <cell r="CL623" t="str">
            <v>47</v>
          </cell>
          <cell r="CM623" t="str">
            <v>50</v>
          </cell>
          <cell r="CN623">
            <v>0</v>
          </cell>
          <cell r="CO623">
            <v>42205</v>
          </cell>
          <cell r="CP623">
            <v>42159</v>
          </cell>
          <cell r="CQ623" t="str">
            <v>M1: grid power + battery</v>
          </cell>
          <cell r="CR623">
            <v>0</v>
          </cell>
          <cell r="CS623">
            <v>42206</v>
          </cell>
          <cell r="CT623">
            <v>42163</v>
          </cell>
          <cell r="CU623" t="str">
            <v>SH0395</v>
          </cell>
          <cell r="DH623">
            <v>0</v>
          </cell>
          <cell r="DI623">
            <v>42216</v>
          </cell>
          <cell r="DJ623">
            <v>42171</v>
          </cell>
          <cell r="DK623">
            <v>42213</v>
          </cell>
          <cell r="DL623">
            <v>42172</v>
          </cell>
          <cell r="DM623">
            <v>42217</v>
          </cell>
          <cell r="DN623">
            <v>42181</v>
          </cell>
          <cell r="DO623">
            <v>0</v>
          </cell>
          <cell r="DP623">
            <v>42216</v>
          </cell>
          <cell r="DQ623">
            <v>42171</v>
          </cell>
          <cell r="DT623">
            <v>0</v>
          </cell>
          <cell r="DU623">
            <v>42231</v>
          </cell>
          <cell r="DW623">
            <v>0</v>
          </cell>
          <cell r="DY623">
            <v>42217</v>
          </cell>
          <cell r="DZ623">
            <v>42181</v>
          </cell>
          <cell r="EA623" t="str">
            <v>Leadcom</v>
          </cell>
          <cell r="EJ623">
            <v>0</v>
          </cell>
          <cell r="EK623">
            <v>42239</v>
          </cell>
          <cell r="EL623">
            <v>42226</v>
          </cell>
          <cell r="EM623">
            <v>42240</v>
          </cell>
          <cell r="EN623">
            <v>42235</v>
          </cell>
          <cell r="EQ623">
            <v>42252</v>
          </cell>
          <cell r="EW623">
            <v>0</v>
          </cell>
          <cell r="EX623">
            <v>42262</v>
          </cell>
          <cell r="EZ623">
            <v>42262</v>
          </cell>
          <cell r="FB623">
            <v>42264</v>
          </cell>
          <cell r="FU623">
            <v>42266</v>
          </cell>
          <cell r="FW623">
            <v>42266</v>
          </cell>
          <cell r="GF623">
            <v>42154</v>
          </cell>
          <cell r="GI623">
            <v>42133</v>
          </cell>
          <cell r="GJ623">
            <v>0</v>
          </cell>
          <cell r="GN623" t="str">
            <v>ERICSSON</v>
          </cell>
          <cell r="GP623">
            <v>42207</v>
          </cell>
          <cell r="HD623">
            <v>1</v>
          </cell>
        </row>
        <row r="624">
          <cell r="A624" t="str">
            <v>SH0450</v>
          </cell>
          <cell r="B624" t="str">
            <v>ANSH_0019</v>
          </cell>
          <cell r="C624" t="str">
            <v>Apollo</v>
          </cell>
          <cell r="D624" t="str">
            <v>Chris Thomson</v>
          </cell>
          <cell r="F624" t="str">
            <v>Mya Kyauk</v>
          </cell>
          <cell r="G624" t="str">
            <v>Thandar Htoo</v>
          </cell>
          <cell r="H624" t="str">
            <v>RED</v>
          </cell>
          <cell r="I624" t="str">
            <v>North</v>
          </cell>
          <cell r="J624" t="str">
            <v>96.8938</v>
          </cell>
          <cell r="K624" t="str">
            <v>20.4302</v>
          </cell>
          <cell r="L624" t="str">
            <v>Rural</v>
          </cell>
          <cell r="M624" t="str">
            <v>Shan South</v>
          </cell>
          <cell r="N624" t="str">
            <v>Nyaungshwe</v>
          </cell>
          <cell r="O624" t="str">
            <v>Nyaungshwe</v>
          </cell>
          <cell r="P624" t="str">
            <v>Shan South</v>
          </cell>
          <cell r="Q624" t="str">
            <v>6</v>
          </cell>
          <cell r="R624" t="str">
            <v>Nyaungshwe</v>
          </cell>
          <cell r="S624" t="str">
            <v>243</v>
          </cell>
          <cell r="T624" t="str">
            <v>GSM+UMTS</v>
          </cell>
          <cell r="W624" t="str">
            <v>Ph2-Priority</v>
          </cell>
          <cell r="X624" t="str">
            <v>45</v>
          </cell>
          <cell r="Y624" t="str">
            <v>47</v>
          </cell>
          <cell r="Z624" t="str">
            <v>GBT</v>
          </cell>
          <cell r="AA624" t="str">
            <v>500</v>
          </cell>
          <cell r="AB624" t="str">
            <v>Access</v>
          </cell>
          <cell r="AC624" t="str">
            <v>Class C</v>
          </cell>
          <cell r="BE624" t="str">
            <v>Route 4 Meiktila - Taunggyi</v>
          </cell>
          <cell r="BH624" t="str">
            <v>Leadcom</v>
          </cell>
          <cell r="BJ624">
            <v>42174</v>
          </cell>
          <cell r="BL624">
            <v>42179</v>
          </cell>
          <cell r="BT624">
            <v>42158</v>
          </cell>
          <cell r="BU624">
            <v>42199</v>
          </cell>
          <cell r="BV624">
            <v>42248</v>
          </cell>
          <cell r="BW624" t="str">
            <v>96.90076</v>
          </cell>
          <cell r="BX624" t="str">
            <v>20.42692</v>
          </cell>
          <cell r="BY624" t="str">
            <v>C1</v>
          </cell>
          <cell r="CB624" t="str">
            <v>3 Sept 15: C1 SAR app as an option 1(MW1: site dependence on Repeater SH0014_R1 (52m) (20.375888,97.042692))</v>
          </cell>
          <cell r="CC624" t="str">
            <v>Residential</v>
          </cell>
          <cell r="CE624">
            <v>0</v>
          </cell>
          <cell r="CF624">
            <v>42200</v>
          </cell>
          <cell r="CG624">
            <v>42250</v>
          </cell>
          <cell r="CH624">
            <v>42202</v>
          </cell>
          <cell r="CN624">
            <v>0</v>
          </cell>
          <cell r="CO624">
            <v>42205</v>
          </cell>
          <cell r="CQ624" t="str">
            <v>M1: grid power + battery</v>
          </cell>
          <cell r="CR624">
            <v>0</v>
          </cell>
          <cell r="CS624">
            <v>42206</v>
          </cell>
          <cell r="CU624" t="str">
            <v>SH0450</v>
          </cell>
          <cell r="DH624">
            <v>0</v>
          </cell>
          <cell r="DI624">
            <v>42216</v>
          </cell>
          <cell r="DK624">
            <v>42213</v>
          </cell>
          <cell r="DM624">
            <v>42217</v>
          </cell>
          <cell r="DO624">
            <v>0</v>
          </cell>
          <cell r="DP624">
            <v>42216</v>
          </cell>
          <cell r="DT624">
            <v>0</v>
          </cell>
          <cell r="DU624">
            <v>42231</v>
          </cell>
          <cell r="DW624">
            <v>0</v>
          </cell>
          <cell r="DY624">
            <v>42217</v>
          </cell>
          <cell r="EA624" t="str">
            <v>Leadcom</v>
          </cell>
          <cell r="EJ624">
            <v>0</v>
          </cell>
          <cell r="EK624">
            <v>42234</v>
          </cell>
          <cell r="EM624">
            <v>42235</v>
          </cell>
          <cell r="EQ624">
            <v>42244</v>
          </cell>
          <cell r="EW624">
            <v>0</v>
          </cell>
          <cell r="EX624">
            <v>42254</v>
          </cell>
          <cell r="EZ624">
            <v>42254</v>
          </cell>
          <cell r="FB624">
            <v>42256</v>
          </cell>
          <cell r="FU624">
            <v>42258</v>
          </cell>
          <cell r="FW624">
            <v>42258</v>
          </cell>
          <cell r="GJ624">
            <v>0</v>
          </cell>
          <cell r="GN624" t="str">
            <v>ERICSSON</v>
          </cell>
          <cell r="GS624" t="str">
            <v>4/4/4</v>
          </cell>
          <cell r="GU624" t="str">
            <v xml:space="preserve">		</v>
          </cell>
          <cell r="HD624">
            <v>1</v>
          </cell>
        </row>
        <row r="625">
          <cell r="A625" t="str">
            <v>SH0451</v>
          </cell>
          <cell r="B625" t="str">
            <v>ANSH_0020</v>
          </cell>
          <cell r="C625" t="str">
            <v>Apollo</v>
          </cell>
          <cell r="D625" t="str">
            <v>Chris Thomson</v>
          </cell>
          <cell r="F625" t="str">
            <v>Mya Kyauk</v>
          </cell>
          <cell r="G625" t="str">
            <v>Thandar Htoo</v>
          </cell>
          <cell r="H625" t="str">
            <v>RED</v>
          </cell>
          <cell r="I625" t="str">
            <v>North</v>
          </cell>
          <cell r="J625" t="str">
            <v>96.8817</v>
          </cell>
          <cell r="K625" t="str">
            <v>20.5108</v>
          </cell>
          <cell r="L625" t="str">
            <v>Rural</v>
          </cell>
          <cell r="M625" t="str">
            <v>Shan South</v>
          </cell>
          <cell r="N625" t="str">
            <v>Nyaungshwe</v>
          </cell>
          <cell r="O625" t="str">
            <v>Nyaungshwe</v>
          </cell>
          <cell r="P625" t="str">
            <v>Shan South</v>
          </cell>
          <cell r="Q625" t="str">
            <v>6</v>
          </cell>
          <cell r="R625" t="str">
            <v>Nyaungshwe</v>
          </cell>
          <cell r="S625" t="str">
            <v>243</v>
          </cell>
          <cell r="T625" t="str">
            <v>GSM+UMTS</v>
          </cell>
          <cell r="W625" t="str">
            <v>Ph2-Priority</v>
          </cell>
          <cell r="X625" t="str">
            <v>45</v>
          </cell>
          <cell r="Y625" t="str">
            <v>47</v>
          </cell>
          <cell r="Z625" t="str">
            <v>GBT</v>
          </cell>
          <cell r="AA625" t="str">
            <v>500</v>
          </cell>
          <cell r="AB625" t="str">
            <v>Access</v>
          </cell>
          <cell r="AC625" t="str">
            <v>Class C</v>
          </cell>
          <cell r="BE625" t="str">
            <v>Route 4 Meiktila - Taunggyi</v>
          </cell>
          <cell r="BH625" t="str">
            <v>Leadcom</v>
          </cell>
          <cell r="BJ625">
            <v>42174</v>
          </cell>
          <cell r="BK625">
            <v>42130</v>
          </cell>
          <cell r="BL625">
            <v>42179</v>
          </cell>
          <cell r="BM625">
            <v>42140</v>
          </cell>
          <cell r="BT625">
            <v>39</v>
          </cell>
          <cell r="BU625">
            <v>42200</v>
          </cell>
          <cell r="BV625">
            <v>42248</v>
          </cell>
          <cell r="BW625" t="str">
            <v>96.88443</v>
          </cell>
          <cell r="BX625" t="str">
            <v>20.51196</v>
          </cell>
          <cell r="BY625" t="str">
            <v>C1</v>
          </cell>
          <cell r="BZ625" t="str">
            <v>Ngapyawtine Village, Kantbaluu Township, Shwe Bo District, Sagaing.</v>
          </cell>
          <cell r="CA625" t="str">
            <v>U Nyo Aung;Ngapyawtine Village, Kantbaluu Township, Shwe Bo District, Sagaing;09 47080848;09 33557671</v>
          </cell>
          <cell r="CB625" t="str">
            <v>14May15: C1-SAR_REV1 submission (adjusted 26m from original located as per lessor's request during TSS); 26May15: C1 SAR Sub.</v>
          </cell>
          <cell r="CC625" t="str">
            <v>Residential</v>
          </cell>
          <cell r="CE625">
            <v>0</v>
          </cell>
          <cell r="CF625">
            <v>42201</v>
          </cell>
          <cell r="CG625">
            <v>42249</v>
          </cell>
          <cell r="CH625">
            <v>42203</v>
          </cell>
          <cell r="CJ625">
            <v>42176</v>
          </cell>
          <cell r="CK625" t="str">
            <v>53</v>
          </cell>
          <cell r="CL625" t="str">
            <v>55</v>
          </cell>
          <cell r="CM625" t="str">
            <v>60</v>
          </cell>
          <cell r="CN625">
            <v>0</v>
          </cell>
          <cell r="CO625">
            <v>42206</v>
          </cell>
          <cell r="CP625">
            <v>42178</v>
          </cell>
          <cell r="CQ625" t="str">
            <v>M1: grid power + battery</v>
          </cell>
          <cell r="CR625">
            <v>0</v>
          </cell>
          <cell r="CS625">
            <v>42207</v>
          </cell>
          <cell r="CT625">
            <v>42179</v>
          </cell>
          <cell r="CU625" t="str">
            <v>SH0451</v>
          </cell>
          <cell r="DH625">
            <v>0</v>
          </cell>
          <cell r="DI625">
            <v>42217</v>
          </cell>
          <cell r="DK625">
            <v>42214</v>
          </cell>
          <cell r="DL625">
            <v>42198</v>
          </cell>
          <cell r="DM625">
            <v>42218</v>
          </cell>
          <cell r="DN625">
            <v>42201</v>
          </cell>
          <cell r="DO625">
            <v>0</v>
          </cell>
          <cell r="DP625">
            <v>42217</v>
          </cell>
          <cell r="DT625">
            <v>0</v>
          </cell>
          <cell r="DU625">
            <v>42232</v>
          </cell>
          <cell r="DW625">
            <v>0</v>
          </cell>
          <cell r="DY625">
            <v>42218</v>
          </cell>
          <cell r="DZ625">
            <v>42199</v>
          </cell>
          <cell r="EA625" t="str">
            <v>Leadcom</v>
          </cell>
          <cell r="EB625">
            <v>42215</v>
          </cell>
          <cell r="EE625" t="str">
            <v xml:space="preserve">10 Aug 15:Flood affected_Hold-No access; 30-Jul-15:  Flooded access or site is flooded_ we canÆt proceed to this site for now								</v>
          </cell>
          <cell r="EJ625">
            <v>0</v>
          </cell>
          <cell r="EK625">
            <v>42235</v>
          </cell>
          <cell r="EM625">
            <v>42236</v>
          </cell>
          <cell r="EQ625">
            <v>42245</v>
          </cell>
          <cell r="EW625">
            <v>0</v>
          </cell>
          <cell r="EX625">
            <v>42254</v>
          </cell>
          <cell r="EZ625">
            <v>42255</v>
          </cell>
          <cell r="FB625">
            <v>42257</v>
          </cell>
          <cell r="FU625">
            <v>42259</v>
          </cell>
          <cell r="FW625">
            <v>42259</v>
          </cell>
          <cell r="GI625">
            <v>42246</v>
          </cell>
          <cell r="GJ625">
            <v>0</v>
          </cell>
          <cell r="GN625" t="str">
            <v>ERICSSON</v>
          </cell>
          <cell r="HD625">
            <v>1</v>
          </cell>
        </row>
        <row r="626">
          <cell r="A626" t="str">
            <v>SH0452</v>
          </cell>
          <cell r="B626" t="str">
            <v>ANSH_0021</v>
          </cell>
          <cell r="C626" t="str">
            <v>Apollo</v>
          </cell>
          <cell r="D626" t="str">
            <v>Chris Thomson</v>
          </cell>
          <cell r="F626" t="str">
            <v>Mya Kyauk</v>
          </cell>
          <cell r="G626" t="str">
            <v>Thandar Htoo</v>
          </cell>
          <cell r="H626" t="str">
            <v>RED</v>
          </cell>
          <cell r="I626" t="str">
            <v>North</v>
          </cell>
          <cell r="J626" t="str">
            <v>96.8828</v>
          </cell>
          <cell r="K626" t="str">
            <v>20.4922</v>
          </cell>
          <cell r="L626" t="str">
            <v>Rural</v>
          </cell>
          <cell r="M626" t="str">
            <v>Shan South</v>
          </cell>
          <cell r="N626" t="str">
            <v>Nyaungshwe</v>
          </cell>
          <cell r="O626" t="str">
            <v>Nyaungshwe</v>
          </cell>
          <cell r="P626" t="str">
            <v>Shan South</v>
          </cell>
          <cell r="Q626" t="str">
            <v>6</v>
          </cell>
          <cell r="R626" t="str">
            <v>Nyaungshwe</v>
          </cell>
          <cell r="S626" t="str">
            <v>243</v>
          </cell>
          <cell r="T626" t="str">
            <v>GSM+UMTS</v>
          </cell>
          <cell r="W626" t="str">
            <v>Ph2-Priority</v>
          </cell>
          <cell r="X626" t="str">
            <v>45</v>
          </cell>
          <cell r="Y626" t="str">
            <v>47</v>
          </cell>
          <cell r="Z626" t="str">
            <v>GBT</v>
          </cell>
          <cell r="AA626" t="str">
            <v>500</v>
          </cell>
          <cell r="AB626" t="str">
            <v>Access</v>
          </cell>
          <cell r="AC626" t="str">
            <v>Class C</v>
          </cell>
          <cell r="BE626" t="str">
            <v>Route 4 Meiktila - Taunggyi</v>
          </cell>
          <cell r="BH626" t="str">
            <v>Leadcom</v>
          </cell>
          <cell r="BJ626">
            <v>42174</v>
          </cell>
          <cell r="BK626">
            <v>42158</v>
          </cell>
          <cell r="BL626">
            <v>42179</v>
          </cell>
          <cell r="BM626">
            <v>42165</v>
          </cell>
          <cell r="BT626">
            <v>17</v>
          </cell>
          <cell r="BU626">
            <v>42200</v>
          </cell>
          <cell r="BV626">
            <v>42248</v>
          </cell>
          <cell r="BW626" t="str">
            <v>96.88324</v>
          </cell>
          <cell r="BX626" t="str">
            <v>20.49394</v>
          </cell>
          <cell r="BY626" t="str">
            <v>C2</v>
          </cell>
          <cell r="BZ626" t="str">
            <v>Pim-Kyine village, Pinlaebuu Township, Sagaing Division</v>
          </cell>
          <cell r="CA626" t="str">
            <v>U Myo Htun</v>
          </cell>
          <cell r="CB626" t="str">
            <v>20Jun15: C1 SAR Sub</v>
          </cell>
          <cell r="CC626" t="str">
            <v>Residential</v>
          </cell>
          <cell r="CE626">
            <v>0</v>
          </cell>
          <cell r="CF626">
            <v>42201</v>
          </cell>
          <cell r="CG626">
            <v>42249</v>
          </cell>
          <cell r="CH626">
            <v>42203</v>
          </cell>
          <cell r="CJ626">
            <v>42196</v>
          </cell>
          <cell r="CK626" t="str">
            <v>45</v>
          </cell>
          <cell r="CL626" t="str">
            <v>47</v>
          </cell>
          <cell r="CM626" t="str">
            <v>50</v>
          </cell>
          <cell r="CN626">
            <v>0</v>
          </cell>
          <cell r="CO626">
            <v>42206</v>
          </cell>
          <cell r="CP626">
            <v>42198</v>
          </cell>
          <cell r="CQ626" t="str">
            <v>M1: grid power + battery</v>
          </cell>
          <cell r="CR626">
            <v>0</v>
          </cell>
          <cell r="CS626">
            <v>42207</v>
          </cell>
          <cell r="CT626">
            <v>42199</v>
          </cell>
          <cell r="CU626" t="str">
            <v>SH0452</v>
          </cell>
          <cell r="DH626">
            <v>0</v>
          </cell>
          <cell r="DI626">
            <v>42217</v>
          </cell>
          <cell r="DK626">
            <v>42214</v>
          </cell>
          <cell r="DM626">
            <v>42218</v>
          </cell>
          <cell r="DO626">
            <v>0</v>
          </cell>
          <cell r="DP626">
            <v>42217</v>
          </cell>
          <cell r="DT626">
            <v>0</v>
          </cell>
          <cell r="DU626">
            <v>42232</v>
          </cell>
          <cell r="DW626">
            <v>0</v>
          </cell>
          <cell r="DY626">
            <v>42218</v>
          </cell>
          <cell r="EA626" t="str">
            <v>Leadcom</v>
          </cell>
          <cell r="EJ626">
            <v>0</v>
          </cell>
          <cell r="EK626">
            <v>42235</v>
          </cell>
          <cell r="EM626">
            <v>42236</v>
          </cell>
          <cell r="EQ626">
            <v>42245</v>
          </cell>
          <cell r="EW626">
            <v>0</v>
          </cell>
          <cell r="EX626">
            <v>42254</v>
          </cell>
          <cell r="EZ626">
            <v>42255</v>
          </cell>
          <cell r="FB626">
            <v>42257</v>
          </cell>
          <cell r="FU626">
            <v>42259</v>
          </cell>
          <cell r="FW626">
            <v>42259</v>
          </cell>
          <cell r="GI626">
            <v>42215</v>
          </cell>
          <cell r="GJ626">
            <v>0</v>
          </cell>
          <cell r="GN626" t="str">
            <v>ERICSSON</v>
          </cell>
          <cell r="HD626">
            <v>1</v>
          </cell>
        </row>
        <row r="627">
          <cell r="A627" t="str">
            <v>SH0454</v>
          </cell>
          <cell r="B627" t="str">
            <v>ANSH_0022</v>
          </cell>
          <cell r="C627" t="str">
            <v>Apollo</v>
          </cell>
          <cell r="D627" t="str">
            <v>Chris Thomson</v>
          </cell>
          <cell r="F627" t="str">
            <v>Mya Kyauk</v>
          </cell>
          <cell r="G627" t="str">
            <v>Thandar Htoo</v>
          </cell>
          <cell r="H627" t="str">
            <v>RED</v>
          </cell>
          <cell r="I627" t="str">
            <v>North</v>
          </cell>
          <cell r="J627" t="str">
            <v>96.8987</v>
          </cell>
          <cell r="K627" t="str">
            <v>20.4647</v>
          </cell>
          <cell r="L627" t="str">
            <v>Rural</v>
          </cell>
          <cell r="M627" t="str">
            <v>Shan South</v>
          </cell>
          <cell r="N627" t="str">
            <v>Nyaungshwe</v>
          </cell>
          <cell r="O627" t="str">
            <v>Nyaungshwe</v>
          </cell>
          <cell r="P627" t="str">
            <v>Shan South</v>
          </cell>
          <cell r="Q627" t="str">
            <v>6</v>
          </cell>
          <cell r="R627" t="str">
            <v>Nyaungshwe</v>
          </cell>
          <cell r="S627" t="str">
            <v>243</v>
          </cell>
          <cell r="T627" t="str">
            <v>GSM+UMTS</v>
          </cell>
          <cell r="W627" t="str">
            <v>Ph2-Priority</v>
          </cell>
          <cell r="X627" t="str">
            <v>45</v>
          </cell>
          <cell r="Y627" t="str">
            <v>47</v>
          </cell>
          <cell r="Z627" t="str">
            <v>GBT</v>
          </cell>
          <cell r="AA627" t="str">
            <v>250</v>
          </cell>
          <cell r="AB627" t="str">
            <v>Access</v>
          </cell>
          <cell r="AC627" t="str">
            <v>Class C</v>
          </cell>
          <cell r="BE627" t="str">
            <v>Route 15 Taunggyi - Tachileik</v>
          </cell>
          <cell r="BH627" t="str">
            <v>Leadcom</v>
          </cell>
          <cell r="BJ627">
            <v>42174</v>
          </cell>
          <cell r="BL627">
            <v>42179</v>
          </cell>
          <cell r="BT627">
            <v>42158</v>
          </cell>
          <cell r="BU627">
            <v>42200</v>
          </cell>
          <cell r="BV627">
            <v>42248</v>
          </cell>
          <cell r="BW627" t="str">
            <v>96.9313</v>
          </cell>
          <cell r="BX627" t="str">
            <v>20.4648</v>
          </cell>
          <cell r="BY627" t="str">
            <v>C1</v>
          </cell>
          <cell r="CB627" t="str">
            <v>18 Aug 15:C2 SAR sub</v>
          </cell>
          <cell r="CC627" t="str">
            <v>Residential</v>
          </cell>
          <cell r="CE627">
            <v>0</v>
          </cell>
          <cell r="CF627">
            <v>42201</v>
          </cell>
          <cell r="CG627">
            <v>42249</v>
          </cell>
          <cell r="CH627">
            <v>42203</v>
          </cell>
          <cell r="CN627">
            <v>0</v>
          </cell>
          <cell r="CO627">
            <v>42206</v>
          </cell>
          <cell r="CQ627" t="str">
            <v>M4: solar + DG + battery</v>
          </cell>
          <cell r="CR627">
            <v>0</v>
          </cell>
          <cell r="CS627">
            <v>42207</v>
          </cell>
          <cell r="CU627" t="str">
            <v>SH0454</v>
          </cell>
          <cell r="DH627">
            <v>0</v>
          </cell>
          <cell r="DI627">
            <v>42217</v>
          </cell>
          <cell r="DK627">
            <v>42214</v>
          </cell>
          <cell r="DM627">
            <v>42218</v>
          </cell>
          <cell r="DO627">
            <v>0</v>
          </cell>
          <cell r="DP627">
            <v>42217</v>
          </cell>
          <cell r="DT627">
            <v>0</v>
          </cell>
          <cell r="DU627">
            <v>42232</v>
          </cell>
          <cell r="DW627">
            <v>0</v>
          </cell>
          <cell r="DY627">
            <v>42218</v>
          </cell>
          <cell r="EA627" t="str">
            <v>Leadcom</v>
          </cell>
          <cell r="EJ627">
            <v>0</v>
          </cell>
          <cell r="EK627">
            <v>42235</v>
          </cell>
          <cell r="EM627">
            <v>42236</v>
          </cell>
          <cell r="EQ627">
            <v>42245</v>
          </cell>
          <cell r="EW627">
            <v>0</v>
          </cell>
          <cell r="EX627">
            <v>42254</v>
          </cell>
          <cell r="EZ627">
            <v>42255</v>
          </cell>
          <cell r="FB627">
            <v>42257</v>
          </cell>
          <cell r="FU627">
            <v>42259</v>
          </cell>
          <cell r="FW627">
            <v>42259</v>
          </cell>
          <cell r="GJ627">
            <v>0</v>
          </cell>
          <cell r="GN627" t="str">
            <v>ERICSSON</v>
          </cell>
          <cell r="GS627" t="str">
            <v>4/4/4</v>
          </cell>
          <cell r="GU627" t="str">
            <v xml:space="preserve">		</v>
          </cell>
          <cell r="HD627">
            <v>1</v>
          </cell>
        </row>
        <row r="628">
          <cell r="A628" t="str">
            <v>SH0456</v>
          </cell>
          <cell r="B628" t="str">
            <v>ANSH_0023</v>
          </cell>
          <cell r="C628" t="str">
            <v>Apollo</v>
          </cell>
          <cell r="D628" t="str">
            <v>Chris Thomson</v>
          </cell>
          <cell r="F628" t="str">
            <v>Mya Kyauk</v>
          </cell>
          <cell r="G628" t="str">
            <v>Thandar Htoo</v>
          </cell>
          <cell r="H628" t="str">
            <v>RED</v>
          </cell>
          <cell r="I628" t="str">
            <v>North</v>
          </cell>
          <cell r="J628" t="str">
            <v>96.9321</v>
          </cell>
          <cell r="K628" t="str">
            <v>20.5264</v>
          </cell>
          <cell r="L628" t="str">
            <v>Rural</v>
          </cell>
          <cell r="M628" t="str">
            <v>Shan South</v>
          </cell>
          <cell r="N628" t="str">
            <v>Nyaungshwe</v>
          </cell>
          <cell r="O628" t="str">
            <v>Nyaungshwe</v>
          </cell>
          <cell r="P628" t="str">
            <v>Shan South</v>
          </cell>
          <cell r="Q628" t="str">
            <v>6</v>
          </cell>
          <cell r="R628" t="str">
            <v>Nyaungshwe</v>
          </cell>
          <cell r="S628" t="str">
            <v>243</v>
          </cell>
          <cell r="T628" t="str">
            <v>GSM+UMTS</v>
          </cell>
          <cell r="U628" t="str">
            <v>YAN-N007</v>
          </cell>
          <cell r="V628" t="str">
            <v>1</v>
          </cell>
          <cell r="W628" t="str">
            <v>Ph2-Priority</v>
          </cell>
          <cell r="X628" t="str">
            <v>45</v>
          </cell>
          <cell r="Y628" t="str">
            <v>47</v>
          </cell>
          <cell r="Z628" t="str">
            <v>GBT</v>
          </cell>
          <cell r="AA628" t="str">
            <v>500</v>
          </cell>
          <cell r="AB628" t="str">
            <v>Access</v>
          </cell>
          <cell r="AC628" t="str">
            <v>Class C</v>
          </cell>
          <cell r="AD628" t="str">
            <v>1210.77</v>
          </cell>
          <cell r="AE628" t="str">
            <v>1836.84</v>
          </cell>
          <cell r="AF628" t="str">
            <v>1</v>
          </cell>
          <cell r="AG628" t="str">
            <v>YN0134</v>
          </cell>
          <cell r="AH628" t="str">
            <v>YN0145</v>
          </cell>
          <cell r="BC628" t="str">
            <v>YN0145</v>
          </cell>
          <cell r="BE628" t="str">
            <v>Route 15 Taunggyi - Tachileik</v>
          </cell>
          <cell r="BF628">
            <v>41760</v>
          </cell>
          <cell r="BG628">
            <v>41907</v>
          </cell>
          <cell r="BH628" t="str">
            <v>Leadcom</v>
          </cell>
          <cell r="BJ628">
            <v>42174</v>
          </cell>
          <cell r="BK628">
            <v>42168</v>
          </cell>
          <cell r="BL628">
            <v>42179</v>
          </cell>
          <cell r="BM628">
            <v>42175</v>
          </cell>
          <cell r="BT628">
            <v>65</v>
          </cell>
          <cell r="BU628">
            <v>42200</v>
          </cell>
          <cell r="BV628">
            <v>42248</v>
          </cell>
          <cell r="BW628" t="str">
            <v>96.93302</v>
          </cell>
          <cell r="BX628" t="str">
            <v>20.52616</v>
          </cell>
          <cell r="BY628" t="str">
            <v>C2</v>
          </cell>
          <cell r="CC628" t="str">
            <v>Residential</v>
          </cell>
          <cell r="CE628">
            <v>0</v>
          </cell>
          <cell r="CF628">
            <v>42201</v>
          </cell>
          <cell r="CG628">
            <v>42249</v>
          </cell>
          <cell r="CH628">
            <v>42203</v>
          </cell>
          <cell r="CN628">
            <v>0</v>
          </cell>
          <cell r="CO628">
            <v>42206</v>
          </cell>
          <cell r="CQ628" t="str">
            <v>M1: grid power + battery</v>
          </cell>
          <cell r="CR628">
            <v>0</v>
          </cell>
          <cell r="CS628">
            <v>42207</v>
          </cell>
          <cell r="CU628" t="str">
            <v>SH0456</v>
          </cell>
          <cell r="DH628">
            <v>0</v>
          </cell>
          <cell r="DI628">
            <v>42217</v>
          </cell>
          <cell r="DK628">
            <v>42214</v>
          </cell>
          <cell r="DM628">
            <v>42218</v>
          </cell>
          <cell r="DO628">
            <v>0</v>
          </cell>
          <cell r="DP628">
            <v>42217</v>
          </cell>
          <cell r="DR628" t="str">
            <v>YCDC</v>
          </cell>
          <cell r="DT628">
            <v>0</v>
          </cell>
          <cell r="DU628">
            <v>42232</v>
          </cell>
          <cell r="DW628">
            <v>0</v>
          </cell>
          <cell r="DY628">
            <v>42218</v>
          </cell>
          <cell r="EA628" t="str">
            <v>Leadcom</v>
          </cell>
          <cell r="EJ628">
            <v>0</v>
          </cell>
          <cell r="EK628">
            <v>42235</v>
          </cell>
          <cell r="EM628">
            <v>42236</v>
          </cell>
          <cell r="EQ628">
            <v>42245</v>
          </cell>
          <cell r="EW628">
            <v>0</v>
          </cell>
          <cell r="EX628">
            <v>42256</v>
          </cell>
          <cell r="EZ628">
            <v>42255</v>
          </cell>
          <cell r="FB628">
            <v>42257</v>
          </cell>
          <cell r="FD628">
            <v>41936</v>
          </cell>
          <cell r="FF628">
            <v>41943</v>
          </cell>
          <cell r="FH628">
            <v>41945</v>
          </cell>
          <cell r="FJ628">
            <v>41948</v>
          </cell>
          <cell r="FN628">
            <v>41952</v>
          </cell>
          <cell r="FP628">
            <v>41954</v>
          </cell>
          <cell r="FR628">
            <v>41968</v>
          </cell>
          <cell r="FU628">
            <v>42259</v>
          </cell>
          <cell r="FW628">
            <v>42259</v>
          </cell>
          <cell r="GI628">
            <v>42277</v>
          </cell>
          <cell r="GJ628">
            <v>0</v>
          </cell>
          <cell r="GN628" t="str">
            <v>ERICSSON</v>
          </cell>
          <cell r="GS628" t="str">
            <v>4/4/4</v>
          </cell>
          <cell r="GU628" t="str">
            <v xml:space="preserve">		</v>
          </cell>
          <cell r="HD628">
            <v>1</v>
          </cell>
        </row>
        <row r="629">
          <cell r="A629" t="str">
            <v>SH0460</v>
          </cell>
          <cell r="B629" t="str">
            <v>ANSH_0024</v>
          </cell>
          <cell r="C629" t="str">
            <v>Apollo</v>
          </cell>
          <cell r="D629" t="str">
            <v>Chris Thomson</v>
          </cell>
          <cell r="F629" t="str">
            <v>Mya Kyauk</v>
          </cell>
          <cell r="G629" t="str">
            <v>Thandar Htoo</v>
          </cell>
          <cell r="H629" t="str">
            <v>RED</v>
          </cell>
          <cell r="I629" t="str">
            <v>North</v>
          </cell>
          <cell r="J629" t="str">
            <v>97.1688</v>
          </cell>
          <cell r="K629" t="str">
            <v>20.7892</v>
          </cell>
          <cell r="L629" t="str">
            <v>SubUrban</v>
          </cell>
          <cell r="M629" t="str">
            <v>Shan South</v>
          </cell>
          <cell r="N629" t="str">
            <v>Hopong</v>
          </cell>
          <cell r="O629" t="str">
            <v>Hopong</v>
          </cell>
          <cell r="P629" t="str">
            <v>Shan South</v>
          </cell>
          <cell r="Q629" t="str">
            <v>6</v>
          </cell>
          <cell r="R629" t="str">
            <v>Hopong</v>
          </cell>
          <cell r="S629" t="str">
            <v>244</v>
          </cell>
          <cell r="T629" t="str">
            <v>GSM+UMTS</v>
          </cell>
          <cell r="U629" t="str">
            <v>YAN-N033</v>
          </cell>
          <cell r="V629" t="str">
            <v>1</v>
          </cell>
          <cell r="W629" t="str">
            <v>Ph2-Priority</v>
          </cell>
          <cell r="X629" t="str">
            <v>35</v>
          </cell>
          <cell r="Y629" t="str">
            <v>37</v>
          </cell>
          <cell r="Z629" t="str">
            <v>GBT</v>
          </cell>
          <cell r="AA629" t="str">
            <v>100</v>
          </cell>
          <cell r="AB629" t="str">
            <v>Access</v>
          </cell>
          <cell r="AC629" t="str">
            <v>Class B</v>
          </cell>
          <cell r="AD629" t="str">
            <v>644.77</v>
          </cell>
          <cell r="AE629" t="str">
            <v>907.54</v>
          </cell>
          <cell r="AF629" t="str">
            <v>2</v>
          </cell>
          <cell r="AG629" t="str">
            <v>YN1173</v>
          </cell>
          <cell r="AH629" t="str">
            <v>YN1167</v>
          </cell>
          <cell r="BC629" t="str">
            <v>YN1167</v>
          </cell>
          <cell r="BE629" t="str">
            <v>Route 15 Taunggyi - Tachileik</v>
          </cell>
          <cell r="BF629">
            <v>42154</v>
          </cell>
          <cell r="BG629">
            <v>41935</v>
          </cell>
          <cell r="BH629" t="str">
            <v>Leadcom</v>
          </cell>
          <cell r="BJ629">
            <v>42175</v>
          </cell>
          <cell r="BK629">
            <v>42168</v>
          </cell>
          <cell r="BL629">
            <v>42180</v>
          </cell>
          <cell r="BM629">
            <v>42175</v>
          </cell>
          <cell r="BT629">
            <v>24</v>
          </cell>
          <cell r="BU629">
            <v>42260</v>
          </cell>
          <cell r="BV629">
            <v>42192</v>
          </cell>
          <cell r="BW629" t="str">
            <v>97.16675</v>
          </cell>
          <cell r="BX629" t="str">
            <v>20.7882</v>
          </cell>
          <cell r="BY629" t="str">
            <v>C1</v>
          </cell>
          <cell r="BZ629" t="str">
            <v>art(3),WonHtan Ward,Ho Pone Tsp,Taunggyi District,Shan State.</v>
          </cell>
          <cell r="CA629" t="str">
            <v>Daw Nan Own Tin</v>
          </cell>
          <cell r="CB629" t="str">
            <v>`</v>
          </cell>
          <cell r="CC629" t="str">
            <v>Residential</v>
          </cell>
          <cell r="CE629">
            <v>1</v>
          </cell>
          <cell r="CF629">
            <v>42261</v>
          </cell>
          <cell r="CG629">
            <v>42193</v>
          </cell>
          <cell r="CH629">
            <v>42263</v>
          </cell>
          <cell r="CJ629">
            <v>42224</v>
          </cell>
          <cell r="CK629" t="str">
            <v>35</v>
          </cell>
          <cell r="CL629" t="str">
            <v>37</v>
          </cell>
          <cell r="CM629" t="str">
            <v>40</v>
          </cell>
          <cell r="CN629">
            <v>33</v>
          </cell>
          <cell r="CO629">
            <v>42266</v>
          </cell>
          <cell r="CP629">
            <v>42226</v>
          </cell>
          <cell r="CQ629" t="str">
            <v>M1: grid power + battery</v>
          </cell>
          <cell r="CR629">
            <v>2</v>
          </cell>
          <cell r="CS629">
            <v>42267</v>
          </cell>
          <cell r="CT629">
            <v>42228</v>
          </cell>
          <cell r="CU629" t="str">
            <v>SH0460</v>
          </cell>
          <cell r="DH629">
            <v>5</v>
          </cell>
          <cell r="DI629">
            <v>42277</v>
          </cell>
          <cell r="DK629">
            <v>42274</v>
          </cell>
          <cell r="DM629">
            <v>42278</v>
          </cell>
          <cell r="DO629">
            <v>0</v>
          </cell>
          <cell r="DP629">
            <v>42277</v>
          </cell>
          <cell r="DR629" t="str">
            <v>YCDC</v>
          </cell>
          <cell r="DT629">
            <v>0</v>
          </cell>
          <cell r="DU629">
            <v>42292</v>
          </cell>
          <cell r="DW629">
            <v>0</v>
          </cell>
          <cell r="DY629">
            <v>42278</v>
          </cell>
          <cell r="EA629" t="str">
            <v>Leadcom</v>
          </cell>
          <cell r="EJ629">
            <v>0</v>
          </cell>
          <cell r="EK629">
            <v>42293</v>
          </cell>
          <cell r="EM629">
            <v>42294</v>
          </cell>
          <cell r="EQ629">
            <v>42301</v>
          </cell>
          <cell r="EW629">
            <v>0</v>
          </cell>
          <cell r="EX629">
            <v>42315</v>
          </cell>
          <cell r="EZ629">
            <v>42311</v>
          </cell>
          <cell r="FB629">
            <v>42313</v>
          </cell>
          <cell r="FD629">
            <v>41939</v>
          </cell>
          <cell r="FF629">
            <v>41946</v>
          </cell>
          <cell r="FH629">
            <v>41948</v>
          </cell>
          <cell r="FJ629">
            <v>41951</v>
          </cell>
          <cell r="FN629">
            <v>41955</v>
          </cell>
          <cell r="FP629">
            <v>41957</v>
          </cell>
          <cell r="FR629">
            <v>41971</v>
          </cell>
          <cell r="FU629">
            <v>42315</v>
          </cell>
          <cell r="FW629">
            <v>42315</v>
          </cell>
          <cell r="GJ629">
            <v>0</v>
          </cell>
          <cell r="GN629" t="str">
            <v>ERICSSON</v>
          </cell>
          <cell r="GS629" t="str">
            <v>4/4/4</v>
          </cell>
          <cell r="GU629" t="str">
            <v xml:space="preserve">		</v>
          </cell>
          <cell r="HD629">
            <v>1</v>
          </cell>
        </row>
        <row r="630">
          <cell r="A630" t="str">
            <v>SH0461</v>
          </cell>
          <cell r="B630" t="str">
            <v>ANSH_0025</v>
          </cell>
          <cell r="C630" t="str">
            <v>Apollo</v>
          </cell>
          <cell r="D630" t="str">
            <v>Chris Thomson</v>
          </cell>
          <cell r="F630" t="str">
            <v>Mya Kyauk</v>
          </cell>
          <cell r="G630" t="str">
            <v>Thandar Htoo</v>
          </cell>
          <cell r="H630" t="str">
            <v>RED</v>
          </cell>
          <cell r="I630" t="str">
            <v>North</v>
          </cell>
          <cell r="J630" t="str">
            <v>97.1717</v>
          </cell>
          <cell r="K630" t="str">
            <v>20.7846</v>
          </cell>
          <cell r="L630" t="str">
            <v>SubUrban</v>
          </cell>
          <cell r="M630" t="str">
            <v>Shan South</v>
          </cell>
          <cell r="N630" t="str">
            <v>Hopong</v>
          </cell>
          <cell r="O630" t="str">
            <v>Hopong</v>
          </cell>
          <cell r="P630" t="str">
            <v>Shan South</v>
          </cell>
          <cell r="Q630" t="str">
            <v>6</v>
          </cell>
          <cell r="R630" t="str">
            <v>Hopong</v>
          </cell>
          <cell r="S630" t="str">
            <v>244</v>
          </cell>
          <cell r="T630" t="str">
            <v>GSM+UMTS</v>
          </cell>
          <cell r="W630" t="str">
            <v>Ph2-Priority</v>
          </cell>
          <cell r="X630" t="str">
            <v>35</v>
          </cell>
          <cell r="Y630" t="str">
            <v>37</v>
          </cell>
          <cell r="Z630" t="str">
            <v>GBT</v>
          </cell>
          <cell r="AA630" t="str">
            <v>100</v>
          </cell>
          <cell r="AB630" t="str">
            <v>Access</v>
          </cell>
          <cell r="AC630" t="str">
            <v>Class B</v>
          </cell>
          <cell r="BE630" t="str">
            <v>Route 15 Taunggyi - Tachileik</v>
          </cell>
          <cell r="BH630" t="str">
            <v>Leadcom</v>
          </cell>
          <cell r="BJ630">
            <v>42175</v>
          </cell>
          <cell r="BK630">
            <v>42168</v>
          </cell>
          <cell r="BL630">
            <v>42180</v>
          </cell>
          <cell r="BM630">
            <v>42175</v>
          </cell>
          <cell r="BT630">
            <v>24</v>
          </cell>
          <cell r="BU630">
            <v>42263</v>
          </cell>
          <cell r="BV630">
            <v>42192</v>
          </cell>
          <cell r="BW630" t="str">
            <v>97.17058</v>
          </cell>
          <cell r="BX630" t="str">
            <v>20.78423</v>
          </cell>
          <cell r="BY630" t="str">
            <v>C1</v>
          </cell>
          <cell r="BZ630" t="str">
            <v>No(187),LayEainKone Ward,Ho Pone Tsp,Taunggyi District,Shan State.</v>
          </cell>
          <cell r="CA630" t="str">
            <v>Daw Mi Paing</v>
          </cell>
          <cell r="CB630" t="str">
            <v>1 Sept 15:C2 SAR sub (C01 Approved, Owner Backed Out);12 Aug 15 : C1 TSSR app;10Aug 15: C1 TSSR sub;8 Jul 15:C1 SAR app;7Jul15: C1 SAR sub</v>
          </cell>
          <cell r="CC630" t="str">
            <v>Residential</v>
          </cell>
          <cell r="CE630">
            <v>1</v>
          </cell>
          <cell r="CF630">
            <v>42264</v>
          </cell>
          <cell r="CG630">
            <v>42193</v>
          </cell>
          <cell r="CH630">
            <v>42266</v>
          </cell>
          <cell r="CJ630">
            <v>42224</v>
          </cell>
          <cell r="CK630" t="str">
            <v>35</v>
          </cell>
          <cell r="CL630" t="str">
            <v>37</v>
          </cell>
          <cell r="CM630" t="str">
            <v>40</v>
          </cell>
          <cell r="CN630">
            <v>33</v>
          </cell>
          <cell r="CO630">
            <v>42269</v>
          </cell>
          <cell r="CP630">
            <v>42226</v>
          </cell>
          <cell r="CQ630" t="str">
            <v>M1: grid power + battery</v>
          </cell>
          <cell r="CR630">
            <v>2</v>
          </cell>
          <cell r="CS630">
            <v>42270</v>
          </cell>
          <cell r="CT630">
            <v>42228</v>
          </cell>
          <cell r="CU630" t="str">
            <v>SH0461</v>
          </cell>
          <cell r="DH630">
            <v>5</v>
          </cell>
          <cell r="DI630">
            <v>42280</v>
          </cell>
          <cell r="DJ630">
            <v>42217</v>
          </cell>
          <cell r="DK630">
            <v>42277</v>
          </cell>
          <cell r="DL630">
            <v>42188</v>
          </cell>
          <cell r="DM630">
            <v>42281</v>
          </cell>
          <cell r="DO630">
            <v>0</v>
          </cell>
          <cell r="DP630">
            <v>42280</v>
          </cell>
          <cell r="DQ630">
            <v>42217</v>
          </cell>
          <cell r="DT630">
            <v>0</v>
          </cell>
          <cell r="DU630">
            <v>42295</v>
          </cell>
          <cell r="DW630">
            <v>0</v>
          </cell>
          <cell r="DY630">
            <v>42281</v>
          </cell>
          <cell r="DZ630">
            <v>42214</v>
          </cell>
          <cell r="EA630" t="str">
            <v>Leadcom</v>
          </cell>
          <cell r="EB630">
            <v>42214</v>
          </cell>
          <cell r="EE630" t="str">
            <v xml:space="preserve">10 Aug 15:Flood affected_Hold-No access; 29-Jul-15:  Flooded access or site is flooded_ we canÆt proceed to this site for now								</v>
          </cell>
          <cell r="EJ630">
            <v>0</v>
          </cell>
          <cell r="EK630">
            <v>42296</v>
          </cell>
          <cell r="EM630">
            <v>42297</v>
          </cell>
          <cell r="EQ630">
            <v>42304</v>
          </cell>
          <cell r="EW630">
            <v>0</v>
          </cell>
          <cell r="EX630">
            <v>42318</v>
          </cell>
          <cell r="EZ630">
            <v>42314</v>
          </cell>
          <cell r="FB630">
            <v>42316</v>
          </cell>
          <cell r="FU630">
            <v>42318</v>
          </cell>
          <cell r="FW630">
            <v>42318</v>
          </cell>
          <cell r="GI630">
            <v>42277</v>
          </cell>
          <cell r="GJ630">
            <v>0</v>
          </cell>
          <cell r="GN630" t="str">
            <v>ERICSSON</v>
          </cell>
          <cell r="HD630">
            <v>1</v>
          </cell>
        </row>
        <row r="631">
          <cell r="A631" t="str">
            <v>SH0462</v>
          </cell>
          <cell r="B631" t="str">
            <v>ANSH_0026</v>
          </cell>
          <cell r="C631" t="str">
            <v>Apollo</v>
          </cell>
          <cell r="D631" t="str">
            <v>Chris Thomson</v>
          </cell>
          <cell r="F631" t="str">
            <v>Mya Kyauk</v>
          </cell>
          <cell r="G631" t="str">
            <v>Thandar Htoo</v>
          </cell>
          <cell r="H631" t="str">
            <v>RED</v>
          </cell>
          <cell r="I631" t="str">
            <v>North</v>
          </cell>
          <cell r="J631" t="str">
            <v>97.166855</v>
          </cell>
          <cell r="K631" t="str">
            <v>20.794119</v>
          </cell>
          <cell r="L631" t="str">
            <v>SubUrban</v>
          </cell>
          <cell r="M631" t="str">
            <v>Shan South</v>
          </cell>
          <cell r="N631" t="str">
            <v>Hopong</v>
          </cell>
          <cell r="O631" t="str">
            <v>Hopong</v>
          </cell>
          <cell r="P631" t="str">
            <v>Shan South</v>
          </cell>
          <cell r="Q631" t="str">
            <v>6</v>
          </cell>
          <cell r="R631" t="str">
            <v>Hopong</v>
          </cell>
          <cell r="S631" t="str">
            <v>244</v>
          </cell>
          <cell r="T631" t="str">
            <v>GSM+UMTS</v>
          </cell>
          <cell r="W631" t="str">
            <v>Ph2-Priority</v>
          </cell>
          <cell r="X631" t="str">
            <v>35</v>
          </cell>
          <cell r="Y631" t="str">
            <v>37</v>
          </cell>
          <cell r="Z631" t="str">
            <v>GBT</v>
          </cell>
          <cell r="AA631" t="str">
            <v>100</v>
          </cell>
          <cell r="AB631" t="str">
            <v>Access</v>
          </cell>
          <cell r="AC631" t="str">
            <v>Class B</v>
          </cell>
          <cell r="BE631" t="str">
            <v>Route 15 Taunggyi - Tachileik</v>
          </cell>
          <cell r="BH631" t="str">
            <v>Leadcom</v>
          </cell>
          <cell r="BJ631">
            <v>42175</v>
          </cell>
          <cell r="BK631">
            <v>42168</v>
          </cell>
          <cell r="BL631">
            <v>42180</v>
          </cell>
          <cell r="BM631">
            <v>42175</v>
          </cell>
          <cell r="BT631">
            <v>24</v>
          </cell>
          <cell r="BU631">
            <v>42263</v>
          </cell>
          <cell r="BV631">
            <v>42192</v>
          </cell>
          <cell r="BW631" t="str">
            <v>97.1672</v>
          </cell>
          <cell r="BX631" t="str">
            <v>20.79417</v>
          </cell>
          <cell r="BY631" t="str">
            <v>C1</v>
          </cell>
          <cell r="BZ631" t="str">
            <v>Lwazinkone Quarter, Ban-mauk Township, Sagaing Division</v>
          </cell>
          <cell r="CA631" t="str">
            <v>U Chit Hlaing</v>
          </cell>
          <cell r="CB631" t="str">
            <v>20Jun15: C1 SAR Sub</v>
          </cell>
          <cell r="CC631" t="str">
            <v>Residential</v>
          </cell>
          <cell r="CE631">
            <v>1</v>
          </cell>
          <cell r="CF631">
            <v>42264</v>
          </cell>
          <cell r="CG631">
            <v>42193</v>
          </cell>
          <cell r="CH631">
            <v>42266</v>
          </cell>
          <cell r="CJ631">
            <v>42197</v>
          </cell>
          <cell r="CK631" t="str">
            <v>35</v>
          </cell>
          <cell r="CL631" t="str">
            <v>37</v>
          </cell>
          <cell r="CM631" t="str">
            <v>40</v>
          </cell>
          <cell r="CN631">
            <v>40</v>
          </cell>
          <cell r="CO631">
            <v>42269</v>
          </cell>
          <cell r="CP631">
            <v>42199</v>
          </cell>
          <cell r="CQ631" t="str">
            <v>M1: grid power + battery</v>
          </cell>
          <cell r="CR631">
            <v>0</v>
          </cell>
          <cell r="CS631">
            <v>42270</v>
          </cell>
          <cell r="CT631">
            <v>42201</v>
          </cell>
          <cell r="CU631" t="str">
            <v>SH0462</v>
          </cell>
          <cell r="DH631">
            <v>0</v>
          </cell>
          <cell r="DI631">
            <v>42280</v>
          </cell>
          <cell r="DK631">
            <v>42277</v>
          </cell>
          <cell r="DL631">
            <v>42198</v>
          </cell>
          <cell r="DM631">
            <v>42281</v>
          </cell>
          <cell r="DN631">
            <v>42198</v>
          </cell>
          <cell r="DO631">
            <v>0</v>
          </cell>
          <cell r="DP631">
            <v>42280</v>
          </cell>
          <cell r="DT631">
            <v>0</v>
          </cell>
          <cell r="DU631">
            <v>42295</v>
          </cell>
          <cell r="DW631">
            <v>0</v>
          </cell>
          <cell r="DY631">
            <v>42281</v>
          </cell>
          <cell r="DZ631">
            <v>42231</v>
          </cell>
          <cell r="EA631" t="str">
            <v>Leadcom</v>
          </cell>
          <cell r="EJ631">
            <v>0</v>
          </cell>
          <cell r="EK631">
            <v>42296</v>
          </cell>
          <cell r="EM631">
            <v>42297</v>
          </cell>
          <cell r="EQ631">
            <v>42304</v>
          </cell>
          <cell r="EW631">
            <v>0</v>
          </cell>
          <cell r="EX631">
            <v>42318</v>
          </cell>
          <cell r="EZ631">
            <v>42314</v>
          </cell>
          <cell r="FB631">
            <v>42316</v>
          </cell>
          <cell r="FU631">
            <v>42318</v>
          </cell>
          <cell r="FW631">
            <v>42318</v>
          </cell>
          <cell r="GJ631">
            <v>0</v>
          </cell>
          <cell r="GN631" t="str">
            <v>ERICSSON</v>
          </cell>
          <cell r="HD631">
            <v>1</v>
          </cell>
        </row>
        <row r="632">
          <cell r="A632" t="str">
            <v>SH0463</v>
          </cell>
          <cell r="B632" t="str">
            <v>ANSH_0027</v>
          </cell>
          <cell r="C632" t="str">
            <v>Apollo</v>
          </cell>
          <cell r="D632" t="str">
            <v>Chris Thomson</v>
          </cell>
          <cell r="F632" t="str">
            <v>Mya Kyauk</v>
          </cell>
          <cell r="G632" t="str">
            <v>Thandar Htoo</v>
          </cell>
          <cell r="H632" t="str">
            <v>RED</v>
          </cell>
          <cell r="I632" t="str">
            <v>North</v>
          </cell>
          <cell r="J632" t="str">
            <v>97.1753</v>
          </cell>
          <cell r="K632" t="str">
            <v>20.7914</v>
          </cell>
          <cell r="L632" t="str">
            <v>SubUrban</v>
          </cell>
          <cell r="M632" t="str">
            <v>Shan South</v>
          </cell>
          <cell r="N632" t="str">
            <v>Hopong</v>
          </cell>
          <cell r="O632" t="str">
            <v>Hopong</v>
          </cell>
          <cell r="P632" t="str">
            <v>Shan South</v>
          </cell>
          <cell r="Q632" t="str">
            <v>6</v>
          </cell>
          <cell r="R632" t="str">
            <v>Hopong</v>
          </cell>
          <cell r="S632" t="str">
            <v>244</v>
          </cell>
          <cell r="T632" t="str">
            <v>GSM+UMTS</v>
          </cell>
          <cell r="W632" t="str">
            <v>Ph2-Priority</v>
          </cell>
          <cell r="X632" t="str">
            <v>35</v>
          </cell>
          <cell r="Y632" t="str">
            <v>37</v>
          </cell>
          <cell r="Z632" t="str">
            <v>GBT</v>
          </cell>
          <cell r="AA632" t="str">
            <v>100</v>
          </cell>
          <cell r="AB632" t="str">
            <v>Access</v>
          </cell>
          <cell r="AC632" t="str">
            <v>Class B</v>
          </cell>
          <cell r="BE632" t="str">
            <v>Route 15 Taunggyi - Tachileik</v>
          </cell>
          <cell r="BH632" t="str">
            <v>Leadcom</v>
          </cell>
          <cell r="BJ632">
            <v>42176</v>
          </cell>
          <cell r="BK632">
            <v>42168</v>
          </cell>
          <cell r="BL632">
            <v>42181</v>
          </cell>
          <cell r="BM632">
            <v>42175</v>
          </cell>
          <cell r="BT632">
            <v>24</v>
          </cell>
          <cell r="BU632">
            <v>42263</v>
          </cell>
          <cell r="BV632">
            <v>42192</v>
          </cell>
          <cell r="BW632" t="str">
            <v>97.17622</v>
          </cell>
          <cell r="BX632" t="str">
            <v>20.78914</v>
          </cell>
          <cell r="BY632" t="str">
            <v>C2</v>
          </cell>
          <cell r="BZ632" t="str">
            <v>No(5),South Ward,Kalar Kone,Ho Pone Tsp,Taunggyi District,Shan State.</v>
          </cell>
          <cell r="CA632" t="str">
            <v>Daw Nan Nyo</v>
          </cell>
          <cell r="CB632" t="str">
            <v>18 Aug 15 : C1 TSSR app(This site is approved as VSAT transmission _6000 site plan);04 Aug 15 : C1 SAR revision approved as an option 1(TND approved this site as VSAT.);29 July 15:C1-SAR resubmission (coordinates revision due to uncalibrated GPS during site hunting);6 July 15 : C1 SAR approved as an option 1(TND approved with 47M MW antenna for SG0515_C01);22 June 15 : C1 SAR sub</v>
          </cell>
          <cell r="CC632" t="str">
            <v>Residential</v>
          </cell>
          <cell r="CE632">
            <v>3</v>
          </cell>
          <cell r="CF632">
            <v>42264</v>
          </cell>
          <cell r="CG632">
            <v>42195</v>
          </cell>
          <cell r="CH632">
            <v>42266</v>
          </cell>
          <cell r="CJ632">
            <v>42224</v>
          </cell>
          <cell r="CK632" t="str">
            <v>35</v>
          </cell>
          <cell r="CL632" t="str">
            <v>37</v>
          </cell>
          <cell r="CM632" t="str">
            <v>40</v>
          </cell>
          <cell r="CN632">
            <v>31</v>
          </cell>
          <cell r="CO632">
            <v>42269</v>
          </cell>
          <cell r="CP632">
            <v>42226</v>
          </cell>
          <cell r="CQ632" t="str">
            <v>M1: grid power + battery</v>
          </cell>
          <cell r="CR632">
            <v>2</v>
          </cell>
          <cell r="CS632">
            <v>42270</v>
          </cell>
          <cell r="CT632">
            <v>42228</v>
          </cell>
          <cell r="CU632" t="str">
            <v>SH0463</v>
          </cell>
          <cell r="DH632">
            <v>5</v>
          </cell>
          <cell r="DI632">
            <v>42280</v>
          </cell>
          <cell r="DK632">
            <v>42277</v>
          </cell>
          <cell r="DL632">
            <v>42220</v>
          </cell>
          <cell r="DM632">
            <v>42281</v>
          </cell>
          <cell r="DO632">
            <v>0</v>
          </cell>
          <cell r="DP632">
            <v>42280</v>
          </cell>
          <cell r="DT632">
            <v>0</v>
          </cell>
          <cell r="DU632">
            <v>42295</v>
          </cell>
          <cell r="DW632">
            <v>0</v>
          </cell>
          <cell r="DY632">
            <v>42281</v>
          </cell>
          <cell r="EA632" t="str">
            <v>Leadcom</v>
          </cell>
          <cell r="EJ632">
            <v>0</v>
          </cell>
          <cell r="EK632">
            <v>42296</v>
          </cell>
          <cell r="EM632">
            <v>42297</v>
          </cell>
          <cell r="EQ632">
            <v>42304</v>
          </cell>
          <cell r="EW632">
            <v>0</v>
          </cell>
          <cell r="EX632">
            <v>42318</v>
          </cell>
          <cell r="EZ632">
            <v>42314</v>
          </cell>
          <cell r="FB632">
            <v>42316</v>
          </cell>
          <cell r="FU632">
            <v>42318</v>
          </cell>
          <cell r="FW632">
            <v>42318</v>
          </cell>
          <cell r="GJ632">
            <v>0</v>
          </cell>
          <cell r="GN632" t="str">
            <v>ERICSSON</v>
          </cell>
          <cell r="HD632">
            <v>1</v>
          </cell>
        </row>
        <row r="633">
          <cell r="A633" t="str">
            <v>SH0474</v>
          </cell>
          <cell r="B633" t="str">
            <v>ANSH_0028</v>
          </cell>
          <cell r="C633" t="str">
            <v>Apollo</v>
          </cell>
          <cell r="D633" t="str">
            <v>Chris Thomson</v>
          </cell>
          <cell r="F633" t="str">
            <v>Mya Kyauk</v>
          </cell>
          <cell r="G633" t="str">
            <v>Thandar Htoo</v>
          </cell>
          <cell r="H633" t="str">
            <v>RED</v>
          </cell>
          <cell r="I633" t="str">
            <v>North</v>
          </cell>
          <cell r="J633" t="str">
            <v>99.9298</v>
          </cell>
          <cell r="K633" t="str">
            <v>20.4717</v>
          </cell>
          <cell r="L633" t="str">
            <v>SubUrban</v>
          </cell>
          <cell r="M633" t="str">
            <v>Shan East</v>
          </cell>
          <cell r="N633" t="str">
            <v>Tachileik</v>
          </cell>
          <cell r="O633" t="str">
            <v>Tachileik</v>
          </cell>
          <cell r="P633" t="str">
            <v>Shan East</v>
          </cell>
          <cell r="Q633" t="str">
            <v>4</v>
          </cell>
          <cell r="R633" t="str">
            <v>Tachileik</v>
          </cell>
          <cell r="S633" t="str">
            <v>294</v>
          </cell>
          <cell r="T633" t="str">
            <v>GSM+UMTS</v>
          </cell>
          <cell r="W633" t="str">
            <v>Ph2-Priority</v>
          </cell>
          <cell r="X633" t="str">
            <v>35</v>
          </cell>
          <cell r="Y633" t="str">
            <v>37</v>
          </cell>
          <cell r="Z633" t="str">
            <v>GBT</v>
          </cell>
          <cell r="AA633" t="str">
            <v>100</v>
          </cell>
          <cell r="AB633" t="str">
            <v>Access</v>
          </cell>
          <cell r="AC633" t="str">
            <v>Class B</v>
          </cell>
          <cell r="BE633" t="str">
            <v>Route 15 Taunggyi - Tachileik</v>
          </cell>
          <cell r="BH633" t="str">
            <v>Camusat</v>
          </cell>
          <cell r="BJ633">
            <v>42176</v>
          </cell>
          <cell r="BK633">
            <v>42169</v>
          </cell>
          <cell r="BL633">
            <v>42181</v>
          </cell>
          <cell r="BT633">
            <v>64</v>
          </cell>
          <cell r="BU633">
            <v>42259</v>
          </cell>
          <cell r="BY633" t="str">
            <v>Reject</v>
          </cell>
          <cell r="CB633" t="str">
            <v>13 Aug 15: C2 deactivate because of  CW in TSS, Swampy area;27 Jun 15 : C2 SAR app;25 Jun 15 : C2 SAR sub;"C1, FARM LAND"</v>
          </cell>
          <cell r="CE633">
            <v>0</v>
          </cell>
          <cell r="CF633">
            <v>42260</v>
          </cell>
          <cell r="CH633">
            <v>42262</v>
          </cell>
          <cell r="CN633">
            <v>0</v>
          </cell>
          <cell r="CO633">
            <v>42265</v>
          </cell>
          <cell r="CR633">
            <v>0</v>
          </cell>
          <cell r="CS633">
            <v>42266</v>
          </cell>
          <cell r="CU633" t="str">
            <v>SH0474</v>
          </cell>
          <cell r="DH633">
            <v>0</v>
          </cell>
          <cell r="DI633">
            <v>42276</v>
          </cell>
          <cell r="DK633">
            <v>42273</v>
          </cell>
          <cell r="DM633">
            <v>42277</v>
          </cell>
          <cell r="DO633">
            <v>0</v>
          </cell>
          <cell r="DP633">
            <v>42276</v>
          </cell>
          <cell r="DT633">
            <v>0</v>
          </cell>
          <cell r="DU633">
            <v>42291</v>
          </cell>
          <cell r="DW633">
            <v>0</v>
          </cell>
          <cell r="DY633">
            <v>42277</v>
          </cell>
          <cell r="EA633" t="str">
            <v>Camusat</v>
          </cell>
          <cell r="EJ633">
            <v>0</v>
          </cell>
          <cell r="EK633">
            <v>42292</v>
          </cell>
          <cell r="EM633">
            <v>42293</v>
          </cell>
          <cell r="EQ633">
            <v>42300</v>
          </cell>
          <cell r="EW633">
            <v>0</v>
          </cell>
          <cell r="EX633">
            <v>42314</v>
          </cell>
          <cell r="EZ633">
            <v>42310</v>
          </cell>
          <cell r="FB633">
            <v>42312</v>
          </cell>
          <cell r="FU633">
            <v>42314</v>
          </cell>
          <cell r="FW633">
            <v>42314</v>
          </cell>
          <cell r="GI633">
            <v>42215</v>
          </cell>
          <cell r="GJ633">
            <v>0</v>
          </cell>
          <cell r="GN633" t="str">
            <v>ERICSSON</v>
          </cell>
          <cell r="GS633" t="str">
            <v>4/4/4</v>
          </cell>
          <cell r="GU633" t="str">
            <v xml:space="preserve">		</v>
          </cell>
          <cell r="HD633">
            <v>1</v>
          </cell>
        </row>
        <row r="634">
          <cell r="A634" t="str">
            <v>SH0504</v>
          </cell>
          <cell r="B634" t="str">
            <v>ANSH_0029</v>
          </cell>
          <cell r="C634" t="str">
            <v>Apollo</v>
          </cell>
          <cell r="D634" t="str">
            <v>Adriaan Coetsee</v>
          </cell>
          <cell r="F634" t="str">
            <v>Mya Kyauk</v>
          </cell>
          <cell r="G634" t="str">
            <v>Thandar Htoo</v>
          </cell>
          <cell r="H634" t="str">
            <v>RED</v>
          </cell>
          <cell r="I634" t="str">
            <v>North</v>
          </cell>
          <cell r="J634" t="str">
            <v>97.9796</v>
          </cell>
          <cell r="K634" t="str">
            <v>23.9737</v>
          </cell>
          <cell r="L634" t="str">
            <v>SubUrban</v>
          </cell>
          <cell r="M634" t="str">
            <v>Shan North</v>
          </cell>
          <cell r="N634" t="str">
            <v>Muse</v>
          </cell>
          <cell r="O634" t="str">
            <v>Muse</v>
          </cell>
          <cell r="P634" t="str">
            <v>Shan North</v>
          </cell>
          <cell r="Q634" t="str">
            <v>5</v>
          </cell>
          <cell r="R634" t="str">
            <v>Muse</v>
          </cell>
          <cell r="S634" t="str">
            <v>271</v>
          </cell>
          <cell r="T634" t="str">
            <v>GSM+UMTS</v>
          </cell>
          <cell r="W634" t="str">
            <v>Ph2-Priority</v>
          </cell>
          <cell r="X634" t="str">
            <v>35</v>
          </cell>
          <cell r="Y634" t="str">
            <v>37</v>
          </cell>
          <cell r="Z634" t="str">
            <v>GBT</v>
          </cell>
          <cell r="AA634" t="str">
            <v>250</v>
          </cell>
          <cell r="AB634" t="str">
            <v>Access</v>
          </cell>
          <cell r="AC634" t="str">
            <v>Class B</v>
          </cell>
          <cell r="BE634" t="str">
            <v>Route 9 Mandalay - Muse</v>
          </cell>
          <cell r="BH634" t="str">
            <v>Camusat</v>
          </cell>
          <cell r="BJ634">
            <v>42176</v>
          </cell>
          <cell r="BK634">
            <v>42174</v>
          </cell>
          <cell r="BL634">
            <v>42181</v>
          </cell>
          <cell r="BT634">
            <v>59</v>
          </cell>
          <cell r="BU634">
            <v>42263</v>
          </cell>
          <cell r="BV634">
            <v>42199</v>
          </cell>
          <cell r="BW634" t="str">
            <v>97.97791</v>
          </cell>
          <cell r="BX634" t="str">
            <v>23.97438</v>
          </cell>
          <cell r="BY634" t="str">
            <v>C1</v>
          </cell>
          <cell r="BZ634" t="str">
            <v>Mineyu Village, 105 miles, Muse Township, Shan State</v>
          </cell>
          <cell r="CA634" t="str">
            <v>U Maung Maung Myunt</v>
          </cell>
          <cell r="CB634" t="str">
            <v>14 June 15:C1-SAR submission</v>
          </cell>
          <cell r="CC634" t="str">
            <v>Town / Village</v>
          </cell>
          <cell r="CE634">
            <v>1</v>
          </cell>
          <cell r="CF634">
            <v>42264</v>
          </cell>
          <cell r="CG634">
            <v>42200</v>
          </cell>
          <cell r="CH634">
            <v>42266</v>
          </cell>
          <cell r="CJ634">
            <v>42212</v>
          </cell>
          <cell r="CK634" t="str">
            <v>35</v>
          </cell>
          <cell r="CL634" t="str">
            <v>37</v>
          </cell>
          <cell r="CM634" t="str">
            <v>50</v>
          </cell>
          <cell r="CN634">
            <v>14</v>
          </cell>
          <cell r="CO634">
            <v>42269</v>
          </cell>
          <cell r="CP634">
            <v>42214</v>
          </cell>
          <cell r="CQ634" t="str">
            <v>M1: grid power + battery</v>
          </cell>
          <cell r="CR634">
            <v>5</v>
          </cell>
          <cell r="CS634">
            <v>42270</v>
          </cell>
          <cell r="CT634">
            <v>42219</v>
          </cell>
          <cell r="CU634" t="str">
            <v>SH0504</v>
          </cell>
          <cell r="DH634">
            <v>14</v>
          </cell>
          <cell r="DI634">
            <v>42280</v>
          </cell>
          <cell r="DK634">
            <v>42277</v>
          </cell>
          <cell r="DM634">
            <v>42281</v>
          </cell>
          <cell r="DO634">
            <v>0</v>
          </cell>
          <cell r="DP634">
            <v>42280</v>
          </cell>
          <cell r="DT634">
            <v>0</v>
          </cell>
          <cell r="DU634">
            <v>42295</v>
          </cell>
          <cell r="DW634">
            <v>0</v>
          </cell>
          <cell r="DY634">
            <v>42281</v>
          </cell>
          <cell r="EA634" t="str">
            <v>Camusat</v>
          </cell>
          <cell r="EJ634">
            <v>0</v>
          </cell>
          <cell r="EK634">
            <v>42298</v>
          </cell>
          <cell r="EM634">
            <v>42299</v>
          </cell>
          <cell r="EQ634">
            <v>42308</v>
          </cell>
          <cell r="EW634">
            <v>0</v>
          </cell>
          <cell r="EX634">
            <v>42322</v>
          </cell>
          <cell r="EZ634">
            <v>42318</v>
          </cell>
          <cell r="FB634">
            <v>42320</v>
          </cell>
          <cell r="FU634">
            <v>42322</v>
          </cell>
          <cell r="FW634">
            <v>42322</v>
          </cell>
          <cell r="GJ634">
            <v>0</v>
          </cell>
          <cell r="GN634" t="str">
            <v>ERICSSON</v>
          </cell>
          <cell r="GU634" t="str">
            <v xml:space="preserve">		</v>
          </cell>
          <cell r="HD634">
            <v>1</v>
          </cell>
        </row>
        <row r="635">
          <cell r="A635" t="str">
            <v>SH0505</v>
          </cell>
          <cell r="B635" t="str">
            <v>ANSH_0030</v>
          </cell>
          <cell r="C635" t="str">
            <v>Apollo</v>
          </cell>
          <cell r="D635" t="str">
            <v>Adriaan Coetsee</v>
          </cell>
          <cell r="F635" t="str">
            <v>Mya Kyauk</v>
          </cell>
          <cell r="G635" t="str">
            <v>Thandar Htoo</v>
          </cell>
          <cell r="H635" t="str">
            <v>RED</v>
          </cell>
          <cell r="I635" t="str">
            <v>North</v>
          </cell>
          <cell r="J635" t="str">
            <v>97.9731</v>
          </cell>
          <cell r="K635" t="str">
            <v>23.3046</v>
          </cell>
          <cell r="L635" t="str">
            <v>SubUrban</v>
          </cell>
          <cell r="M635" t="str">
            <v>Shan North</v>
          </cell>
          <cell r="N635" t="str">
            <v>Hseni</v>
          </cell>
          <cell r="O635" t="str">
            <v>Hseni</v>
          </cell>
          <cell r="P635" t="str">
            <v>Shan North</v>
          </cell>
          <cell r="Q635" t="str">
            <v>5</v>
          </cell>
          <cell r="R635" t="str">
            <v>Hseni</v>
          </cell>
          <cell r="S635" t="str">
            <v>264</v>
          </cell>
          <cell r="T635" t="str">
            <v>GSM+UMTS</v>
          </cell>
          <cell r="W635" t="str">
            <v>Ph2-Priority</v>
          </cell>
          <cell r="X635" t="str">
            <v>35</v>
          </cell>
          <cell r="Y635" t="str">
            <v>37</v>
          </cell>
          <cell r="Z635" t="str">
            <v>GBT</v>
          </cell>
          <cell r="AA635" t="str">
            <v>250</v>
          </cell>
          <cell r="AB635" t="str">
            <v>Access</v>
          </cell>
          <cell r="AC635" t="str">
            <v>Class B</v>
          </cell>
          <cell r="BE635" t="str">
            <v>Route 9 Mandalay - Muse</v>
          </cell>
          <cell r="BH635" t="str">
            <v>Camusat</v>
          </cell>
          <cell r="BJ635">
            <v>42176</v>
          </cell>
          <cell r="BK635">
            <v>42170</v>
          </cell>
          <cell r="BL635">
            <v>42181</v>
          </cell>
          <cell r="BM635">
            <v>42177</v>
          </cell>
          <cell r="BT635">
            <v>7</v>
          </cell>
          <cell r="BU635">
            <v>42263</v>
          </cell>
          <cell r="BV635">
            <v>42199</v>
          </cell>
          <cell r="BW635" t="str">
            <v>97.9729</v>
          </cell>
          <cell r="BX635" t="str">
            <v>23.304368</v>
          </cell>
          <cell r="BY635" t="str">
            <v>C1</v>
          </cell>
          <cell r="BZ635" t="str">
            <v>No.4 Quarter, Thein Ni Township, Shan State</v>
          </cell>
          <cell r="CA635" t="str">
            <v>U Sai Aung Myint</v>
          </cell>
          <cell r="CB635" t="str">
            <v>14 June 15:C1-SAR submission</v>
          </cell>
          <cell r="CC635" t="str">
            <v>Town / Village</v>
          </cell>
          <cell r="CE635">
            <v>1</v>
          </cell>
          <cell r="CF635">
            <v>42264</v>
          </cell>
          <cell r="CG635">
            <v>42200</v>
          </cell>
          <cell r="CH635">
            <v>42266</v>
          </cell>
          <cell r="CJ635">
            <v>42206</v>
          </cell>
          <cell r="CK635" t="str">
            <v>35</v>
          </cell>
          <cell r="CL635" t="str">
            <v>37</v>
          </cell>
          <cell r="CM635" t="str">
            <v>40</v>
          </cell>
          <cell r="CN635">
            <v>8</v>
          </cell>
          <cell r="CO635">
            <v>42269</v>
          </cell>
          <cell r="CP635">
            <v>42208</v>
          </cell>
          <cell r="CQ635" t="str">
            <v>M1: grid power + battery</v>
          </cell>
          <cell r="CR635">
            <v>4</v>
          </cell>
          <cell r="CS635">
            <v>42270</v>
          </cell>
          <cell r="CT635">
            <v>42212</v>
          </cell>
          <cell r="CU635" t="str">
            <v>SH0505</v>
          </cell>
          <cell r="DH635">
            <v>21</v>
          </cell>
          <cell r="DI635">
            <v>42280</v>
          </cell>
          <cell r="DJ635">
            <v>42248</v>
          </cell>
          <cell r="DK635">
            <v>42277</v>
          </cell>
          <cell r="DL635">
            <v>42242</v>
          </cell>
          <cell r="DM635">
            <v>42281</v>
          </cell>
          <cell r="DN635">
            <v>42206</v>
          </cell>
          <cell r="DO635">
            <v>0</v>
          </cell>
          <cell r="DP635">
            <v>42280</v>
          </cell>
          <cell r="DQ635">
            <v>42248</v>
          </cell>
          <cell r="DT635">
            <v>0</v>
          </cell>
          <cell r="DU635">
            <v>42295</v>
          </cell>
          <cell r="DW635">
            <v>0</v>
          </cell>
          <cell r="DY635">
            <v>42281</v>
          </cell>
          <cell r="DZ635">
            <v>42200</v>
          </cell>
          <cell r="EA635" t="str">
            <v>Camusat</v>
          </cell>
          <cell r="ED635" t="str">
            <v xml:space="preserve">17Aug15 :ThantZin.Oo: 13/8/15 : Footing and Pedestal rebar-work in progress .
</v>
          </cell>
          <cell r="EE635" t="str">
            <v xml:space="preserve">10 Aug 15:Rain affected_Progress affected; 3-Aug-15: Flooded-dewatering heavy rain								</v>
          </cell>
          <cell r="EJ635">
            <v>0</v>
          </cell>
          <cell r="EK635">
            <v>42296</v>
          </cell>
          <cell r="EL635">
            <v>42229</v>
          </cell>
          <cell r="EM635">
            <v>42297</v>
          </cell>
          <cell r="EN635">
            <v>42231</v>
          </cell>
          <cell r="EQ635">
            <v>42304</v>
          </cell>
          <cell r="ER635">
            <v>42235</v>
          </cell>
          <cell r="ES635">
            <v>42231</v>
          </cell>
          <cell r="EW635">
            <v>0</v>
          </cell>
          <cell r="EX635">
            <v>42318</v>
          </cell>
          <cell r="EZ635">
            <v>42314</v>
          </cell>
          <cell r="FB635">
            <v>42316</v>
          </cell>
          <cell r="FU635">
            <v>42318</v>
          </cell>
          <cell r="FW635">
            <v>42318</v>
          </cell>
          <cell r="FY635" t="str">
            <v>CFVL</v>
          </cell>
          <cell r="FZ635">
            <v>42233</v>
          </cell>
          <cell r="GF635">
            <v>42219</v>
          </cell>
          <cell r="GI635">
            <v>42246</v>
          </cell>
          <cell r="GJ635">
            <v>0</v>
          </cell>
          <cell r="GL635" t="str">
            <v>Equipment Required :: Dispatch 20th Aug</v>
          </cell>
          <cell r="GN635" t="str">
            <v>ERICSSON</v>
          </cell>
          <cell r="GP635">
            <v>42206</v>
          </cell>
          <cell r="GS635" t="str">
            <v>4/4/4</v>
          </cell>
          <cell r="GU635" t="str">
            <v xml:space="preserve">		</v>
          </cell>
          <cell r="HD635">
            <v>1</v>
          </cell>
        </row>
        <row r="636">
          <cell r="A636" t="str">
            <v>SH0509</v>
          </cell>
          <cell r="B636" t="str">
            <v>ANSH_0031</v>
          </cell>
          <cell r="C636" t="str">
            <v>Apollo</v>
          </cell>
          <cell r="D636" t="str">
            <v>Chris Thomson</v>
          </cell>
          <cell r="F636" t="str">
            <v>Mya Kyauk</v>
          </cell>
          <cell r="G636" t="str">
            <v>Thandar Htoo</v>
          </cell>
          <cell r="H636" t="str">
            <v>RED</v>
          </cell>
          <cell r="I636" t="str">
            <v>North</v>
          </cell>
          <cell r="J636" t="str">
            <v>96.6654</v>
          </cell>
          <cell r="K636" t="str">
            <v>20.9315</v>
          </cell>
          <cell r="L636" t="str">
            <v>SubUrban</v>
          </cell>
          <cell r="M636" t="str">
            <v>Shan South</v>
          </cell>
          <cell r="N636" t="str">
            <v>Pindaya</v>
          </cell>
          <cell r="O636" t="str">
            <v>Pindaya</v>
          </cell>
          <cell r="P636" t="str">
            <v>Shan South</v>
          </cell>
          <cell r="Q636" t="str">
            <v>6</v>
          </cell>
          <cell r="R636" t="str">
            <v>Pindaya</v>
          </cell>
          <cell r="S636" t="str">
            <v>247</v>
          </cell>
          <cell r="T636" t="str">
            <v>GSM+UMTS</v>
          </cell>
          <cell r="W636" t="str">
            <v>Ph2-Priority</v>
          </cell>
          <cell r="X636" t="str">
            <v>35</v>
          </cell>
          <cell r="Y636" t="str">
            <v>37</v>
          </cell>
          <cell r="Z636" t="str">
            <v>GBT</v>
          </cell>
          <cell r="AA636" t="str">
            <v>250</v>
          </cell>
          <cell r="AB636" t="str">
            <v>Access</v>
          </cell>
          <cell r="AC636" t="str">
            <v>Class B</v>
          </cell>
          <cell r="BE636" t="str">
            <v>Route 4 Meiktila - Taunggyi</v>
          </cell>
          <cell r="BH636" t="str">
            <v>KTT</v>
          </cell>
          <cell r="BJ636">
            <v>42176</v>
          </cell>
          <cell r="BK636">
            <v>42167</v>
          </cell>
          <cell r="BL636">
            <v>42181</v>
          </cell>
          <cell r="BM636">
            <v>42174</v>
          </cell>
          <cell r="BT636">
            <v>66</v>
          </cell>
          <cell r="BU636">
            <v>42263</v>
          </cell>
          <cell r="BV636">
            <v>42175</v>
          </cell>
          <cell r="BW636" t="str">
            <v>95.37602</v>
          </cell>
          <cell r="BX636" t="str">
            <v>24.07161</v>
          </cell>
          <cell r="BY636" t="str">
            <v>C1</v>
          </cell>
          <cell r="BZ636" t="str">
            <v>Moekaung quarter, Pinlaebue Town, Sagaing Division</v>
          </cell>
          <cell r="CA636" t="str">
            <v>U Sein Myint</v>
          </cell>
          <cell r="CB636" t="str">
            <v>20Jun15: C1 SAR Sub</v>
          </cell>
          <cell r="CC636" t="str">
            <v>Village</v>
          </cell>
          <cell r="CE636">
            <v>0</v>
          </cell>
          <cell r="CF636">
            <v>42264</v>
          </cell>
          <cell r="CG636">
            <v>42181</v>
          </cell>
          <cell r="CH636">
            <v>42266</v>
          </cell>
          <cell r="CJ636">
            <v>42193</v>
          </cell>
          <cell r="CK636" t="str">
            <v>37</v>
          </cell>
          <cell r="CL636" t="str">
            <v>39</v>
          </cell>
          <cell r="CM636" t="str">
            <v>40</v>
          </cell>
          <cell r="CN636">
            <v>0</v>
          </cell>
          <cell r="CO636">
            <v>42269</v>
          </cell>
          <cell r="CP636">
            <v>42195</v>
          </cell>
          <cell r="CQ636" t="str">
            <v>M1: grid power + battery</v>
          </cell>
          <cell r="CR636">
            <v>0</v>
          </cell>
          <cell r="CS636">
            <v>42270</v>
          </cell>
          <cell r="CT636">
            <v>42199</v>
          </cell>
          <cell r="CU636" t="str">
            <v>SH0509</v>
          </cell>
          <cell r="DH636">
            <v>0</v>
          </cell>
          <cell r="DI636">
            <v>42280</v>
          </cell>
          <cell r="DK636">
            <v>42277</v>
          </cell>
          <cell r="DL636">
            <v>42198</v>
          </cell>
          <cell r="DM636">
            <v>42281</v>
          </cell>
          <cell r="DO636">
            <v>0</v>
          </cell>
          <cell r="DP636">
            <v>42280</v>
          </cell>
          <cell r="DT636">
            <v>0</v>
          </cell>
          <cell r="DU636">
            <v>42295</v>
          </cell>
          <cell r="DW636">
            <v>0</v>
          </cell>
          <cell r="DY636">
            <v>42281</v>
          </cell>
          <cell r="DZ636">
            <v>42209</v>
          </cell>
          <cell r="EA636" t="str">
            <v>Leadcom</v>
          </cell>
          <cell r="EJ636">
            <v>0</v>
          </cell>
          <cell r="EK636">
            <v>42296</v>
          </cell>
          <cell r="EM636">
            <v>42297</v>
          </cell>
          <cell r="EQ636">
            <v>42304</v>
          </cell>
          <cell r="EW636">
            <v>0</v>
          </cell>
          <cell r="EX636">
            <v>42318</v>
          </cell>
          <cell r="EZ636">
            <v>42314</v>
          </cell>
          <cell r="FB636">
            <v>42316</v>
          </cell>
          <cell r="FU636">
            <v>42318</v>
          </cell>
          <cell r="FW636">
            <v>42318</v>
          </cell>
          <cell r="GJ636">
            <v>0</v>
          </cell>
          <cell r="GN636" t="str">
            <v>ERICSSON</v>
          </cell>
          <cell r="HD636">
            <v>1</v>
          </cell>
        </row>
        <row r="637">
          <cell r="A637" t="str">
            <v>SH0513</v>
          </cell>
          <cell r="B637" t="str">
            <v>ANSH_0032</v>
          </cell>
          <cell r="C637" t="str">
            <v>Apollo</v>
          </cell>
          <cell r="D637" t="str">
            <v>Adriaan Coetsee</v>
          </cell>
          <cell r="F637" t="str">
            <v>Mya Kyauk</v>
          </cell>
          <cell r="G637" t="str">
            <v>Thandar Htoo</v>
          </cell>
          <cell r="H637" t="str">
            <v>RED</v>
          </cell>
          <cell r="I637" t="str">
            <v>North</v>
          </cell>
          <cell r="J637" t="str">
            <v>97.419344</v>
          </cell>
          <cell r="K637" t="str">
            <v>22.628789</v>
          </cell>
          <cell r="L637" t="str">
            <v>Rural</v>
          </cell>
          <cell r="M637" t="str">
            <v>Shan North</v>
          </cell>
          <cell r="N637" t="str">
            <v>Hsipaw</v>
          </cell>
          <cell r="O637" t="str">
            <v>Hsipaw</v>
          </cell>
          <cell r="P637" t="str">
            <v>Shan North</v>
          </cell>
          <cell r="Q637" t="str">
            <v>5</v>
          </cell>
          <cell r="R637" t="str">
            <v>Hsipaw</v>
          </cell>
          <cell r="S637" t="str">
            <v>276</v>
          </cell>
          <cell r="T637" t="str">
            <v>GSM+UMTS</v>
          </cell>
          <cell r="W637" t="str">
            <v>Ph2-Priority</v>
          </cell>
          <cell r="X637" t="str">
            <v>45</v>
          </cell>
          <cell r="Y637" t="str">
            <v>47</v>
          </cell>
          <cell r="Z637" t="str">
            <v>GBT</v>
          </cell>
          <cell r="AA637" t="str">
            <v>500</v>
          </cell>
          <cell r="AB637" t="str">
            <v>Access</v>
          </cell>
          <cell r="AC637" t="str">
            <v>Class C</v>
          </cell>
          <cell r="BE637" t="str">
            <v>Route 9 Mandalay - Muse</v>
          </cell>
          <cell r="BH637" t="str">
            <v>Camusat</v>
          </cell>
          <cell r="BJ637">
            <v>42176</v>
          </cell>
          <cell r="BL637">
            <v>42181</v>
          </cell>
          <cell r="BT637">
            <v>42158</v>
          </cell>
          <cell r="BU637">
            <v>42200</v>
          </cell>
          <cell r="BV637">
            <v>42198</v>
          </cell>
          <cell r="BW637" t="str">
            <v>97.41985</v>
          </cell>
          <cell r="BX637" t="str">
            <v>22.62899</v>
          </cell>
          <cell r="BY637" t="str">
            <v>C1</v>
          </cell>
          <cell r="BZ637" t="str">
            <v>Khomther Village, Thipaw Township, Shat North State.</v>
          </cell>
          <cell r="CA637" t="str">
            <v>Daw Hla Han</v>
          </cell>
          <cell r="CB637" t="str">
            <v>15 July 15 :C1-SAR submission</v>
          </cell>
          <cell r="CC637" t="str">
            <v>Village</v>
          </cell>
          <cell r="CE637">
            <v>1</v>
          </cell>
          <cell r="CF637">
            <v>42201</v>
          </cell>
          <cell r="CG637">
            <v>42199</v>
          </cell>
          <cell r="CH637">
            <v>42203</v>
          </cell>
          <cell r="CJ637">
            <v>42206</v>
          </cell>
          <cell r="CK637" t="str">
            <v>46</v>
          </cell>
          <cell r="CL637" t="str">
            <v>47</v>
          </cell>
          <cell r="CM637" t="str">
            <v>50</v>
          </cell>
          <cell r="CN637">
            <v>9</v>
          </cell>
          <cell r="CO637">
            <v>42206</v>
          </cell>
          <cell r="CP637">
            <v>42208</v>
          </cell>
          <cell r="CQ637" t="str">
            <v>M4: solar + DG + battery</v>
          </cell>
          <cell r="CR637">
            <v>1</v>
          </cell>
          <cell r="CS637">
            <v>42207</v>
          </cell>
          <cell r="CT637">
            <v>42209</v>
          </cell>
          <cell r="CU637" t="str">
            <v>SH0513</v>
          </cell>
          <cell r="DH637">
            <v>24</v>
          </cell>
          <cell r="DI637">
            <v>42217</v>
          </cell>
          <cell r="DJ637">
            <v>42248</v>
          </cell>
          <cell r="DK637">
            <v>42214</v>
          </cell>
          <cell r="DL637">
            <v>42242</v>
          </cell>
          <cell r="DM637">
            <v>42218</v>
          </cell>
          <cell r="DO637">
            <v>0</v>
          </cell>
          <cell r="DP637">
            <v>42217</v>
          </cell>
          <cell r="DQ637">
            <v>42248</v>
          </cell>
          <cell r="DT637">
            <v>0</v>
          </cell>
          <cell r="DU637">
            <v>42232</v>
          </cell>
          <cell r="DW637">
            <v>0</v>
          </cell>
          <cell r="DY637">
            <v>42218</v>
          </cell>
          <cell r="EA637" t="str">
            <v>Camusat</v>
          </cell>
          <cell r="EJ637">
            <v>0</v>
          </cell>
          <cell r="EK637">
            <v>42235</v>
          </cell>
          <cell r="EM637">
            <v>42236</v>
          </cell>
          <cell r="EQ637">
            <v>42245</v>
          </cell>
          <cell r="EW637">
            <v>0</v>
          </cell>
          <cell r="EX637">
            <v>42256</v>
          </cell>
          <cell r="EZ637">
            <v>42255</v>
          </cell>
          <cell r="FB637">
            <v>42257</v>
          </cell>
          <cell r="FU637">
            <v>42259</v>
          </cell>
          <cell r="FW637">
            <v>42259</v>
          </cell>
          <cell r="GJ637">
            <v>0</v>
          </cell>
          <cell r="GN637" t="str">
            <v>ERICSSON</v>
          </cell>
          <cell r="HD637">
            <v>1</v>
          </cell>
        </row>
        <row r="638">
          <cell r="A638" t="str">
            <v>SH0514</v>
          </cell>
          <cell r="B638" t="str">
            <v>ANSH_0033</v>
          </cell>
          <cell r="C638" t="str">
            <v>Apollo</v>
          </cell>
          <cell r="D638" t="str">
            <v>Adriaan Coetsee</v>
          </cell>
          <cell r="F638" t="str">
            <v>Mya Kyauk</v>
          </cell>
          <cell r="G638" t="str">
            <v>Thandar Htoo</v>
          </cell>
          <cell r="H638" t="str">
            <v>RED</v>
          </cell>
          <cell r="I638" t="str">
            <v>North</v>
          </cell>
          <cell r="J638" t="str">
            <v>97.51004</v>
          </cell>
          <cell r="K638" t="str">
            <v>22.64359</v>
          </cell>
          <cell r="L638" t="str">
            <v>Rural</v>
          </cell>
          <cell r="M638" t="str">
            <v>Shan North</v>
          </cell>
          <cell r="N638" t="str">
            <v>Hsipaw</v>
          </cell>
          <cell r="O638" t="str">
            <v>Hsipaw</v>
          </cell>
          <cell r="P638" t="str">
            <v>Shan North</v>
          </cell>
          <cell r="Q638" t="str">
            <v>5</v>
          </cell>
          <cell r="R638" t="str">
            <v>Hsipaw</v>
          </cell>
          <cell r="S638" t="str">
            <v>276</v>
          </cell>
          <cell r="T638" t="str">
            <v>GSM+UMTS</v>
          </cell>
          <cell r="W638" t="str">
            <v>Ph2-Priority</v>
          </cell>
          <cell r="X638" t="str">
            <v>45</v>
          </cell>
          <cell r="Y638" t="str">
            <v>47</v>
          </cell>
          <cell r="Z638" t="str">
            <v>GBT</v>
          </cell>
          <cell r="AA638" t="str">
            <v>500</v>
          </cell>
          <cell r="AB638" t="str">
            <v>Access</v>
          </cell>
          <cell r="AC638" t="str">
            <v>Class C</v>
          </cell>
          <cell r="BE638" t="str">
            <v>Route 9 Mandalay - Muse</v>
          </cell>
          <cell r="BH638" t="str">
            <v>Camusat</v>
          </cell>
          <cell r="BJ638">
            <v>42176</v>
          </cell>
          <cell r="BL638">
            <v>42181</v>
          </cell>
          <cell r="BT638">
            <v>42158</v>
          </cell>
          <cell r="BU638">
            <v>42200</v>
          </cell>
          <cell r="BV638">
            <v>42246</v>
          </cell>
          <cell r="BW638" t="str">
            <v>97.47888</v>
          </cell>
          <cell r="BX638" t="str">
            <v>22.64469</v>
          </cell>
          <cell r="BY638" t="str">
            <v>Reject</v>
          </cell>
          <cell r="CB638" t="str">
            <v>12 Aug 15 : C1 SAR rejected(TND reject SH0514_ is shifted about 3km far from NP;New propose 400m around candidate 01,SH0514_Proposed: 22.643901, 97.479092( 50M tower)); 29 July 15:C1-SAR submission with justification</v>
          </cell>
          <cell r="CC638" t="str">
            <v>Farmland</v>
          </cell>
          <cell r="CE638">
            <v>0</v>
          </cell>
          <cell r="CF638">
            <v>42201</v>
          </cell>
          <cell r="CG638">
            <v>42250</v>
          </cell>
          <cell r="CH638">
            <v>42203</v>
          </cell>
          <cell r="CN638">
            <v>0</v>
          </cell>
          <cell r="CO638">
            <v>42206</v>
          </cell>
          <cell r="CQ638" t="str">
            <v>M4: solar + DG + battery</v>
          </cell>
          <cell r="CR638">
            <v>0</v>
          </cell>
          <cell r="CS638">
            <v>42207</v>
          </cell>
          <cell r="CU638" t="str">
            <v>SH0514</v>
          </cell>
          <cell r="DH638">
            <v>0</v>
          </cell>
          <cell r="DI638">
            <v>42217</v>
          </cell>
          <cell r="DK638">
            <v>42214</v>
          </cell>
          <cell r="DM638">
            <v>42218</v>
          </cell>
          <cell r="DO638">
            <v>0</v>
          </cell>
          <cell r="DP638">
            <v>42217</v>
          </cell>
          <cell r="DT638">
            <v>0</v>
          </cell>
          <cell r="DU638">
            <v>42232</v>
          </cell>
          <cell r="DW638">
            <v>0</v>
          </cell>
          <cell r="DY638">
            <v>42218</v>
          </cell>
          <cell r="EA638" t="str">
            <v>Camusat</v>
          </cell>
          <cell r="EJ638">
            <v>0</v>
          </cell>
          <cell r="EK638">
            <v>42235</v>
          </cell>
          <cell r="EM638">
            <v>42236</v>
          </cell>
          <cell r="EQ638">
            <v>42245</v>
          </cell>
          <cell r="EW638">
            <v>0</v>
          </cell>
          <cell r="EX638">
            <v>42256</v>
          </cell>
          <cell r="EZ638">
            <v>42255</v>
          </cell>
          <cell r="FB638">
            <v>42257</v>
          </cell>
          <cell r="FU638">
            <v>42259</v>
          </cell>
          <cell r="FW638">
            <v>42259</v>
          </cell>
          <cell r="GI638">
            <v>42215</v>
          </cell>
          <cell r="GJ638">
            <v>0</v>
          </cell>
          <cell r="GN638" t="str">
            <v>ERICSSON</v>
          </cell>
          <cell r="HD638">
            <v>1</v>
          </cell>
        </row>
        <row r="639">
          <cell r="A639" t="str">
            <v>SH0518</v>
          </cell>
          <cell r="B639" t="str">
            <v>ANSH_0034</v>
          </cell>
          <cell r="C639" t="str">
            <v>Apollo</v>
          </cell>
          <cell r="D639" t="str">
            <v>Adriaan Coetsee</v>
          </cell>
          <cell r="F639" t="str">
            <v>Mya Kyauk</v>
          </cell>
          <cell r="G639" t="str">
            <v>Thandar Htoo</v>
          </cell>
          <cell r="H639" t="str">
            <v>RED</v>
          </cell>
          <cell r="I639" t="str">
            <v>North</v>
          </cell>
          <cell r="J639" t="str">
            <v>97.7371</v>
          </cell>
          <cell r="K639" t="str">
            <v>22.9865</v>
          </cell>
          <cell r="L639" t="str">
            <v>Rural</v>
          </cell>
          <cell r="M639" t="str">
            <v>Shan North</v>
          </cell>
          <cell r="N639" t="str">
            <v>Lashio</v>
          </cell>
          <cell r="O639" t="str">
            <v>Lashio</v>
          </cell>
          <cell r="P639" t="str">
            <v>Shan North</v>
          </cell>
          <cell r="Q639" t="str">
            <v>5</v>
          </cell>
          <cell r="R639" t="str">
            <v>Lashio</v>
          </cell>
          <cell r="S639" t="str">
            <v>263</v>
          </cell>
          <cell r="T639" t="str">
            <v>GSM+UMTS</v>
          </cell>
          <cell r="W639" t="str">
            <v>Ph2-Priority</v>
          </cell>
          <cell r="X639" t="str">
            <v>45</v>
          </cell>
          <cell r="Y639" t="str">
            <v>47</v>
          </cell>
          <cell r="Z639" t="str">
            <v>GBT</v>
          </cell>
          <cell r="AA639" t="str">
            <v>500</v>
          </cell>
          <cell r="AB639" t="str">
            <v>Access</v>
          </cell>
          <cell r="AC639" t="str">
            <v>Class C</v>
          </cell>
          <cell r="BE639" t="str">
            <v>Route 9 Mandalay - Muse</v>
          </cell>
          <cell r="BH639" t="str">
            <v>Camusat</v>
          </cell>
          <cell r="BJ639">
            <v>42176</v>
          </cell>
          <cell r="BK639">
            <v>42150</v>
          </cell>
          <cell r="BL639">
            <v>42181</v>
          </cell>
          <cell r="BM639">
            <v>42157</v>
          </cell>
          <cell r="BT639">
            <v>17</v>
          </cell>
          <cell r="BU639">
            <v>42200</v>
          </cell>
          <cell r="BV639">
            <v>42199</v>
          </cell>
          <cell r="BW639" t="str">
            <v>97.7361</v>
          </cell>
          <cell r="BX639" t="str">
            <v>22.97926</v>
          </cell>
          <cell r="BY639" t="str">
            <v>C1</v>
          </cell>
          <cell r="BZ639" t="str">
            <v>Ywar Tharlay Village, Ye-U Township, Sagaing Division.</v>
          </cell>
          <cell r="CA639" t="str">
            <v>Daw Yin Yin Aye;09 400532004</v>
          </cell>
          <cell r="CB639" t="str">
            <v>14 June 15:C1-SAR submission + Justification</v>
          </cell>
          <cell r="CC639" t="str">
            <v>Village</v>
          </cell>
          <cell r="CE639">
            <v>1</v>
          </cell>
          <cell r="CF639">
            <v>42201</v>
          </cell>
          <cell r="CG639">
            <v>42200</v>
          </cell>
          <cell r="CH639">
            <v>42203</v>
          </cell>
          <cell r="CJ639">
            <v>42179</v>
          </cell>
          <cell r="CK639" t="str">
            <v>45</v>
          </cell>
          <cell r="CL639" t="str">
            <v>47</v>
          </cell>
          <cell r="CM639" t="str">
            <v>50</v>
          </cell>
          <cell r="CN639">
            <v>33</v>
          </cell>
          <cell r="CO639">
            <v>42206</v>
          </cell>
          <cell r="CP639">
            <v>42181</v>
          </cell>
          <cell r="CQ639" t="str">
            <v>M4: solar + DG + battery</v>
          </cell>
          <cell r="CR639">
            <v>0</v>
          </cell>
          <cell r="CS639">
            <v>42207</v>
          </cell>
          <cell r="CT639">
            <v>42184</v>
          </cell>
          <cell r="CU639" t="str">
            <v>SH0518</v>
          </cell>
          <cell r="DH639">
            <v>0</v>
          </cell>
          <cell r="DI639">
            <v>42217</v>
          </cell>
          <cell r="DJ639">
            <v>42217</v>
          </cell>
          <cell r="DK639">
            <v>42214</v>
          </cell>
          <cell r="DL639">
            <v>42179</v>
          </cell>
          <cell r="DM639">
            <v>42218</v>
          </cell>
          <cell r="DO639">
            <v>0</v>
          </cell>
          <cell r="DP639">
            <v>42217</v>
          </cell>
          <cell r="DQ639">
            <v>42217</v>
          </cell>
          <cell r="DT639">
            <v>0</v>
          </cell>
          <cell r="DU639">
            <v>42232</v>
          </cell>
          <cell r="DW639">
            <v>0</v>
          </cell>
          <cell r="DY639">
            <v>42218</v>
          </cell>
          <cell r="EA639" t="str">
            <v>Camusat</v>
          </cell>
          <cell r="EB639">
            <v>42215</v>
          </cell>
          <cell r="EE639" t="str">
            <v xml:space="preserve">11 Aug  15:Flood Affected On Hold ;if not will move to WK 32 / 33/ 34								</v>
          </cell>
          <cell r="EJ639">
            <v>0</v>
          </cell>
          <cell r="EK639">
            <v>42235</v>
          </cell>
          <cell r="EM639">
            <v>42236</v>
          </cell>
          <cell r="EQ639">
            <v>42245</v>
          </cell>
          <cell r="EW639">
            <v>0</v>
          </cell>
          <cell r="EX639">
            <v>42256</v>
          </cell>
          <cell r="EZ639">
            <v>42255</v>
          </cell>
          <cell r="FB639">
            <v>42257</v>
          </cell>
          <cell r="FU639">
            <v>42259</v>
          </cell>
          <cell r="FW639">
            <v>42259</v>
          </cell>
          <cell r="GF639">
            <v>42118</v>
          </cell>
          <cell r="GJ639">
            <v>0</v>
          </cell>
          <cell r="GN639" t="str">
            <v>ERICSSON</v>
          </cell>
          <cell r="HD639">
            <v>1</v>
          </cell>
        </row>
        <row r="640">
          <cell r="A640" t="str">
            <v>SH0519</v>
          </cell>
          <cell r="B640" t="str">
            <v>ANSH_0035</v>
          </cell>
          <cell r="C640" t="str">
            <v>Apollo</v>
          </cell>
          <cell r="D640" t="str">
            <v>Chris Thomson</v>
          </cell>
          <cell r="F640" t="str">
            <v>Mya Kyauk</v>
          </cell>
          <cell r="G640" t="str">
            <v>Thandar Htoo</v>
          </cell>
          <cell r="H640" t="str">
            <v>RED</v>
          </cell>
          <cell r="I640" t="str">
            <v>North</v>
          </cell>
          <cell r="J640" t="str">
            <v>97.1633</v>
          </cell>
          <cell r="K640" t="str">
            <v>20.7897</v>
          </cell>
          <cell r="L640" t="str">
            <v>SubUrban</v>
          </cell>
          <cell r="M640" t="str">
            <v>Shan South</v>
          </cell>
          <cell r="N640" t="str">
            <v>Hopong</v>
          </cell>
          <cell r="O640" t="str">
            <v>Hopong</v>
          </cell>
          <cell r="P640" t="str">
            <v>Shan South</v>
          </cell>
          <cell r="Q640" t="str">
            <v>6</v>
          </cell>
          <cell r="R640" t="str">
            <v>Hopong</v>
          </cell>
          <cell r="S640" t="str">
            <v>244</v>
          </cell>
          <cell r="T640" t="str">
            <v>GSM+UMTS</v>
          </cell>
          <cell r="W640" t="str">
            <v>Ph2-Priority</v>
          </cell>
          <cell r="X640" t="str">
            <v>35</v>
          </cell>
          <cell r="Y640" t="str">
            <v>37</v>
          </cell>
          <cell r="Z640" t="str">
            <v>GBT</v>
          </cell>
          <cell r="AA640" t="str">
            <v>100</v>
          </cell>
          <cell r="AB640" t="str">
            <v>Access</v>
          </cell>
          <cell r="AC640" t="str">
            <v>Class B</v>
          </cell>
          <cell r="BE640" t="str">
            <v>Route 15 Taunggyi - Tachileik</v>
          </cell>
          <cell r="BH640" t="str">
            <v>Leadcom</v>
          </cell>
          <cell r="BJ640">
            <v>42176</v>
          </cell>
          <cell r="BK640">
            <v>42167</v>
          </cell>
          <cell r="BL640">
            <v>42181</v>
          </cell>
          <cell r="BM640">
            <v>42174</v>
          </cell>
          <cell r="BT640">
            <v>25</v>
          </cell>
          <cell r="BU640">
            <v>42263</v>
          </cell>
          <cell r="BV640">
            <v>42192</v>
          </cell>
          <cell r="BW640" t="str">
            <v>97.16438</v>
          </cell>
          <cell r="BX640" t="str">
            <v>20.78946</v>
          </cell>
          <cell r="BY640" t="str">
            <v>C3</v>
          </cell>
          <cell r="BZ640" t="str">
            <v>Thalunphyu Village, Kwelue village group, Sagaing Township, Sagaing Division</v>
          </cell>
          <cell r="CA640" t="str">
            <v>U Maw Naing</v>
          </cell>
          <cell r="CB640" t="str">
            <v>29 June 15:C2- SAR submission( C1-NOC issue);8 June 15 : C1 TSSR app;24May15: C1 SAR Sub.</v>
          </cell>
          <cell r="CC640" t="str">
            <v>Residential</v>
          </cell>
          <cell r="CE640">
            <v>1</v>
          </cell>
          <cell r="CF640">
            <v>42264</v>
          </cell>
          <cell r="CG640">
            <v>42193</v>
          </cell>
          <cell r="CH640">
            <v>42266</v>
          </cell>
          <cell r="CJ640">
            <v>42195</v>
          </cell>
          <cell r="CK640" t="str">
            <v>35</v>
          </cell>
          <cell r="CL640" t="str">
            <v>37</v>
          </cell>
          <cell r="CM640" t="str">
            <v>40</v>
          </cell>
          <cell r="CN640">
            <v>40</v>
          </cell>
          <cell r="CO640">
            <v>42269</v>
          </cell>
          <cell r="CP640">
            <v>42197</v>
          </cell>
          <cell r="CQ640" t="str">
            <v>M1: grid power + battery</v>
          </cell>
          <cell r="CR640">
            <v>0</v>
          </cell>
          <cell r="CS640">
            <v>42270</v>
          </cell>
          <cell r="CT640">
            <v>42199</v>
          </cell>
          <cell r="CU640" t="str">
            <v>SH0519</v>
          </cell>
          <cell r="DH640">
            <v>0</v>
          </cell>
          <cell r="DI640">
            <v>42280</v>
          </cell>
          <cell r="DJ640">
            <v>42217</v>
          </cell>
          <cell r="DK640">
            <v>42277</v>
          </cell>
          <cell r="DL640">
            <v>42172</v>
          </cell>
          <cell r="DM640">
            <v>42281</v>
          </cell>
          <cell r="DO640">
            <v>0</v>
          </cell>
          <cell r="DP640">
            <v>42280</v>
          </cell>
          <cell r="DQ640">
            <v>42217</v>
          </cell>
          <cell r="DT640">
            <v>0</v>
          </cell>
          <cell r="DU640">
            <v>42295</v>
          </cell>
          <cell r="DW640">
            <v>0</v>
          </cell>
          <cell r="DY640">
            <v>42281</v>
          </cell>
          <cell r="DZ640">
            <v>42207</v>
          </cell>
          <cell r="EA640" t="str">
            <v>Leadcom</v>
          </cell>
          <cell r="ED640" t="str">
            <v xml:space="preserve">02Aug15 :KyawZay.Yar: Excavation ongoing.
</v>
          </cell>
          <cell r="EJ640">
            <v>0</v>
          </cell>
          <cell r="EK640">
            <v>42296</v>
          </cell>
          <cell r="EM640">
            <v>42297</v>
          </cell>
          <cell r="EQ640">
            <v>42304</v>
          </cell>
          <cell r="EW640">
            <v>0</v>
          </cell>
          <cell r="EX640">
            <v>42318</v>
          </cell>
          <cell r="EZ640">
            <v>42314</v>
          </cell>
          <cell r="FB640">
            <v>42316</v>
          </cell>
          <cell r="FU640">
            <v>42318</v>
          </cell>
          <cell r="FW640">
            <v>42318</v>
          </cell>
          <cell r="GI640">
            <v>42246</v>
          </cell>
          <cell r="GJ640">
            <v>0</v>
          </cell>
          <cell r="GN640" t="str">
            <v>ERICSSON</v>
          </cell>
          <cell r="GO640">
            <v>42185</v>
          </cell>
          <cell r="HD640">
            <v>1</v>
          </cell>
        </row>
        <row r="641">
          <cell r="A641" t="str">
            <v>SH0536</v>
          </cell>
          <cell r="B641" t="str">
            <v>ANSH_0036</v>
          </cell>
          <cell r="C641" t="str">
            <v>Apollo</v>
          </cell>
          <cell r="D641" t="str">
            <v>Adriaan Coetsee</v>
          </cell>
          <cell r="F641" t="str">
            <v>Mya Kyauk</v>
          </cell>
          <cell r="G641" t="str">
            <v>Thandar Htoo</v>
          </cell>
          <cell r="H641" t="str">
            <v>RED</v>
          </cell>
          <cell r="I641" t="str">
            <v>North</v>
          </cell>
          <cell r="J641" t="str">
            <v>98.096706746</v>
          </cell>
          <cell r="K641" t="str">
            <v>23.862302872</v>
          </cell>
          <cell r="L641" t="str">
            <v>Rural</v>
          </cell>
          <cell r="M641" t="str">
            <v>Shan North</v>
          </cell>
          <cell r="N641" t="str">
            <v>Muse</v>
          </cell>
          <cell r="O641" t="str">
            <v>Muse</v>
          </cell>
          <cell r="P641" t="str">
            <v>Shan North</v>
          </cell>
          <cell r="Q641" t="str">
            <v>5</v>
          </cell>
          <cell r="R641" t="str">
            <v>Muse</v>
          </cell>
          <cell r="S641" t="str">
            <v>271</v>
          </cell>
          <cell r="T641" t="str">
            <v>GSM+UMTS</v>
          </cell>
          <cell r="W641" t="str">
            <v>Ph2-Priority</v>
          </cell>
          <cell r="X641" t="str">
            <v>55</v>
          </cell>
          <cell r="Y641" t="str">
            <v>57</v>
          </cell>
          <cell r="AA641" t="str">
            <v>500</v>
          </cell>
          <cell r="AB641" t="str">
            <v>Access</v>
          </cell>
          <cell r="AC641" t="str">
            <v>Class C</v>
          </cell>
          <cell r="BH641" t="str">
            <v>Camusat</v>
          </cell>
          <cell r="BJ641">
            <v>42176</v>
          </cell>
          <cell r="BL641">
            <v>42181</v>
          </cell>
          <cell r="BT641">
            <v>42158</v>
          </cell>
          <cell r="BU641">
            <v>42266</v>
          </cell>
          <cell r="CE641">
            <v>0</v>
          </cell>
          <cell r="CF641">
            <v>42267</v>
          </cell>
          <cell r="CH641">
            <v>42269</v>
          </cell>
          <cell r="CN641">
            <v>0</v>
          </cell>
          <cell r="CO641">
            <v>42272</v>
          </cell>
          <cell r="CR641">
            <v>0</v>
          </cell>
          <cell r="CS641">
            <v>42273</v>
          </cell>
          <cell r="CU641" t="str">
            <v>SH0536</v>
          </cell>
          <cell r="DH641">
            <v>0</v>
          </cell>
          <cell r="DI641">
            <v>42283</v>
          </cell>
          <cell r="DK641">
            <v>42280</v>
          </cell>
          <cell r="DM641">
            <v>42284</v>
          </cell>
          <cell r="DO641">
            <v>0</v>
          </cell>
          <cell r="DP641">
            <v>42283</v>
          </cell>
          <cell r="DT641">
            <v>0</v>
          </cell>
          <cell r="DU641">
            <v>42298</v>
          </cell>
          <cell r="DW641">
            <v>0</v>
          </cell>
          <cell r="DY641">
            <v>42284</v>
          </cell>
          <cell r="EA641" t="str">
            <v>Camusat</v>
          </cell>
          <cell r="EJ641">
            <v>0</v>
          </cell>
          <cell r="EK641">
            <v>42306</v>
          </cell>
          <cell r="EM641">
            <v>42307</v>
          </cell>
          <cell r="EQ641">
            <v>42319</v>
          </cell>
          <cell r="EW641">
            <v>0</v>
          </cell>
          <cell r="EX641">
            <v>42333</v>
          </cell>
          <cell r="EZ641">
            <v>42329</v>
          </cell>
          <cell r="FB641">
            <v>42331</v>
          </cell>
          <cell r="FU641">
            <v>42333</v>
          </cell>
          <cell r="FW641">
            <v>42333</v>
          </cell>
          <cell r="GJ641">
            <v>0</v>
          </cell>
          <cell r="GN641" t="str">
            <v>ERICSSON</v>
          </cell>
          <cell r="GS641" t="str">
            <v>4/4/4</v>
          </cell>
          <cell r="GU641" t="str">
            <v xml:space="preserve">		</v>
          </cell>
          <cell r="HD641">
            <v>1</v>
          </cell>
        </row>
        <row r="642">
          <cell r="A642" t="str">
            <v>SH0570</v>
          </cell>
          <cell r="B642" t="str">
            <v>ANSH_0037</v>
          </cell>
          <cell r="C642" t="str">
            <v>Apollo</v>
          </cell>
          <cell r="D642" t="str">
            <v>Chris Thomson</v>
          </cell>
          <cell r="F642" t="str">
            <v>Mya Kyauk</v>
          </cell>
          <cell r="G642" t="str">
            <v>Thandar Htoo</v>
          </cell>
          <cell r="H642" t="str">
            <v>RED</v>
          </cell>
          <cell r="I642" t="str">
            <v>North</v>
          </cell>
          <cell r="J642" t="str">
            <v>97.32178</v>
          </cell>
          <cell r="K642" t="str">
            <v>20.906941</v>
          </cell>
          <cell r="L642" t="str">
            <v>Rural</v>
          </cell>
          <cell r="M642" t="str">
            <v>Shan South</v>
          </cell>
          <cell r="N642" t="str">
            <v>Hopong</v>
          </cell>
          <cell r="O642" t="str">
            <v>Hopong</v>
          </cell>
          <cell r="P642" t="str">
            <v>Shan South</v>
          </cell>
          <cell r="Q642" t="str">
            <v>6</v>
          </cell>
          <cell r="R642" t="str">
            <v>Hopong</v>
          </cell>
          <cell r="S642" t="str">
            <v>244</v>
          </cell>
          <cell r="T642" t="str">
            <v>GSM+UMTS</v>
          </cell>
          <cell r="W642" t="str">
            <v>Ph2-Priority</v>
          </cell>
          <cell r="X642" t="str">
            <v>55</v>
          </cell>
          <cell r="Y642" t="str">
            <v>57</v>
          </cell>
          <cell r="Z642" t="str">
            <v>GBT</v>
          </cell>
          <cell r="AA642" t="str">
            <v>500</v>
          </cell>
          <cell r="AB642" t="str">
            <v>Access</v>
          </cell>
          <cell r="AC642" t="str">
            <v>Class C</v>
          </cell>
          <cell r="BH642" t="str">
            <v>Leadcom</v>
          </cell>
          <cell r="BJ642">
            <v>42176</v>
          </cell>
          <cell r="BK642">
            <v>42167</v>
          </cell>
          <cell r="BL642">
            <v>42181</v>
          </cell>
          <cell r="BM642">
            <v>42174</v>
          </cell>
          <cell r="BT642">
            <v>21</v>
          </cell>
          <cell r="BU642">
            <v>42266</v>
          </cell>
          <cell r="BV642">
            <v>42188</v>
          </cell>
          <cell r="BW642" t="str">
            <v>97.2994</v>
          </cell>
          <cell r="BX642" t="str">
            <v>20.9122</v>
          </cell>
          <cell r="BY642" t="str">
            <v>C3</v>
          </cell>
          <cell r="BZ642" t="str">
            <v>KyaukTan Village Group,Ho Pone Tsp,Taunggyi District,Shan State.</v>
          </cell>
          <cell r="CA642" t="str">
            <v>U Khon Maung Oo</v>
          </cell>
          <cell r="CB642" t="str">
            <v>3 July 15 : C3 SAR sub(2.4KM from NP; NP is inside Forestry)</v>
          </cell>
          <cell r="CC642" t="str">
            <v>Residential</v>
          </cell>
          <cell r="CE642">
            <v>3</v>
          </cell>
          <cell r="CF642">
            <v>42267</v>
          </cell>
          <cell r="CG642">
            <v>42191</v>
          </cell>
          <cell r="CH642">
            <v>42269</v>
          </cell>
          <cell r="CJ642">
            <v>42224</v>
          </cell>
          <cell r="CK642" t="str">
            <v>55</v>
          </cell>
          <cell r="CL642" t="str">
            <v>57</v>
          </cell>
          <cell r="CM642" t="str">
            <v>60</v>
          </cell>
          <cell r="CN642">
            <v>35</v>
          </cell>
          <cell r="CO642">
            <v>42272</v>
          </cell>
          <cell r="CP642">
            <v>42226</v>
          </cell>
          <cell r="CQ642" t="str">
            <v>M1: grid power + battery</v>
          </cell>
          <cell r="CR642">
            <v>2</v>
          </cell>
          <cell r="CS642">
            <v>42273</v>
          </cell>
          <cell r="CT642">
            <v>42228</v>
          </cell>
          <cell r="CU642" t="str">
            <v>SH0570</v>
          </cell>
          <cell r="DH642">
            <v>5</v>
          </cell>
          <cell r="DI642">
            <v>42283</v>
          </cell>
          <cell r="DJ642">
            <v>42171</v>
          </cell>
          <cell r="DK642">
            <v>42280</v>
          </cell>
          <cell r="DL642">
            <v>42168</v>
          </cell>
          <cell r="DM642">
            <v>42284</v>
          </cell>
          <cell r="DN642">
            <v>42179</v>
          </cell>
          <cell r="DO642">
            <v>0</v>
          </cell>
          <cell r="DP642">
            <v>42283</v>
          </cell>
          <cell r="DQ642">
            <v>42171</v>
          </cell>
          <cell r="DT642">
            <v>0</v>
          </cell>
          <cell r="DU642">
            <v>42298</v>
          </cell>
          <cell r="DW642">
            <v>0</v>
          </cell>
          <cell r="DY642">
            <v>42284</v>
          </cell>
          <cell r="DZ642">
            <v>42180</v>
          </cell>
          <cell r="EA642" t="str">
            <v>Leadcom</v>
          </cell>
          <cell r="ED642" t="str">
            <v>13Aug15 :KyawZay.Yar: No activity.In previous situation.Pending tower parts delivery.
02Aug15 :KyawZay.Yar: Pedestal done together with back filling.Pending tower equip; delivery.</v>
          </cell>
          <cell r="EJ642">
            <v>0</v>
          </cell>
          <cell r="EK642">
            <v>42306</v>
          </cell>
          <cell r="EL642">
            <v>42205</v>
          </cell>
          <cell r="EM642">
            <v>42307</v>
          </cell>
          <cell r="EN642">
            <v>42234</v>
          </cell>
          <cell r="EQ642">
            <v>42319</v>
          </cell>
          <cell r="ES642">
            <v>42231</v>
          </cell>
          <cell r="EW642">
            <v>0</v>
          </cell>
          <cell r="EX642">
            <v>42333</v>
          </cell>
          <cell r="EZ642">
            <v>42329</v>
          </cell>
          <cell r="FB642">
            <v>42331</v>
          </cell>
          <cell r="FU642">
            <v>42333</v>
          </cell>
          <cell r="FW642">
            <v>42333</v>
          </cell>
          <cell r="FY642" t="str">
            <v>CFVL</v>
          </cell>
          <cell r="GI642">
            <v>42215</v>
          </cell>
          <cell r="GJ642">
            <v>0</v>
          </cell>
          <cell r="GN642" t="str">
            <v>ERICSSON</v>
          </cell>
          <cell r="GP642">
            <v>42207</v>
          </cell>
          <cell r="HD642">
            <v>1</v>
          </cell>
        </row>
        <row r="643">
          <cell r="A643" t="str">
            <v>SH0572</v>
          </cell>
          <cell r="B643" t="str">
            <v>ANSH_0038</v>
          </cell>
          <cell r="C643" t="str">
            <v>Apollo</v>
          </cell>
          <cell r="D643" t="str">
            <v>Chris Thomson</v>
          </cell>
          <cell r="F643" t="str">
            <v>Mya Kyauk</v>
          </cell>
          <cell r="G643" t="str">
            <v>Thandar Htoo</v>
          </cell>
          <cell r="H643" t="str">
            <v>RED</v>
          </cell>
          <cell r="I643" t="str">
            <v>North</v>
          </cell>
          <cell r="J643" t="str">
            <v>99.685565</v>
          </cell>
          <cell r="K643" t="str">
            <v>20.405607</v>
          </cell>
          <cell r="L643" t="str">
            <v>Rural</v>
          </cell>
          <cell r="M643" t="str">
            <v>Shan East</v>
          </cell>
          <cell r="N643" t="str">
            <v>Tachileik</v>
          </cell>
          <cell r="O643" t="str">
            <v>Tachileik</v>
          </cell>
          <cell r="P643" t="str">
            <v>Shan East</v>
          </cell>
          <cell r="Q643" t="str">
            <v>4</v>
          </cell>
          <cell r="R643" t="str">
            <v>Tachileik</v>
          </cell>
          <cell r="S643" t="str">
            <v>294</v>
          </cell>
          <cell r="T643" t="str">
            <v>GSM+UMTS</v>
          </cell>
          <cell r="W643" t="str">
            <v>Ph2-Priority</v>
          </cell>
          <cell r="X643" t="str">
            <v>55</v>
          </cell>
          <cell r="Y643" t="str">
            <v>57</v>
          </cell>
          <cell r="Z643" t="str">
            <v>GBT</v>
          </cell>
          <cell r="AA643" t="str">
            <v>500</v>
          </cell>
          <cell r="AB643" t="str">
            <v>Access</v>
          </cell>
          <cell r="AC643" t="str">
            <v>Class C</v>
          </cell>
          <cell r="BH643" t="str">
            <v>Camusat</v>
          </cell>
          <cell r="BJ643">
            <v>42176</v>
          </cell>
          <cell r="BK643">
            <v>42141</v>
          </cell>
          <cell r="BL643">
            <v>42181</v>
          </cell>
          <cell r="BM643">
            <v>42148</v>
          </cell>
          <cell r="BT643">
            <v>17</v>
          </cell>
          <cell r="BU643">
            <v>42266</v>
          </cell>
          <cell r="BV643">
            <v>42158</v>
          </cell>
          <cell r="BW643" t="str">
            <v>95.39626</v>
          </cell>
          <cell r="BX643" t="str">
            <v>22.94424</v>
          </cell>
          <cell r="BY643" t="str">
            <v>C1</v>
          </cell>
          <cell r="BZ643" t="str">
            <v>Paw Oo Quarter, TaZe Township, Sagaing Davision.</v>
          </cell>
          <cell r="CA643" t="str">
            <v>U Pyay Aye;Paw_U Quarter, Tant Sal Township, Sagaing Davision;09-400538414</v>
          </cell>
          <cell r="CB643" t="str">
            <v>3Jun15: C1 SAR Sub</v>
          </cell>
          <cell r="CE643">
            <v>0</v>
          </cell>
          <cell r="CF643">
            <v>42267</v>
          </cell>
          <cell r="CG643">
            <v>42159</v>
          </cell>
          <cell r="CH643">
            <v>42269</v>
          </cell>
          <cell r="CJ643">
            <v>42168</v>
          </cell>
          <cell r="CK643" t="str">
            <v>45</v>
          </cell>
          <cell r="CL643" t="str">
            <v>47</v>
          </cell>
          <cell r="CM643" t="str">
            <v>50</v>
          </cell>
          <cell r="CN643">
            <v>0</v>
          </cell>
          <cell r="CO643">
            <v>42272</v>
          </cell>
          <cell r="CP643">
            <v>42170</v>
          </cell>
          <cell r="CQ643" t="str">
            <v>M1: grid power + battery</v>
          </cell>
          <cell r="CR643">
            <v>0</v>
          </cell>
          <cell r="CS643">
            <v>42273</v>
          </cell>
          <cell r="CT643">
            <v>42170</v>
          </cell>
          <cell r="CU643" t="str">
            <v>SH0572</v>
          </cell>
          <cell r="DH643">
            <v>0</v>
          </cell>
          <cell r="DI643">
            <v>42283</v>
          </cell>
          <cell r="DJ643">
            <v>42186</v>
          </cell>
          <cell r="DK643">
            <v>42280</v>
          </cell>
          <cell r="DL643">
            <v>42168</v>
          </cell>
          <cell r="DM643">
            <v>42284</v>
          </cell>
          <cell r="DN643">
            <v>42187</v>
          </cell>
          <cell r="DO643">
            <v>0</v>
          </cell>
          <cell r="DP643">
            <v>42283</v>
          </cell>
          <cell r="DQ643">
            <v>42187</v>
          </cell>
          <cell r="DT643">
            <v>0</v>
          </cell>
          <cell r="DU643">
            <v>42298</v>
          </cell>
          <cell r="DW643">
            <v>0</v>
          </cell>
          <cell r="DY643">
            <v>42284</v>
          </cell>
          <cell r="DZ643">
            <v>42187</v>
          </cell>
          <cell r="EA643" t="str">
            <v>Camusat</v>
          </cell>
          <cell r="EB643">
            <v>42206</v>
          </cell>
          <cell r="EE643" t="str">
            <v xml:space="preserve">10 Aug 15:Flood affected_Hold-No access; 21-Jul-15:Flooded access or site is flooded_ we canÆt proceed to this site. For now								</v>
          </cell>
          <cell r="EJ643">
            <v>0</v>
          </cell>
          <cell r="EK643">
            <v>42306</v>
          </cell>
          <cell r="EM643">
            <v>42307</v>
          </cell>
          <cell r="EQ643">
            <v>42319</v>
          </cell>
          <cell r="EW643">
            <v>0</v>
          </cell>
          <cell r="EX643">
            <v>42333</v>
          </cell>
          <cell r="EZ643">
            <v>42329</v>
          </cell>
          <cell r="FB643">
            <v>42331</v>
          </cell>
          <cell r="FU643">
            <v>42333</v>
          </cell>
          <cell r="FW643">
            <v>42333</v>
          </cell>
          <cell r="GI643">
            <v>42189</v>
          </cell>
          <cell r="GJ643">
            <v>0</v>
          </cell>
          <cell r="GN643" t="str">
            <v>ERICSSON</v>
          </cell>
          <cell r="HD643">
            <v>1</v>
          </cell>
        </row>
        <row r="644">
          <cell r="A644" t="str">
            <v>SH0596</v>
          </cell>
          <cell r="B644" t="str">
            <v>ANSH_0039</v>
          </cell>
          <cell r="C644" t="str">
            <v>Apollo</v>
          </cell>
          <cell r="D644" t="str">
            <v>Adriaan Coetsee</v>
          </cell>
          <cell r="F644" t="str">
            <v>Mya Kyauk</v>
          </cell>
          <cell r="G644" t="str">
            <v>Thandar Htoo</v>
          </cell>
          <cell r="H644" t="str">
            <v>RED</v>
          </cell>
          <cell r="I644" t="str">
            <v>North</v>
          </cell>
          <cell r="J644" t="str">
            <v>97.1647363992043</v>
          </cell>
          <cell r="K644" t="str">
            <v>22.9645601088941</v>
          </cell>
          <cell r="L644" t="str">
            <v>Suburban</v>
          </cell>
          <cell r="M644" t="str">
            <v>Shan North</v>
          </cell>
          <cell r="N644" t="str">
            <v>Namhsan</v>
          </cell>
          <cell r="O644" t="str">
            <v>Namhsan</v>
          </cell>
          <cell r="P644" t="str">
            <v>Shan North</v>
          </cell>
          <cell r="Q644" t="str">
            <v>5</v>
          </cell>
          <cell r="R644" t="str">
            <v>Namhsan</v>
          </cell>
          <cell r="S644" t="str">
            <v>278</v>
          </cell>
          <cell r="T644" t="str">
            <v>GSM+UMTS</v>
          </cell>
          <cell r="W644" t="str">
            <v>Ph2-Priority</v>
          </cell>
          <cell r="X644" t="str">
            <v>35</v>
          </cell>
          <cell r="Y644" t="str">
            <v>37</v>
          </cell>
          <cell r="Z644" t="str">
            <v>GBT</v>
          </cell>
          <cell r="AA644" t="str">
            <v>250</v>
          </cell>
          <cell r="AB644" t="str">
            <v>Access</v>
          </cell>
          <cell r="AC644" t="str">
            <v>Class B</v>
          </cell>
          <cell r="BH644" t="str">
            <v>Camusat</v>
          </cell>
          <cell r="BJ644">
            <v>42176</v>
          </cell>
          <cell r="BL644">
            <v>42181</v>
          </cell>
          <cell r="BT644">
            <v>42158</v>
          </cell>
          <cell r="BU644">
            <v>42263</v>
          </cell>
          <cell r="BV644">
            <v>42205</v>
          </cell>
          <cell r="BW644" t="str">
            <v>97.16273</v>
          </cell>
          <cell r="BX644" t="str">
            <v>22.96072</v>
          </cell>
          <cell r="BY644" t="str">
            <v>C1</v>
          </cell>
          <cell r="BZ644" t="str">
            <v>No(118),Har Myinn Gyi Str,Pa Kar Yi (north),Dawei Township</v>
          </cell>
          <cell r="CA644" t="str">
            <v>U SU MAE, 09 73227521</v>
          </cell>
          <cell r="CB644" t="str">
            <v>20 July 15:C1-SAR submission + justfication</v>
          </cell>
          <cell r="CC644" t="str">
            <v>Village</v>
          </cell>
          <cell r="CE644">
            <v>1</v>
          </cell>
          <cell r="CF644">
            <v>42264</v>
          </cell>
          <cell r="CG644">
            <v>42206</v>
          </cell>
          <cell r="CH644">
            <v>42266</v>
          </cell>
          <cell r="CJ644">
            <v>42213</v>
          </cell>
          <cell r="CK644" t="str">
            <v>45</v>
          </cell>
          <cell r="CL644" t="str">
            <v>47</v>
          </cell>
          <cell r="CM644" t="str">
            <v>50</v>
          </cell>
          <cell r="CN644">
            <v>27</v>
          </cell>
          <cell r="CO644">
            <v>42269</v>
          </cell>
          <cell r="CP644">
            <v>42215</v>
          </cell>
          <cell r="CQ644" t="str">
            <v>M4: solar + DG + battery</v>
          </cell>
          <cell r="CR644">
            <v>0</v>
          </cell>
          <cell r="CS644">
            <v>42270</v>
          </cell>
          <cell r="CT644">
            <v>42220</v>
          </cell>
          <cell r="CU644" t="str">
            <v>SH0596</v>
          </cell>
          <cell r="DH644">
            <v>0</v>
          </cell>
          <cell r="DI644">
            <v>42280</v>
          </cell>
          <cell r="DK644">
            <v>42277</v>
          </cell>
          <cell r="DM644">
            <v>42281</v>
          </cell>
          <cell r="DO644">
            <v>0</v>
          </cell>
          <cell r="DP644">
            <v>42280</v>
          </cell>
          <cell r="DT644">
            <v>0</v>
          </cell>
          <cell r="DU644">
            <v>42295</v>
          </cell>
          <cell r="DW644">
            <v>0</v>
          </cell>
          <cell r="DY644">
            <v>42281</v>
          </cell>
          <cell r="EA644" t="str">
            <v>Camusat</v>
          </cell>
          <cell r="EJ644">
            <v>0</v>
          </cell>
          <cell r="EK644">
            <v>42296</v>
          </cell>
          <cell r="EM644">
            <v>42297</v>
          </cell>
          <cell r="EQ644">
            <v>42304</v>
          </cell>
          <cell r="EW644">
            <v>0</v>
          </cell>
          <cell r="EX644">
            <v>42318</v>
          </cell>
          <cell r="EZ644">
            <v>42314</v>
          </cell>
          <cell r="FB644">
            <v>42316</v>
          </cell>
          <cell r="FU644">
            <v>42318</v>
          </cell>
          <cell r="FW644">
            <v>42318</v>
          </cell>
          <cell r="GJ644">
            <v>0</v>
          </cell>
          <cell r="GN644" t="str">
            <v>ERICSSON</v>
          </cell>
          <cell r="GU644" t="str">
            <v xml:space="preserve">		</v>
          </cell>
          <cell r="HD644">
            <v>1</v>
          </cell>
        </row>
        <row r="645">
          <cell r="A645" t="str">
            <v>SH0617</v>
          </cell>
          <cell r="B645" t="str">
            <v>ANSH_0040</v>
          </cell>
          <cell r="C645" t="str">
            <v>Apollo</v>
          </cell>
          <cell r="D645" t="str">
            <v>Adriaan Coetsee</v>
          </cell>
          <cell r="F645" t="str">
            <v>Mya Kyauk</v>
          </cell>
          <cell r="G645" t="str">
            <v>Thandar Htoo</v>
          </cell>
          <cell r="H645" t="str">
            <v>RED</v>
          </cell>
          <cell r="I645" t="str">
            <v>North</v>
          </cell>
          <cell r="J645" t="str">
            <v>96.6469</v>
          </cell>
          <cell r="K645" t="str">
            <v>22.1849</v>
          </cell>
          <cell r="L645" t="str">
            <v>Rural</v>
          </cell>
          <cell r="M645" t="str">
            <v>Shan North</v>
          </cell>
          <cell r="N645" t="str">
            <v>Nawnghkio</v>
          </cell>
          <cell r="O645" t="str">
            <v>Nawnghkio</v>
          </cell>
          <cell r="P645" t="str">
            <v>Shan North</v>
          </cell>
          <cell r="Q645" t="str">
            <v>5</v>
          </cell>
          <cell r="R645" t="str">
            <v>Nawnghkio</v>
          </cell>
          <cell r="S645" t="str">
            <v>275</v>
          </cell>
          <cell r="T645" t="str">
            <v>GSM+UMTS</v>
          </cell>
          <cell r="W645" t="str">
            <v>Ph2-Priority</v>
          </cell>
          <cell r="X645" t="str">
            <v>45</v>
          </cell>
          <cell r="Y645" t="str">
            <v>47</v>
          </cell>
          <cell r="Z645" t="str">
            <v>GBT</v>
          </cell>
          <cell r="AA645" t="str">
            <v>500</v>
          </cell>
          <cell r="AB645" t="str">
            <v>Access</v>
          </cell>
          <cell r="AC645" t="str">
            <v>Class C</v>
          </cell>
          <cell r="BH645" t="str">
            <v>Camusat</v>
          </cell>
          <cell r="BJ645">
            <v>42176</v>
          </cell>
          <cell r="BK645">
            <v>42171</v>
          </cell>
          <cell r="BL645">
            <v>42181</v>
          </cell>
          <cell r="BM645">
            <v>42178</v>
          </cell>
          <cell r="BT645">
            <v>10</v>
          </cell>
          <cell r="BU645">
            <v>42197</v>
          </cell>
          <cell r="BV645">
            <v>42199</v>
          </cell>
          <cell r="BW645" t="str">
            <v>96.64634</v>
          </cell>
          <cell r="BX645" t="str">
            <v>22.18177</v>
          </cell>
          <cell r="BY645" t="str">
            <v>C1</v>
          </cell>
          <cell r="BZ645" t="str">
            <v>Quarter (2) , Hant Bwe Village , Naung Cho Township</v>
          </cell>
          <cell r="CA645" t="str">
            <v>Daw Aye Mar</v>
          </cell>
          <cell r="CB645" t="str">
            <v>17 July 15 : C1 SAR approved as an option 1( TND approved.  Tower height is 50m, Clearance is about 18m, Cofirmed with customers. it is Ok.);14 June 15:C1-SAR submission</v>
          </cell>
          <cell r="CC645" t="str">
            <v>Village</v>
          </cell>
          <cell r="CE645">
            <v>3</v>
          </cell>
          <cell r="CF645">
            <v>42198</v>
          </cell>
          <cell r="CG645">
            <v>42202</v>
          </cell>
          <cell r="CH645">
            <v>42200</v>
          </cell>
          <cell r="CJ645">
            <v>42212</v>
          </cell>
          <cell r="CK645" t="str">
            <v>48</v>
          </cell>
          <cell r="CL645" t="str">
            <v>50</v>
          </cell>
          <cell r="CM645" t="str">
            <v>50</v>
          </cell>
          <cell r="CN645">
            <v>12</v>
          </cell>
          <cell r="CO645">
            <v>42203</v>
          </cell>
          <cell r="CP645">
            <v>42214</v>
          </cell>
          <cell r="CQ645" t="str">
            <v>M1: grid power + battery</v>
          </cell>
          <cell r="CR645">
            <v>5</v>
          </cell>
          <cell r="CS645">
            <v>42204</v>
          </cell>
          <cell r="CT645">
            <v>42219</v>
          </cell>
          <cell r="CU645" t="str">
            <v>SH0617</v>
          </cell>
          <cell r="DH645">
            <v>14</v>
          </cell>
          <cell r="DI645">
            <v>42214</v>
          </cell>
          <cell r="DJ645">
            <v>42217</v>
          </cell>
          <cell r="DK645">
            <v>42211</v>
          </cell>
          <cell r="DM645">
            <v>42215</v>
          </cell>
          <cell r="DO645">
            <v>0</v>
          </cell>
          <cell r="DP645">
            <v>42214</v>
          </cell>
          <cell r="DQ645">
            <v>42217</v>
          </cell>
          <cell r="DT645">
            <v>0</v>
          </cell>
          <cell r="DU645">
            <v>42229</v>
          </cell>
          <cell r="DW645">
            <v>0</v>
          </cell>
          <cell r="DY645">
            <v>42215</v>
          </cell>
          <cell r="EA645" t="str">
            <v>Camusat</v>
          </cell>
          <cell r="EB645">
            <v>42215</v>
          </cell>
          <cell r="EE645" t="str">
            <v xml:space="preserve">10 Aug 15:Flood affected_Hold-No access; 30-Jul-15:Site cancelled from SKOM &amp; CW, due to Flooded access. SG Area is affected by Flood.								</v>
          </cell>
          <cell r="EJ645">
            <v>0</v>
          </cell>
          <cell r="EK645">
            <v>42232</v>
          </cell>
          <cell r="EM645">
            <v>42233</v>
          </cell>
          <cell r="EQ645">
            <v>42242</v>
          </cell>
          <cell r="EW645">
            <v>0</v>
          </cell>
          <cell r="EX645">
            <v>42256</v>
          </cell>
          <cell r="EZ645">
            <v>42252</v>
          </cell>
          <cell r="FB645">
            <v>42254</v>
          </cell>
          <cell r="FU645">
            <v>42256</v>
          </cell>
          <cell r="FW645">
            <v>42256</v>
          </cell>
          <cell r="GI645">
            <v>42277</v>
          </cell>
          <cell r="GJ645">
            <v>0</v>
          </cell>
          <cell r="GN645" t="str">
            <v>ERICSSON</v>
          </cell>
          <cell r="HD645">
            <v>1</v>
          </cell>
        </row>
        <row r="646">
          <cell r="A646" t="str">
            <v>TN0429</v>
          </cell>
          <cell r="B646" t="str">
            <v>ASTN_0001</v>
          </cell>
          <cell r="C646" t="str">
            <v>Apollo</v>
          </cell>
          <cell r="D646" t="str">
            <v>Robert</v>
          </cell>
          <cell r="F646" t="str">
            <v>Phyo Wai Maung</v>
          </cell>
          <cell r="G646" t="str">
            <v>Aye Myat Myat Moe</v>
          </cell>
          <cell r="H646" t="str">
            <v>RED</v>
          </cell>
          <cell r="I646" t="str">
            <v>South</v>
          </cell>
          <cell r="J646" t="str">
            <v>98.2092</v>
          </cell>
          <cell r="K646" t="str">
            <v>14.2228</v>
          </cell>
          <cell r="L646" t="str">
            <v>Rural</v>
          </cell>
          <cell r="M646" t="str">
            <v>Tanintharyi</v>
          </cell>
          <cell r="N646" t="str">
            <v>Yebyu</v>
          </cell>
          <cell r="O646" t="str">
            <v>Yebyu</v>
          </cell>
          <cell r="P646" t="str">
            <v>Tanintharyi</v>
          </cell>
          <cell r="Q646" t="str">
            <v>23</v>
          </cell>
          <cell r="R646" t="str">
            <v>Yebyu</v>
          </cell>
          <cell r="S646" t="str">
            <v>82</v>
          </cell>
          <cell r="T646" t="str">
            <v>GSM+UMTS</v>
          </cell>
          <cell r="W646" t="str">
            <v>Ph2-Priority</v>
          </cell>
          <cell r="X646" t="str">
            <v>45</v>
          </cell>
          <cell r="Y646" t="str">
            <v>47</v>
          </cell>
          <cell r="Z646" t="str">
            <v>GBT</v>
          </cell>
          <cell r="AA646" t="str">
            <v>500</v>
          </cell>
          <cell r="AB646" t="str">
            <v>Access</v>
          </cell>
          <cell r="AC646" t="str">
            <v>Class C</v>
          </cell>
          <cell r="BE646" t="str">
            <v>Route 13 Mawlamyine-Dawei</v>
          </cell>
          <cell r="BH646" t="str">
            <v>Leadcom</v>
          </cell>
          <cell r="BJ646">
            <v>42159</v>
          </cell>
          <cell r="BL646">
            <v>42164</v>
          </cell>
          <cell r="BT646">
            <v>42158</v>
          </cell>
          <cell r="BU646">
            <v>42197</v>
          </cell>
          <cell r="BV646">
            <v>42208</v>
          </cell>
          <cell r="BW646" t="str">
            <v>99.904417</v>
          </cell>
          <cell r="BX646" t="str">
            <v>20.45657</v>
          </cell>
          <cell r="BY646" t="str">
            <v>C1</v>
          </cell>
          <cell r="BZ646" t="str">
            <v>Mel Khaung Quarter,Mel Khaung Group,Tachilate Township, Eastern Shan State</v>
          </cell>
          <cell r="CA646" t="str">
            <v>U MAN SHWE THAN</v>
          </cell>
          <cell r="CC646" t="str">
            <v>Residential</v>
          </cell>
          <cell r="CE646">
            <v>0</v>
          </cell>
          <cell r="CF646">
            <v>42198</v>
          </cell>
          <cell r="CG646">
            <v>42209</v>
          </cell>
          <cell r="CH646">
            <v>42200</v>
          </cell>
          <cell r="CJ646">
            <v>42230</v>
          </cell>
          <cell r="CK646" t="str">
            <v>35</v>
          </cell>
          <cell r="CL646" t="str">
            <v>37</v>
          </cell>
          <cell r="CM646" t="str">
            <v>40</v>
          </cell>
          <cell r="CN646">
            <v>0</v>
          </cell>
          <cell r="CO646">
            <v>42203</v>
          </cell>
          <cell r="CP646">
            <v>42232</v>
          </cell>
          <cell r="CQ646" t="str">
            <v>M1: grid power + battery</v>
          </cell>
          <cell r="CR646">
            <v>0</v>
          </cell>
          <cell r="CS646">
            <v>42204</v>
          </cell>
          <cell r="CT646">
            <v>42234</v>
          </cell>
          <cell r="CU646" t="str">
            <v>TN0429</v>
          </cell>
          <cell r="DH646">
            <v>0</v>
          </cell>
          <cell r="DI646">
            <v>42214</v>
          </cell>
          <cell r="DK646">
            <v>42211</v>
          </cell>
          <cell r="DM646">
            <v>42215</v>
          </cell>
          <cell r="DO646">
            <v>0</v>
          </cell>
          <cell r="DP646">
            <v>42214</v>
          </cell>
          <cell r="DT646">
            <v>0</v>
          </cell>
          <cell r="DU646">
            <v>42229</v>
          </cell>
          <cell r="DW646">
            <v>0</v>
          </cell>
          <cell r="DY646">
            <v>42215</v>
          </cell>
          <cell r="EA646" t="str">
            <v>Leadcom</v>
          </cell>
          <cell r="EJ646">
            <v>0</v>
          </cell>
          <cell r="EK646">
            <v>42232</v>
          </cell>
          <cell r="EM646">
            <v>42233</v>
          </cell>
          <cell r="EQ646">
            <v>42242</v>
          </cell>
          <cell r="EW646">
            <v>0</v>
          </cell>
          <cell r="EX646">
            <v>42256</v>
          </cell>
          <cell r="EZ646">
            <v>42252</v>
          </cell>
          <cell r="FB646">
            <v>42254</v>
          </cell>
          <cell r="FU646">
            <v>42256</v>
          </cell>
          <cell r="FW646">
            <v>42256</v>
          </cell>
          <cell r="GI646">
            <v>42159</v>
          </cell>
          <cell r="GJ646">
            <v>0</v>
          </cell>
          <cell r="GN646" t="str">
            <v>ERICSSON</v>
          </cell>
          <cell r="GS646" t="str">
            <v>4/4/4</v>
          </cell>
          <cell r="GU646" t="str">
            <v xml:space="preserve">		</v>
          </cell>
          <cell r="HD646">
            <v>1</v>
          </cell>
        </row>
        <row r="647">
          <cell r="A647" t="str">
            <v>TN0430</v>
          </cell>
          <cell r="B647" t="str">
            <v>ASTN_0002</v>
          </cell>
          <cell r="C647" t="str">
            <v>Apollo</v>
          </cell>
          <cell r="D647" t="str">
            <v>Robert</v>
          </cell>
          <cell r="F647" t="str">
            <v>Phyo Wai Maung</v>
          </cell>
          <cell r="G647" t="str">
            <v>Aye Myat Myat Moe</v>
          </cell>
          <cell r="H647" t="str">
            <v>RED</v>
          </cell>
          <cell r="I647" t="str">
            <v>South</v>
          </cell>
          <cell r="J647" t="str">
            <v>98.1076</v>
          </cell>
          <cell r="K647" t="str">
            <v>14.1205</v>
          </cell>
          <cell r="L647" t="str">
            <v>Rural</v>
          </cell>
          <cell r="M647" t="str">
            <v>Tanintharyi</v>
          </cell>
          <cell r="N647" t="str">
            <v>Launglon</v>
          </cell>
          <cell r="O647" t="str">
            <v>Launglon</v>
          </cell>
          <cell r="P647" t="str">
            <v>Tanintharyi</v>
          </cell>
          <cell r="Q647" t="str">
            <v>23</v>
          </cell>
          <cell r="R647" t="str">
            <v>Launglon</v>
          </cell>
          <cell r="S647" t="str">
            <v>80</v>
          </cell>
          <cell r="T647" t="str">
            <v>GSM+UMTS</v>
          </cell>
          <cell r="W647" t="str">
            <v>Ph2-Priority</v>
          </cell>
          <cell r="X647" t="str">
            <v>45</v>
          </cell>
          <cell r="Y647" t="str">
            <v>47</v>
          </cell>
          <cell r="Z647" t="str">
            <v>GBT</v>
          </cell>
          <cell r="AA647" t="str">
            <v>500</v>
          </cell>
          <cell r="AB647" t="str">
            <v>Access</v>
          </cell>
          <cell r="AC647" t="str">
            <v>Class C</v>
          </cell>
          <cell r="BE647" t="str">
            <v>Route 13 Mawlamyine-Dawei</v>
          </cell>
          <cell r="BH647" t="str">
            <v>Leadcom</v>
          </cell>
          <cell r="BJ647">
            <v>42159</v>
          </cell>
          <cell r="BK647">
            <v>42136</v>
          </cell>
          <cell r="BL647">
            <v>42164</v>
          </cell>
          <cell r="BM647">
            <v>42143</v>
          </cell>
          <cell r="BT647">
            <v>17</v>
          </cell>
          <cell r="BU647">
            <v>42207</v>
          </cell>
          <cell r="BV647">
            <v>42242</v>
          </cell>
          <cell r="BW647" t="str">
            <v>98.10532</v>
          </cell>
          <cell r="BX647" t="str">
            <v>14.12415</v>
          </cell>
          <cell r="BY647" t="str">
            <v>C1</v>
          </cell>
          <cell r="BZ647" t="str">
            <v>Kyauck Sin Village , Kyauck Sin Village Group ,LongLon City , Dawei</v>
          </cell>
          <cell r="CA647" t="str">
            <v>Daw Aye Than, 09-49806782 / 09-73003063</v>
          </cell>
          <cell r="CB647" t="str">
            <v>26 Aug 15: C1 SAR sub</v>
          </cell>
          <cell r="CC647" t="str">
            <v>Free Hold Land</v>
          </cell>
          <cell r="CE647">
            <v>0</v>
          </cell>
          <cell r="CF647">
            <v>42208</v>
          </cell>
          <cell r="CG647">
            <v>42243</v>
          </cell>
          <cell r="CH647">
            <v>42210</v>
          </cell>
          <cell r="CJ647">
            <v>42245</v>
          </cell>
          <cell r="CK647" t="str">
            <v>45</v>
          </cell>
          <cell r="CL647" t="str">
            <v>47</v>
          </cell>
          <cell r="CM647" t="str">
            <v>50</v>
          </cell>
          <cell r="CN647">
            <v>0</v>
          </cell>
          <cell r="CO647">
            <v>42213</v>
          </cell>
          <cell r="CP647">
            <v>42247</v>
          </cell>
          <cell r="CQ647" t="str">
            <v>M1: grid power + battery</v>
          </cell>
          <cell r="CR647">
            <v>0</v>
          </cell>
          <cell r="CS647">
            <v>42214</v>
          </cell>
          <cell r="CT647">
            <v>42248</v>
          </cell>
          <cell r="CU647" t="str">
            <v>TN0430</v>
          </cell>
          <cell r="DH647">
            <v>0</v>
          </cell>
          <cell r="DI647">
            <v>42224</v>
          </cell>
          <cell r="DJ647">
            <v>42175</v>
          </cell>
          <cell r="DK647">
            <v>42221</v>
          </cell>
          <cell r="DL647">
            <v>42179</v>
          </cell>
          <cell r="DM647">
            <v>42225</v>
          </cell>
          <cell r="DN647">
            <v>42179</v>
          </cell>
          <cell r="DO647">
            <v>0</v>
          </cell>
          <cell r="DP647">
            <v>42224</v>
          </cell>
          <cell r="DQ647">
            <v>42175</v>
          </cell>
          <cell r="DT647">
            <v>0</v>
          </cell>
          <cell r="DU647">
            <v>42239</v>
          </cell>
          <cell r="DW647">
            <v>0</v>
          </cell>
          <cell r="DY647">
            <v>42225</v>
          </cell>
          <cell r="DZ647">
            <v>42178</v>
          </cell>
          <cell r="EA647" t="str">
            <v>Leadcom</v>
          </cell>
          <cell r="EE647" t="str">
            <v xml:space="preserve">10 Aug 15:Rain affected_Progress affected; 4-Aug-15:Site is affected by heavy rain								</v>
          </cell>
          <cell r="EJ647">
            <v>0</v>
          </cell>
          <cell r="EK647">
            <v>42242</v>
          </cell>
          <cell r="EL647">
            <v>42225</v>
          </cell>
          <cell r="EM647">
            <v>42243</v>
          </cell>
          <cell r="EQ647">
            <v>42252</v>
          </cell>
          <cell r="ES647">
            <v>42226</v>
          </cell>
          <cell r="EW647">
            <v>0</v>
          </cell>
          <cell r="EX647">
            <v>42266</v>
          </cell>
          <cell r="EZ647">
            <v>42262</v>
          </cell>
          <cell r="FB647">
            <v>42264</v>
          </cell>
          <cell r="FE647">
            <v>42193</v>
          </cell>
          <cell r="FU647">
            <v>42266</v>
          </cell>
          <cell r="FW647">
            <v>42266</v>
          </cell>
          <cell r="GJ647">
            <v>0</v>
          </cell>
          <cell r="GN647" t="str">
            <v xml:space="preserve">ERICSSON </v>
          </cell>
          <cell r="GO647">
            <v>42166</v>
          </cell>
          <cell r="GS647" t="str">
            <v>4/4/4</v>
          </cell>
          <cell r="GU647" t="str">
            <v xml:space="preserve">		</v>
          </cell>
          <cell r="HD647">
            <v>1</v>
          </cell>
        </row>
        <row r="648">
          <cell r="A648" t="str">
            <v>TN0431</v>
          </cell>
          <cell r="B648" t="str">
            <v>ASTN_0003</v>
          </cell>
          <cell r="C648" t="str">
            <v>Apollo</v>
          </cell>
          <cell r="D648" t="str">
            <v>Robert</v>
          </cell>
          <cell r="F648" t="str">
            <v>Phyo Wai Maung</v>
          </cell>
          <cell r="G648" t="str">
            <v>Aye Myat Myat Moe</v>
          </cell>
          <cell r="H648" t="str">
            <v>RED</v>
          </cell>
          <cell r="I648" t="str">
            <v>South</v>
          </cell>
          <cell r="J648" t="str">
            <v>98.1901</v>
          </cell>
          <cell r="K648" t="str">
            <v>14.0778</v>
          </cell>
          <cell r="L648" t="str">
            <v>SubUrban</v>
          </cell>
          <cell r="M648" t="str">
            <v>Tanintharyi</v>
          </cell>
          <cell r="N648" t="str">
            <v>Dawei</v>
          </cell>
          <cell r="O648" t="str">
            <v>Dawei</v>
          </cell>
          <cell r="P648" t="str">
            <v>Tanintharyi</v>
          </cell>
          <cell r="Q648" t="str">
            <v>23</v>
          </cell>
          <cell r="R648" t="str">
            <v>Dawei</v>
          </cell>
          <cell r="S648" t="str">
            <v>79</v>
          </cell>
          <cell r="T648" t="str">
            <v>U</v>
          </cell>
          <cell r="W648" t="str">
            <v>Ph2-Priority</v>
          </cell>
          <cell r="X648" t="str">
            <v>35</v>
          </cell>
          <cell r="Y648" t="str">
            <v>37</v>
          </cell>
          <cell r="Z648" t="str">
            <v>GBT</v>
          </cell>
          <cell r="AA648" t="str">
            <v>250</v>
          </cell>
          <cell r="AB648" t="str">
            <v>Access</v>
          </cell>
          <cell r="AC648" t="str">
            <v>Class C</v>
          </cell>
          <cell r="BE648" t="str">
            <v>Route 13 Mawlamyine-Dawei</v>
          </cell>
          <cell r="BH648" t="str">
            <v>Leadcom</v>
          </cell>
          <cell r="BJ648">
            <v>42160</v>
          </cell>
          <cell r="BK648">
            <v>42129</v>
          </cell>
          <cell r="BL648">
            <v>42165</v>
          </cell>
          <cell r="BM648">
            <v>42136</v>
          </cell>
          <cell r="BT648">
            <v>17</v>
          </cell>
          <cell r="BU648">
            <v>42178</v>
          </cell>
          <cell r="BV648">
            <v>42146</v>
          </cell>
          <cell r="BW648" t="str">
            <v>96.379</v>
          </cell>
          <cell r="BX648" t="str">
            <v>16.54866</v>
          </cell>
          <cell r="BY648" t="str">
            <v>C1</v>
          </cell>
          <cell r="BZ648" t="str">
            <v>U Paing No.41 , Mingalar Street , Kwa Hnee Village ,Kyauktan Township,Yangon Division.</v>
          </cell>
          <cell r="CA648" t="str">
            <v>Daw Khin Khin Htun;No. 130, Mingalar Street, Kwa Hnee Village, Kyauktan Township, Yangon Division;09-73116544</v>
          </cell>
          <cell r="CB648" t="str">
            <v>6 Aug 15 : C1 TSSR  checklist updated agin from E// due to update routing links but the atual antenna height didn't change;22 July 15 : C1 updated TSSR checklist given from E// because of reroute reason and new link addition;22May15: C1 SAR Sub</v>
          </cell>
          <cell r="CC648" t="str">
            <v>Garden Land</v>
          </cell>
          <cell r="CE648">
            <v>0</v>
          </cell>
          <cell r="CF648">
            <v>42179</v>
          </cell>
          <cell r="CG648">
            <v>42150</v>
          </cell>
          <cell r="CH648">
            <v>42181</v>
          </cell>
          <cell r="CJ648">
            <v>42156</v>
          </cell>
          <cell r="CK648" t="str">
            <v>45</v>
          </cell>
          <cell r="CL648" t="str">
            <v>47</v>
          </cell>
          <cell r="CM648" t="str">
            <v>50</v>
          </cell>
          <cell r="CN648">
            <v>0</v>
          </cell>
          <cell r="CO648">
            <v>42184</v>
          </cell>
          <cell r="CP648">
            <v>42158</v>
          </cell>
          <cell r="CQ648" t="str">
            <v>M1: grid power + battery</v>
          </cell>
          <cell r="CR648">
            <v>0</v>
          </cell>
          <cell r="CS648">
            <v>42185</v>
          </cell>
          <cell r="CT648">
            <v>42159</v>
          </cell>
          <cell r="CU648" t="str">
            <v>TN0431</v>
          </cell>
          <cell r="DH648">
            <v>0</v>
          </cell>
          <cell r="DI648">
            <v>42195</v>
          </cell>
          <cell r="DJ648">
            <v>42165</v>
          </cell>
          <cell r="DK648">
            <v>42192</v>
          </cell>
          <cell r="DL648">
            <v>42173</v>
          </cell>
          <cell r="DM648">
            <v>42196</v>
          </cell>
          <cell r="DN648">
            <v>42174</v>
          </cell>
          <cell r="DO648">
            <v>0</v>
          </cell>
          <cell r="DP648">
            <v>42195</v>
          </cell>
          <cell r="DQ648">
            <v>42250</v>
          </cell>
          <cell r="DT648">
            <v>0</v>
          </cell>
          <cell r="DU648">
            <v>42210</v>
          </cell>
          <cell r="DW648">
            <v>0</v>
          </cell>
          <cell r="DY648">
            <v>42196</v>
          </cell>
          <cell r="DZ648">
            <v>42174</v>
          </cell>
          <cell r="EA648" t="str">
            <v>Leadcom</v>
          </cell>
          <cell r="EE648" t="str">
            <v xml:space="preserve">10 Aug 15:Rain affected_Progress affected; 4-Aug-15:Site is affected by heavy rain								</v>
          </cell>
          <cell r="EJ648">
            <v>0</v>
          </cell>
          <cell r="EK648">
            <v>42211</v>
          </cell>
          <cell r="EL648">
            <v>42202</v>
          </cell>
          <cell r="EM648">
            <v>42212</v>
          </cell>
          <cell r="EQ648">
            <v>42219</v>
          </cell>
          <cell r="ES648">
            <v>42214</v>
          </cell>
          <cell r="EW648">
            <v>0</v>
          </cell>
          <cell r="EX648">
            <v>42260</v>
          </cell>
          <cell r="EZ648">
            <v>42229</v>
          </cell>
          <cell r="FA648">
            <v>42222</v>
          </cell>
          <cell r="FB648">
            <v>42231</v>
          </cell>
          <cell r="FC648">
            <v>42223</v>
          </cell>
          <cell r="FE648">
            <v>42193</v>
          </cell>
          <cell r="FU648">
            <v>42233</v>
          </cell>
          <cell r="FW648">
            <v>42233</v>
          </cell>
          <cell r="FY648" t="str">
            <v>TN</v>
          </cell>
          <cell r="FZ648">
            <v>42219</v>
          </cell>
          <cell r="GA648">
            <v>42219</v>
          </cell>
          <cell r="GB648">
            <v>42221</v>
          </cell>
          <cell r="GE648">
            <v>42221</v>
          </cell>
          <cell r="GI648">
            <v>42246</v>
          </cell>
          <cell r="GJ648">
            <v>0</v>
          </cell>
          <cell r="GN648" t="str">
            <v xml:space="preserve">ERICSSON </v>
          </cell>
          <cell r="GO648">
            <v>42166</v>
          </cell>
          <cell r="GS648" t="str">
            <v>4/4/4</v>
          </cell>
          <cell r="GU648" t="str">
            <v xml:space="preserve">		</v>
          </cell>
          <cell r="HD648">
            <v>1</v>
          </cell>
        </row>
        <row r="649">
          <cell r="A649" t="str">
            <v>TN0432</v>
          </cell>
          <cell r="B649" t="str">
            <v>ASTN_0004</v>
          </cell>
          <cell r="C649" t="str">
            <v>Apollo</v>
          </cell>
          <cell r="D649" t="str">
            <v>Robert</v>
          </cell>
          <cell r="F649" t="str">
            <v>Phyo Wai Maung</v>
          </cell>
          <cell r="G649" t="str">
            <v>Aye Myat Myat Moe</v>
          </cell>
          <cell r="H649" t="str">
            <v>RED</v>
          </cell>
          <cell r="I649" t="str">
            <v>South</v>
          </cell>
          <cell r="J649" t="str">
            <v>98.2073</v>
          </cell>
          <cell r="K649" t="str">
            <v>14.0745</v>
          </cell>
          <cell r="L649" t="str">
            <v>SubUrban</v>
          </cell>
          <cell r="M649" t="str">
            <v>Tanintharyi</v>
          </cell>
          <cell r="N649" t="str">
            <v>Dawei</v>
          </cell>
          <cell r="O649" t="str">
            <v>Dawei</v>
          </cell>
          <cell r="P649" t="str">
            <v>Tanintharyi</v>
          </cell>
          <cell r="Q649" t="str">
            <v>23</v>
          </cell>
          <cell r="R649" t="str">
            <v>Dawei</v>
          </cell>
          <cell r="S649" t="str">
            <v>79</v>
          </cell>
          <cell r="T649" t="str">
            <v>GSM+UMTS</v>
          </cell>
          <cell r="W649" t="str">
            <v>Ph2-Priority</v>
          </cell>
          <cell r="X649" t="str">
            <v>35</v>
          </cell>
          <cell r="Y649" t="str">
            <v>37</v>
          </cell>
          <cell r="Z649" t="str">
            <v>GBT</v>
          </cell>
          <cell r="AA649" t="str">
            <v>250</v>
          </cell>
          <cell r="AB649" t="str">
            <v>Access</v>
          </cell>
          <cell r="AC649" t="str">
            <v>Class B</v>
          </cell>
          <cell r="BE649" t="str">
            <v>Route 13 Mawlamyine-Dawei</v>
          </cell>
          <cell r="BH649" t="str">
            <v>Leadcom</v>
          </cell>
          <cell r="BJ649">
            <v>42160</v>
          </cell>
          <cell r="BK649">
            <v>42156</v>
          </cell>
          <cell r="BL649">
            <v>42165</v>
          </cell>
          <cell r="BT649">
            <v>53</v>
          </cell>
          <cell r="BU649">
            <v>42178</v>
          </cell>
          <cell r="BV649">
            <v>42209</v>
          </cell>
          <cell r="BW649" t="str">
            <v>94.94063</v>
          </cell>
          <cell r="BX649" t="str">
            <v>21.8461</v>
          </cell>
          <cell r="BY649" t="str">
            <v>C2</v>
          </cell>
          <cell r="CB649" t="str">
            <v>24 July 15 :C2-SAR submission; C1-NOC issue;6 July 15 : C1 TSSR app;17 Jun 15 : C1 SAR app;16Jun15: C1 SAR Sub</v>
          </cell>
          <cell r="CE649">
            <v>0</v>
          </cell>
          <cell r="CF649">
            <v>42179</v>
          </cell>
          <cell r="CG649">
            <v>42212</v>
          </cell>
          <cell r="CH649">
            <v>42181</v>
          </cell>
          <cell r="CN649">
            <v>0</v>
          </cell>
          <cell r="CO649">
            <v>42184</v>
          </cell>
          <cell r="CQ649" t="str">
            <v>M1: grid power + battery</v>
          </cell>
          <cell r="CR649">
            <v>0</v>
          </cell>
          <cell r="CS649">
            <v>42185</v>
          </cell>
          <cell r="CU649" t="str">
            <v>TN0432</v>
          </cell>
          <cell r="DH649">
            <v>0</v>
          </cell>
          <cell r="DI649">
            <v>42195</v>
          </cell>
          <cell r="DK649">
            <v>42192</v>
          </cell>
          <cell r="DL649">
            <v>42188</v>
          </cell>
          <cell r="DM649">
            <v>42196</v>
          </cell>
          <cell r="DO649">
            <v>0</v>
          </cell>
          <cell r="DP649">
            <v>42195</v>
          </cell>
          <cell r="DT649">
            <v>0</v>
          </cell>
          <cell r="DU649">
            <v>42210</v>
          </cell>
          <cell r="DW649">
            <v>0</v>
          </cell>
          <cell r="DY649">
            <v>42196</v>
          </cell>
          <cell r="EA649" t="str">
            <v>Leadcom</v>
          </cell>
          <cell r="EJ649">
            <v>0</v>
          </cell>
          <cell r="EK649">
            <v>42211</v>
          </cell>
          <cell r="EM649">
            <v>42212</v>
          </cell>
          <cell r="EQ649">
            <v>42219</v>
          </cell>
          <cell r="EW649">
            <v>0</v>
          </cell>
          <cell r="EX649">
            <v>42260</v>
          </cell>
          <cell r="EZ649">
            <v>42229</v>
          </cell>
          <cell r="FB649">
            <v>42231</v>
          </cell>
          <cell r="FU649">
            <v>42233</v>
          </cell>
          <cell r="FW649">
            <v>42233</v>
          </cell>
          <cell r="GI649">
            <v>42277</v>
          </cell>
          <cell r="GJ649">
            <v>0</v>
          </cell>
          <cell r="GN649" t="str">
            <v>ERICSSON</v>
          </cell>
          <cell r="GS649" t="str">
            <v>4/4/4</v>
          </cell>
          <cell r="GU649" t="str">
            <v xml:space="preserve">		</v>
          </cell>
          <cell r="HD649">
            <v>1</v>
          </cell>
        </row>
        <row r="650">
          <cell r="A650" t="str">
            <v>TN0433</v>
          </cell>
          <cell r="B650" t="str">
            <v>ASTN_0005</v>
          </cell>
          <cell r="C650" t="str">
            <v>Apollo</v>
          </cell>
          <cell r="D650" t="str">
            <v>Robert</v>
          </cell>
          <cell r="F650" t="str">
            <v>Phyo Wai Maung</v>
          </cell>
          <cell r="G650" t="str">
            <v>Aye Myat Myat Moe</v>
          </cell>
          <cell r="H650" t="str">
            <v>RED</v>
          </cell>
          <cell r="I650" t="str">
            <v>South</v>
          </cell>
          <cell r="J650" t="str">
            <v>98.1889</v>
          </cell>
          <cell r="K650" t="str">
            <v>14.0941</v>
          </cell>
          <cell r="L650" t="str">
            <v>SubUrban</v>
          </cell>
          <cell r="M650" t="str">
            <v>Tanintharyi</v>
          </cell>
          <cell r="N650" t="str">
            <v>Dawei</v>
          </cell>
          <cell r="O650" t="str">
            <v>Dawei</v>
          </cell>
          <cell r="P650" t="str">
            <v>Tanintharyi</v>
          </cell>
          <cell r="Q650" t="str">
            <v>23</v>
          </cell>
          <cell r="R650" t="str">
            <v>Dawei</v>
          </cell>
          <cell r="S650" t="str">
            <v>79</v>
          </cell>
          <cell r="T650" t="str">
            <v>GSM+UMTS</v>
          </cell>
          <cell r="W650" t="str">
            <v>Ph2-Priority</v>
          </cell>
          <cell r="X650" t="str">
            <v>35</v>
          </cell>
          <cell r="Y650" t="str">
            <v>37</v>
          </cell>
          <cell r="Z650" t="str">
            <v>GBT</v>
          </cell>
          <cell r="AA650" t="str">
            <v>100</v>
          </cell>
          <cell r="AB650" t="str">
            <v>Access</v>
          </cell>
          <cell r="AC650" t="str">
            <v>Class B</v>
          </cell>
          <cell r="BE650" t="str">
            <v>Route 13 Mawlamyine-Dawei</v>
          </cell>
          <cell r="BH650" t="str">
            <v>Leadcom</v>
          </cell>
          <cell r="BJ650">
            <v>42160</v>
          </cell>
          <cell r="BK650">
            <v>42171</v>
          </cell>
          <cell r="BL650">
            <v>42165</v>
          </cell>
          <cell r="BT650">
            <v>10</v>
          </cell>
          <cell r="BU650">
            <v>42178</v>
          </cell>
          <cell r="BV650">
            <v>42205</v>
          </cell>
          <cell r="BW650" t="str">
            <v>98.19062</v>
          </cell>
          <cell r="BX650" t="str">
            <v>14.09458</v>
          </cell>
          <cell r="BY650" t="str">
            <v>C2</v>
          </cell>
          <cell r="BZ650" t="str">
            <v>N0.148,Myot Ma Ward, dwei Township.</v>
          </cell>
          <cell r="CA650" t="str">
            <v>U Tin Aye,09 422191695</v>
          </cell>
          <cell r="CB650" t="str">
            <v>20 July 15 : C2 Sub with JUSTIFICATION</v>
          </cell>
          <cell r="CC650" t="str">
            <v>GRANT</v>
          </cell>
          <cell r="CE650">
            <v>2</v>
          </cell>
          <cell r="CF650">
            <v>42179</v>
          </cell>
          <cell r="CG650">
            <v>42207</v>
          </cell>
          <cell r="CH650">
            <v>42181</v>
          </cell>
          <cell r="CJ650">
            <v>42211</v>
          </cell>
          <cell r="CK650" t="str">
            <v>35</v>
          </cell>
          <cell r="CL650" t="str">
            <v>37</v>
          </cell>
          <cell r="CM650" t="str">
            <v>40</v>
          </cell>
          <cell r="CN650">
            <v>6</v>
          </cell>
          <cell r="CO650">
            <v>42184</v>
          </cell>
          <cell r="CP650">
            <v>42213</v>
          </cell>
          <cell r="CQ650" t="str">
            <v>M1: grid power + battery</v>
          </cell>
          <cell r="CR650">
            <v>1</v>
          </cell>
          <cell r="CS650">
            <v>42185</v>
          </cell>
          <cell r="CT650">
            <v>42214</v>
          </cell>
          <cell r="CU650" t="str">
            <v>TN0433</v>
          </cell>
          <cell r="DH650">
            <v>19</v>
          </cell>
          <cell r="DI650">
            <v>42195</v>
          </cell>
          <cell r="DK650">
            <v>42192</v>
          </cell>
          <cell r="DL650">
            <v>42198</v>
          </cell>
          <cell r="DM650">
            <v>42196</v>
          </cell>
          <cell r="DN650">
            <v>42198</v>
          </cell>
          <cell r="DO650">
            <v>0</v>
          </cell>
          <cell r="DP650">
            <v>42195</v>
          </cell>
          <cell r="DT650">
            <v>0</v>
          </cell>
          <cell r="DU650">
            <v>42210</v>
          </cell>
          <cell r="DW650">
            <v>0</v>
          </cell>
          <cell r="DY650">
            <v>42196</v>
          </cell>
          <cell r="DZ650">
            <v>42235</v>
          </cell>
          <cell r="EA650" t="str">
            <v>Leadcom</v>
          </cell>
          <cell r="EJ650">
            <v>0</v>
          </cell>
          <cell r="EK650">
            <v>42211</v>
          </cell>
          <cell r="EM650">
            <v>42212</v>
          </cell>
          <cell r="EQ650">
            <v>42219</v>
          </cell>
          <cell r="EW650">
            <v>0</v>
          </cell>
          <cell r="EX650">
            <v>42260</v>
          </cell>
          <cell r="EZ650">
            <v>42229</v>
          </cell>
          <cell r="FB650">
            <v>42231</v>
          </cell>
          <cell r="FU650">
            <v>42233</v>
          </cell>
          <cell r="FW650">
            <v>42233</v>
          </cell>
          <cell r="GI650">
            <v>42215</v>
          </cell>
          <cell r="GJ650">
            <v>0</v>
          </cell>
          <cell r="GN650" t="str">
            <v>ERICSSON</v>
          </cell>
          <cell r="GS650" t="str">
            <v>4/4/4</v>
          </cell>
          <cell r="GU650" t="str">
            <v xml:space="preserve">		</v>
          </cell>
          <cell r="HD650">
            <v>1</v>
          </cell>
        </row>
        <row r="651">
          <cell r="A651" t="str">
            <v>TN0434</v>
          </cell>
          <cell r="B651" t="str">
            <v>ASTN_0006</v>
          </cell>
          <cell r="C651" t="str">
            <v>Apollo</v>
          </cell>
          <cell r="D651" t="str">
            <v>Robert</v>
          </cell>
          <cell r="F651" t="str">
            <v>Phyo Wai Maung</v>
          </cell>
          <cell r="G651" t="str">
            <v>Aye Myat Myat Moe</v>
          </cell>
          <cell r="H651" t="str">
            <v>RED</v>
          </cell>
          <cell r="I651" t="str">
            <v>South</v>
          </cell>
          <cell r="J651" t="str">
            <v>98.195</v>
          </cell>
          <cell r="K651" t="str">
            <v>14.0851</v>
          </cell>
          <cell r="L651" t="str">
            <v>SubUrban</v>
          </cell>
          <cell r="M651" t="str">
            <v>Tanintharyi</v>
          </cell>
          <cell r="N651" t="str">
            <v>Dawei</v>
          </cell>
          <cell r="O651" t="str">
            <v>Dawei</v>
          </cell>
          <cell r="P651" t="str">
            <v>Tanintharyi</v>
          </cell>
          <cell r="Q651" t="str">
            <v>23</v>
          </cell>
          <cell r="R651" t="str">
            <v>Dawei</v>
          </cell>
          <cell r="S651" t="str">
            <v>79</v>
          </cell>
          <cell r="T651" t="str">
            <v>U</v>
          </cell>
          <cell r="W651" t="str">
            <v>Ph2-Priority</v>
          </cell>
          <cell r="X651" t="str">
            <v>35</v>
          </cell>
          <cell r="Y651" t="str">
            <v>37</v>
          </cell>
          <cell r="Z651" t="str">
            <v>GBT</v>
          </cell>
          <cell r="AA651" t="str">
            <v>100</v>
          </cell>
          <cell r="AB651" t="str">
            <v>Access</v>
          </cell>
          <cell r="AC651" t="str">
            <v>Class C</v>
          </cell>
          <cell r="BE651" t="str">
            <v>Route 13 Mawlamyine-Dawei</v>
          </cell>
          <cell r="BH651" t="str">
            <v>KTT</v>
          </cell>
          <cell r="BJ651">
            <v>42160</v>
          </cell>
          <cell r="BK651">
            <v>42167</v>
          </cell>
          <cell r="BL651">
            <v>42165</v>
          </cell>
          <cell r="BM651">
            <v>42174</v>
          </cell>
          <cell r="BT651">
            <v>21</v>
          </cell>
          <cell r="BU651">
            <v>42178</v>
          </cell>
          <cell r="BV651">
            <v>42188</v>
          </cell>
          <cell r="BW651" t="str">
            <v>97.2994</v>
          </cell>
          <cell r="BX651" t="str">
            <v>20.9122</v>
          </cell>
          <cell r="BY651" t="str">
            <v>C3</v>
          </cell>
          <cell r="BZ651" t="str">
            <v>KyaukTan Village Group,Ho Pone Tsp,Taunggyi District,Shan State.</v>
          </cell>
          <cell r="CA651" t="str">
            <v>U Khon Maung Oo</v>
          </cell>
          <cell r="CB651" t="str">
            <v>3 July 15 : C3 SAR sub(2.4KM from NP; NP is inside Forestry)</v>
          </cell>
          <cell r="CC651" t="str">
            <v>Residential</v>
          </cell>
          <cell r="CE651">
            <v>0</v>
          </cell>
          <cell r="CF651">
            <v>42179</v>
          </cell>
          <cell r="CG651">
            <v>42191</v>
          </cell>
          <cell r="CH651">
            <v>42181</v>
          </cell>
          <cell r="CJ651">
            <v>42224</v>
          </cell>
          <cell r="CK651" t="str">
            <v>55</v>
          </cell>
          <cell r="CL651" t="str">
            <v>57</v>
          </cell>
          <cell r="CM651" t="str">
            <v>60</v>
          </cell>
          <cell r="CN651">
            <v>0</v>
          </cell>
          <cell r="CO651">
            <v>42184</v>
          </cell>
          <cell r="CP651">
            <v>42226</v>
          </cell>
          <cell r="CQ651" t="str">
            <v>M1: grid power + battery</v>
          </cell>
          <cell r="CR651">
            <v>0</v>
          </cell>
          <cell r="CS651">
            <v>42185</v>
          </cell>
          <cell r="CT651">
            <v>42228</v>
          </cell>
          <cell r="CU651" t="str">
            <v>TN0434</v>
          </cell>
          <cell r="DH651">
            <v>0</v>
          </cell>
          <cell r="DI651">
            <v>42195</v>
          </cell>
          <cell r="DK651">
            <v>42192</v>
          </cell>
          <cell r="DM651">
            <v>42196</v>
          </cell>
          <cell r="DO651">
            <v>0</v>
          </cell>
          <cell r="DP651">
            <v>42195</v>
          </cell>
          <cell r="DT651">
            <v>0</v>
          </cell>
          <cell r="DU651">
            <v>42210</v>
          </cell>
          <cell r="DW651">
            <v>0</v>
          </cell>
          <cell r="DY651">
            <v>42196</v>
          </cell>
          <cell r="EA651" t="str">
            <v>Leadcom</v>
          </cell>
          <cell r="EJ651">
            <v>0</v>
          </cell>
          <cell r="EK651">
            <v>42211</v>
          </cell>
          <cell r="EM651">
            <v>42212</v>
          </cell>
          <cell r="EQ651">
            <v>42219</v>
          </cell>
          <cell r="EW651">
            <v>0</v>
          </cell>
          <cell r="EX651">
            <v>42260</v>
          </cell>
          <cell r="EZ651">
            <v>42229</v>
          </cell>
          <cell r="FB651">
            <v>42231</v>
          </cell>
          <cell r="FU651">
            <v>42233</v>
          </cell>
          <cell r="FW651">
            <v>42233</v>
          </cell>
          <cell r="GI651">
            <v>42215</v>
          </cell>
          <cell r="GJ651">
            <v>0</v>
          </cell>
          <cell r="GN651" t="str">
            <v>ERICSSON</v>
          </cell>
          <cell r="GS651" t="str">
            <v>4/4/4</v>
          </cell>
          <cell r="GU651" t="str">
            <v xml:space="preserve">		</v>
          </cell>
          <cell r="HD651">
            <v>1</v>
          </cell>
        </row>
        <row r="652">
          <cell r="A652" t="str">
            <v>TN0435</v>
          </cell>
          <cell r="B652" t="str">
            <v>ASTN_0007</v>
          </cell>
          <cell r="C652" t="str">
            <v>Apollo</v>
          </cell>
          <cell r="D652" t="str">
            <v>Robert</v>
          </cell>
          <cell r="F652" t="str">
            <v>Phyo Wai Maung</v>
          </cell>
          <cell r="G652" t="str">
            <v>Aye Myat Myat Moe</v>
          </cell>
          <cell r="H652" t="str">
            <v>RED</v>
          </cell>
          <cell r="I652" t="str">
            <v>South</v>
          </cell>
          <cell r="J652" t="str">
            <v>98.2042</v>
          </cell>
          <cell r="K652" t="str">
            <v>14.0881</v>
          </cell>
          <cell r="L652" t="str">
            <v>SubUrban</v>
          </cell>
          <cell r="M652" t="str">
            <v>Tanintharyi</v>
          </cell>
          <cell r="N652" t="str">
            <v>Dawei</v>
          </cell>
          <cell r="O652" t="str">
            <v>Dawei</v>
          </cell>
          <cell r="P652" t="str">
            <v>Tanintharyi</v>
          </cell>
          <cell r="Q652" t="str">
            <v>23</v>
          </cell>
          <cell r="R652" t="str">
            <v>Dawei</v>
          </cell>
          <cell r="S652" t="str">
            <v>79</v>
          </cell>
          <cell r="T652" t="str">
            <v>GSM+UMTS</v>
          </cell>
          <cell r="W652" t="str">
            <v>Ph2-Priority</v>
          </cell>
          <cell r="X652" t="str">
            <v>35</v>
          </cell>
          <cell r="Y652" t="str">
            <v>37</v>
          </cell>
          <cell r="AA652" t="str">
            <v>100</v>
          </cell>
          <cell r="AB652" t="str">
            <v>Access</v>
          </cell>
          <cell r="AC652" t="str">
            <v>Class B</v>
          </cell>
          <cell r="BE652" t="str">
            <v>Route 13 Mawlamyine-Dawei</v>
          </cell>
          <cell r="BH652" t="str">
            <v>KTT</v>
          </cell>
          <cell r="BJ652">
            <v>42160</v>
          </cell>
          <cell r="BL652">
            <v>42165</v>
          </cell>
          <cell r="BT652">
            <v>42158</v>
          </cell>
          <cell r="BU652">
            <v>42178</v>
          </cell>
          <cell r="CE652">
            <v>0</v>
          </cell>
          <cell r="CF652">
            <v>42179</v>
          </cell>
          <cell r="CH652">
            <v>42181</v>
          </cell>
          <cell r="CN652">
            <v>0</v>
          </cell>
          <cell r="CO652">
            <v>42184</v>
          </cell>
          <cell r="CR652">
            <v>0</v>
          </cell>
          <cell r="CS652">
            <v>42185</v>
          </cell>
          <cell r="CU652" t="str">
            <v>TN0435</v>
          </cell>
          <cell r="DH652">
            <v>0</v>
          </cell>
          <cell r="DI652">
            <v>42195</v>
          </cell>
          <cell r="DK652">
            <v>42192</v>
          </cell>
          <cell r="DM652">
            <v>42196</v>
          </cell>
          <cell r="DO652">
            <v>0</v>
          </cell>
          <cell r="DP652">
            <v>42195</v>
          </cell>
          <cell r="DT652">
            <v>0</v>
          </cell>
          <cell r="DU652">
            <v>42210</v>
          </cell>
          <cell r="DW652">
            <v>0</v>
          </cell>
          <cell r="DY652">
            <v>42196</v>
          </cell>
          <cell r="EA652" t="str">
            <v>Leadcom</v>
          </cell>
          <cell r="EJ652">
            <v>0</v>
          </cell>
          <cell r="EK652">
            <v>42211</v>
          </cell>
          <cell r="EM652">
            <v>42212</v>
          </cell>
          <cell r="EQ652">
            <v>42219</v>
          </cell>
          <cell r="EW652">
            <v>0</v>
          </cell>
          <cell r="EX652">
            <v>42260</v>
          </cell>
          <cell r="EZ652">
            <v>42229</v>
          </cell>
          <cell r="FB652">
            <v>42231</v>
          </cell>
          <cell r="FU652">
            <v>42233</v>
          </cell>
          <cell r="FW652">
            <v>42233</v>
          </cell>
          <cell r="GJ652">
            <v>0</v>
          </cell>
          <cell r="GN652" t="str">
            <v>ERICSSON</v>
          </cell>
          <cell r="GS652" t="str">
            <v>4/4/4</v>
          </cell>
          <cell r="GU652" t="str">
            <v xml:space="preserve">		</v>
          </cell>
          <cell r="HD652">
            <v>1</v>
          </cell>
        </row>
        <row r="653">
          <cell r="A653" t="str">
            <v>TN0436</v>
          </cell>
          <cell r="B653" t="str">
            <v>ASTN_0008</v>
          </cell>
          <cell r="C653" t="str">
            <v>Apollo</v>
          </cell>
          <cell r="D653" t="str">
            <v>Robert</v>
          </cell>
          <cell r="F653" t="str">
            <v>Phyo Wai Maung</v>
          </cell>
          <cell r="G653" t="str">
            <v>Aye Myat Myat Moe</v>
          </cell>
          <cell r="H653" t="str">
            <v>RED</v>
          </cell>
          <cell r="I653" t="str">
            <v>South</v>
          </cell>
          <cell r="J653" t="str">
            <v>98.194</v>
          </cell>
          <cell r="K653" t="str">
            <v>14.1045</v>
          </cell>
          <cell r="L653" t="str">
            <v>SubUrban</v>
          </cell>
          <cell r="M653" t="str">
            <v>Tanintharyi</v>
          </cell>
          <cell r="N653" t="str">
            <v>Dawei</v>
          </cell>
          <cell r="O653" t="str">
            <v>Dawei</v>
          </cell>
          <cell r="P653" t="str">
            <v>Tanintharyi</v>
          </cell>
          <cell r="Q653" t="str">
            <v>23</v>
          </cell>
          <cell r="R653" t="str">
            <v>Dawei</v>
          </cell>
          <cell r="S653" t="str">
            <v>79</v>
          </cell>
          <cell r="T653" t="str">
            <v>GSM+UMTS</v>
          </cell>
          <cell r="W653" t="str">
            <v>Ph2-Priority</v>
          </cell>
          <cell r="X653" t="str">
            <v>35</v>
          </cell>
          <cell r="Y653" t="str">
            <v>37</v>
          </cell>
          <cell r="Z653" t="str">
            <v>GBT</v>
          </cell>
          <cell r="AA653" t="str">
            <v>250</v>
          </cell>
          <cell r="AB653" t="str">
            <v>Access</v>
          </cell>
          <cell r="AC653" t="str">
            <v>Class B</v>
          </cell>
          <cell r="BE653" t="str">
            <v>Route 13 Mawlamyine-Dawei</v>
          </cell>
          <cell r="BH653" t="str">
            <v>Leadcom</v>
          </cell>
          <cell r="BJ653">
            <v>42160</v>
          </cell>
          <cell r="BL653">
            <v>42165</v>
          </cell>
          <cell r="BT653">
            <v>42158</v>
          </cell>
          <cell r="BU653">
            <v>42178</v>
          </cell>
          <cell r="BV653">
            <v>42226</v>
          </cell>
          <cell r="BW653" t="str">
            <v>98.19286</v>
          </cell>
          <cell r="BX653" t="str">
            <v>14.10447</v>
          </cell>
          <cell r="BY653" t="str">
            <v>C1</v>
          </cell>
          <cell r="BZ653" t="str">
            <v>No(9),U Paing No(85),kyite htee yoe street,Wae Kyun Ward,Dawei.</v>
          </cell>
          <cell r="CA653" t="str">
            <v>DAW NYO NYO WIN,09 252005443</v>
          </cell>
          <cell r="CB653" t="str">
            <v>10 Aug 15 : C1 SAR sub</v>
          </cell>
          <cell r="CC653" t="str">
            <v>UNSPECIFIED</v>
          </cell>
          <cell r="CE653">
            <v>1</v>
          </cell>
          <cell r="CF653">
            <v>42179</v>
          </cell>
          <cell r="CG653">
            <v>42227</v>
          </cell>
          <cell r="CH653">
            <v>42181</v>
          </cell>
          <cell r="CJ653">
            <v>42234</v>
          </cell>
          <cell r="CK653" t="str">
            <v>35</v>
          </cell>
          <cell r="CL653" t="str">
            <v>37</v>
          </cell>
          <cell r="CM653" t="str">
            <v>40</v>
          </cell>
          <cell r="CN653">
            <v>6</v>
          </cell>
          <cell r="CO653">
            <v>42184</v>
          </cell>
          <cell r="CP653">
            <v>42236</v>
          </cell>
          <cell r="CQ653" t="str">
            <v>M1: grid power + battery</v>
          </cell>
          <cell r="CR653">
            <v>0</v>
          </cell>
          <cell r="CS653">
            <v>42185</v>
          </cell>
          <cell r="CT653">
            <v>42240</v>
          </cell>
          <cell r="CU653" t="str">
            <v>TN0436</v>
          </cell>
          <cell r="DH653">
            <v>0</v>
          </cell>
          <cell r="DI653">
            <v>42195</v>
          </cell>
          <cell r="DK653">
            <v>42192</v>
          </cell>
          <cell r="DM653">
            <v>42196</v>
          </cell>
          <cell r="DO653">
            <v>0</v>
          </cell>
          <cell r="DP653">
            <v>42195</v>
          </cell>
          <cell r="DT653">
            <v>0</v>
          </cell>
          <cell r="DU653">
            <v>42210</v>
          </cell>
          <cell r="DW653">
            <v>0</v>
          </cell>
          <cell r="DY653">
            <v>42196</v>
          </cell>
          <cell r="EA653" t="str">
            <v>Leadcom</v>
          </cell>
          <cell r="EJ653">
            <v>0</v>
          </cell>
          <cell r="EK653">
            <v>42211</v>
          </cell>
          <cell r="EM653">
            <v>42212</v>
          </cell>
          <cell r="EQ653">
            <v>42219</v>
          </cell>
          <cell r="EW653">
            <v>0</v>
          </cell>
          <cell r="EX653">
            <v>42260</v>
          </cell>
          <cell r="EZ653">
            <v>42229</v>
          </cell>
          <cell r="FB653">
            <v>42231</v>
          </cell>
          <cell r="FU653">
            <v>42233</v>
          </cell>
          <cell r="FW653">
            <v>42233</v>
          </cell>
          <cell r="GJ653">
            <v>0</v>
          </cell>
          <cell r="GN653" t="str">
            <v>ERICSSON</v>
          </cell>
          <cell r="GS653" t="str">
            <v>4/4/4</v>
          </cell>
          <cell r="GU653" t="str">
            <v xml:space="preserve">		</v>
          </cell>
          <cell r="HD653">
            <v>1</v>
          </cell>
        </row>
        <row r="654">
          <cell r="A654" t="str">
            <v>TN0437</v>
          </cell>
          <cell r="B654" t="str">
            <v>ASTN_0009</v>
          </cell>
          <cell r="C654" t="str">
            <v>Apollo</v>
          </cell>
          <cell r="D654" t="str">
            <v>Robert</v>
          </cell>
          <cell r="F654" t="str">
            <v>Phyo Wai Maung</v>
          </cell>
          <cell r="G654" t="str">
            <v>Aye Myat Myat Moe</v>
          </cell>
          <cell r="H654" t="str">
            <v>RED</v>
          </cell>
          <cell r="I654" t="str">
            <v>South</v>
          </cell>
          <cell r="J654" t="str">
            <v>98.2382</v>
          </cell>
          <cell r="K654" t="str">
            <v>14.1115</v>
          </cell>
          <cell r="L654" t="str">
            <v>SubUrban</v>
          </cell>
          <cell r="M654" t="str">
            <v>Tanintharyi</v>
          </cell>
          <cell r="N654" t="str">
            <v>Dawei</v>
          </cell>
          <cell r="O654" t="str">
            <v>Dawei</v>
          </cell>
          <cell r="P654" t="str">
            <v>Tanintharyi</v>
          </cell>
          <cell r="Q654" t="str">
            <v>23</v>
          </cell>
          <cell r="R654" t="str">
            <v>Dawei</v>
          </cell>
          <cell r="S654" t="str">
            <v>79</v>
          </cell>
          <cell r="T654" t="str">
            <v>GSM+UMTS</v>
          </cell>
          <cell r="W654" t="str">
            <v>Ph2-Priority</v>
          </cell>
          <cell r="X654" t="str">
            <v>35</v>
          </cell>
          <cell r="Y654" t="str">
            <v>37</v>
          </cell>
          <cell r="AA654" t="str">
            <v>250</v>
          </cell>
          <cell r="AB654" t="str">
            <v>Access</v>
          </cell>
          <cell r="AC654" t="str">
            <v>Class B</v>
          </cell>
          <cell r="BE654" t="str">
            <v>Route 13 Mawlamyine-Dawei</v>
          </cell>
          <cell r="BH654" t="str">
            <v>Leadcom</v>
          </cell>
          <cell r="BJ654">
            <v>42160</v>
          </cell>
          <cell r="BK654">
            <v>42130</v>
          </cell>
          <cell r="BL654">
            <v>42165</v>
          </cell>
          <cell r="BT654">
            <v>103</v>
          </cell>
          <cell r="BU654">
            <v>42178</v>
          </cell>
          <cell r="CE654">
            <v>0</v>
          </cell>
          <cell r="CF654">
            <v>42179</v>
          </cell>
          <cell r="CH654">
            <v>42181</v>
          </cell>
          <cell r="CN654">
            <v>0</v>
          </cell>
          <cell r="CO654">
            <v>42184</v>
          </cell>
          <cell r="CR654">
            <v>0</v>
          </cell>
          <cell r="CS654">
            <v>42185</v>
          </cell>
          <cell r="CU654" t="str">
            <v>TN0437</v>
          </cell>
          <cell r="DH654">
            <v>0</v>
          </cell>
          <cell r="DI654">
            <v>42195</v>
          </cell>
          <cell r="DK654">
            <v>42192</v>
          </cell>
          <cell r="DM654">
            <v>42196</v>
          </cell>
          <cell r="DO654">
            <v>0</v>
          </cell>
          <cell r="DP654">
            <v>42195</v>
          </cell>
          <cell r="DT654">
            <v>0</v>
          </cell>
          <cell r="DU654">
            <v>42210</v>
          </cell>
          <cell r="DW654">
            <v>0</v>
          </cell>
          <cell r="DY654">
            <v>42196</v>
          </cell>
          <cell r="EA654" t="str">
            <v>Leadcom</v>
          </cell>
          <cell r="EJ654">
            <v>0</v>
          </cell>
          <cell r="EK654">
            <v>42211</v>
          </cell>
          <cell r="EM654">
            <v>42212</v>
          </cell>
          <cell r="EQ654">
            <v>42219</v>
          </cell>
          <cell r="EW654">
            <v>0</v>
          </cell>
          <cell r="EX654">
            <v>42260</v>
          </cell>
          <cell r="EZ654">
            <v>42229</v>
          </cell>
          <cell r="FB654">
            <v>42231</v>
          </cell>
          <cell r="FU654">
            <v>42233</v>
          </cell>
          <cell r="FW654">
            <v>42233</v>
          </cell>
          <cell r="GJ654">
            <v>0</v>
          </cell>
          <cell r="GN654" t="str">
            <v>ERICSSON</v>
          </cell>
          <cell r="GS654" t="str">
            <v>4/4/4</v>
          </cell>
          <cell r="GU654" t="str">
            <v xml:space="preserve">		</v>
          </cell>
          <cell r="HD654">
            <v>1</v>
          </cell>
        </row>
        <row r="655">
          <cell r="A655" t="str">
            <v>TN0438</v>
          </cell>
          <cell r="B655" t="str">
            <v>ASTN_0010</v>
          </cell>
          <cell r="C655" t="str">
            <v>Apollo</v>
          </cell>
          <cell r="D655" t="str">
            <v>Robert</v>
          </cell>
          <cell r="F655" t="str">
            <v>Phyo Wai Maung</v>
          </cell>
          <cell r="G655" t="str">
            <v>Aye Myat Myat Moe</v>
          </cell>
          <cell r="H655" t="str">
            <v>RED</v>
          </cell>
          <cell r="I655" t="str">
            <v>South</v>
          </cell>
          <cell r="J655" t="str">
            <v>98.1242</v>
          </cell>
          <cell r="K655" t="str">
            <v>13.9385</v>
          </cell>
          <cell r="L655" t="str">
            <v>Rural</v>
          </cell>
          <cell r="M655" t="str">
            <v>Tanintharyi</v>
          </cell>
          <cell r="N655" t="str">
            <v>Launglon</v>
          </cell>
          <cell r="O655" t="str">
            <v>Launglon</v>
          </cell>
          <cell r="P655" t="str">
            <v>Tanintharyi</v>
          </cell>
          <cell r="Q655" t="str">
            <v>23</v>
          </cell>
          <cell r="R655" t="str">
            <v>Launglon</v>
          </cell>
          <cell r="S655" t="str">
            <v>80</v>
          </cell>
          <cell r="T655" t="str">
            <v>GSM+UMTS</v>
          </cell>
          <cell r="U655" t="str">
            <v>NAY_N002</v>
          </cell>
          <cell r="V655" t="str">
            <v>3</v>
          </cell>
          <cell r="W655" t="str">
            <v>Ph2-Priority</v>
          </cell>
          <cell r="X655" t="str">
            <v>45</v>
          </cell>
          <cell r="Y655" t="str">
            <v>47</v>
          </cell>
          <cell r="Z655" t="str">
            <v>GBT</v>
          </cell>
          <cell r="AA655" t="str">
            <v>500</v>
          </cell>
          <cell r="AB655" t="str">
            <v>Access</v>
          </cell>
          <cell r="AC655" t="str">
            <v>Class C</v>
          </cell>
          <cell r="AD655" t="str">
            <v>1323</v>
          </cell>
          <cell r="AE655" t="str">
            <v>1588</v>
          </cell>
          <cell r="AF655" t="str">
            <v>1</v>
          </cell>
          <cell r="AG655" t="str">
            <v>NP0006</v>
          </cell>
          <cell r="AH655" t="str">
            <v>NP0008</v>
          </cell>
          <cell r="BC655" t="str">
            <v>NP0008</v>
          </cell>
          <cell r="BD655" t="str">
            <v>7</v>
          </cell>
          <cell r="BE655" t="str">
            <v>Route 14 Dawei - Myeik</v>
          </cell>
          <cell r="BF655">
            <v>41760</v>
          </cell>
          <cell r="BG655">
            <v>42025</v>
          </cell>
          <cell r="BH655" t="str">
            <v>Leadcom</v>
          </cell>
          <cell r="BJ655">
            <v>42159</v>
          </cell>
          <cell r="BK655">
            <v>41628</v>
          </cell>
          <cell r="BL655">
            <v>42164</v>
          </cell>
          <cell r="BM655">
            <v>42044</v>
          </cell>
          <cell r="BO655">
            <v>41718</v>
          </cell>
          <cell r="BR655" t="str">
            <v>The oasis hotel</v>
          </cell>
          <cell r="BT655">
            <v>426</v>
          </cell>
          <cell r="BU655">
            <v>42203</v>
          </cell>
          <cell r="BV655">
            <v>42249</v>
          </cell>
          <cell r="BW655" t="str">
            <v>98.12312</v>
          </cell>
          <cell r="BX655" t="str">
            <v>13.93965</v>
          </cell>
          <cell r="BY655" t="str">
            <v>C1</v>
          </cell>
          <cell r="BZ655" t="str">
            <v>NCDC approved site without SAR pdf.</v>
          </cell>
          <cell r="CA655" t="str">
            <v>Owner name and Phone number : None (NCDC approved site without SAR pdf.)</v>
          </cell>
          <cell r="CB655" t="str">
            <v>19 Feb 15 : C3 location approved as am option1 ( RND approved with 30m RND height without SAR PDF. Government Land.);18 Feb 15 : C3 Coordinate sent by mailing  from Apollo since this site is NCDC approved location without SAR pdf;(C1 &amp; C2 were both farmland)</v>
          </cell>
          <cell r="CC655" t="str">
            <v>Residential Land</v>
          </cell>
          <cell r="CE655">
            <v>0</v>
          </cell>
          <cell r="CF655">
            <v>42204</v>
          </cell>
          <cell r="CG655">
            <v>42250</v>
          </cell>
          <cell r="CH655">
            <v>42206</v>
          </cell>
          <cell r="CJ655">
            <v>42066</v>
          </cell>
          <cell r="CN655">
            <v>0</v>
          </cell>
          <cell r="CO655">
            <v>42209</v>
          </cell>
          <cell r="CP655">
            <v>42068</v>
          </cell>
          <cell r="CQ655" t="str">
            <v>M4: solar + DG + battery</v>
          </cell>
          <cell r="CR655">
            <v>0</v>
          </cell>
          <cell r="CS655">
            <v>42210</v>
          </cell>
          <cell r="CT655">
            <v>42068</v>
          </cell>
          <cell r="CU655" t="str">
            <v>TN0438</v>
          </cell>
          <cell r="DH655">
            <v>0</v>
          </cell>
          <cell r="DI655">
            <v>42220</v>
          </cell>
          <cell r="DJ655">
            <v>42169</v>
          </cell>
          <cell r="DK655">
            <v>42217</v>
          </cell>
          <cell r="DM655">
            <v>42221</v>
          </cell>
          <cell r="DO655">
            <v>0</v>
          </cell>
          <cell r="DP655">
            <v>42220</v>
          </cell>
          <cell r="DQ655">
            <v>42169</v>
          </cell>
          <cell r="DR655" t="str">
            <v>NCDC</v>
          </cell>
          <cell r="DT655">
            <v>0</v>
          </cell>
          <cell r="DU655">
            <v>42235</v>
          </cell>
          <cell r="DW655">
            <v>0</v>
          </cell>
          <cell r="DY655">
            <v>42221</v>
          </cell>
          <cell r="DZ655">
            <v>42132</v>
          </cell>
          <cell r="EA655" t="str">
            <v>Leadcom</v>
          </cell>
          <cell r="EI655" t="str">
            <v>M5: grid power + DG + battery      </v>
          </cell>
          <cell r="EJ655">
            <v>0</v>
          </cell>
          <cell r="EK655">
            <v>42238</v>
          </cell>
          <cell r="EL655">
            <v>42147</v>
          </cell>
          <cell r="EM655">
            <v>42239</v>
          </cell>
          <cell r="EN655">
            <v>42150</v>
          </cell>
          <cell r="EQ655">
            <v>42248</v>
          </cell>
          <cell r="ER655">
            <v>42159</v>
          </cell>
          <cell r="ES655">
            <v>42159</v>
          </cell>
          <cell r="ET655">
            <v>42165</v>
          </cell>
          <cell r="EU655">
            <v>42165</v>
          </cell>
          <cell r="EW655">
            <v>0</v>
          </cell>
          <cell r="EX655">
            <v>42262</v>
          </cell>
          <cell r="EY655">
            <v>42172</v>
          </cell>
          <cell r="EZ655">
            <v>42258</v>
          </cell>
          <cell r="FA655">
            <v>42163</v>
          </cell>
          <cell r="FB655">
            <v>42260</v>
          </cell>
          <cell r="FC655">
            <v>42163</v>
          </cell>
          <cell r="FD655">
            <v>41931</v>
          </cell>
          <cell r="FE655">
            <v>42179</v>
          </cell>
          <cell r="FF655">
            <v>41938</v>
          </cell>
          <cell r="FH655">
            <v>41940</v>
          </cell>
          <cell r="FJ655">
            <v>41943</v>
          </cell>
          <cell r="FN655">
            <v>41947</v>
          </cell>
          <cell r="FP655">
            <v>41949</v>
          </cell>
          <cell r="FR655">
            <v>41963</v>
          </cell>
          <cell r="FU655">
            <v>42262</v>
          </cell>
          <cell r="FV655">
            <v>42172</v>
          </cell>
          <cell r="FW655">
            <v>42262</v>
          </cell>
          <cell r="FX655">
            <v>42165</v>
          </cell>
          <cell r="FY655" t="str">
            <v>CFVL</v>
          </cell>
          <cell r="FZ655">
            <v>42164</v>
          </cell>
          <cell r="GA655">
            <v>42166</v>
          </cell>
          <cell r="GB655">
            <v>42166</v>
          </cell>
          <cell r="GC655">
            <v>42166</v>
          </cell>
          <cell r="GD655">
            <v>42167</v>
          </cell>
          <cell r="GE655">
            <v>42167</v>
          </cell>
          <cell r="GF655">
            <v>42169</v>
          </cell>
          <cell r="GG655">
            <v>42168</v>
          </cell>
          <cell r="GH655">
            <v>42168</v>
          </cell>
          <cell r="GI655">
            <v>42246</v>
          </cell>
          <cell r="GJ655">
            <v>0</v>
          </cell>
          <cell r="GK655">
            <v>42168</v>
          </cell>
          <cell r="GN655" t="str">
            <v>ERICSSON</v>
          </cell>
          <cell r="GP655">
            <v>42201</v>
          </cell>
          <cell r="GS655" t="str">
            <v>4/4/4</v>
          </cell>
          <cell r="GU655" t="str">
            <v xml:space="preserve">		</v>
          </cell>
          <cell r="HD655">
            <v>1</v>
          </cell>
        </row>
        <row r="656">
          <cell r="A656" t="str">
            <v>TN0439</v>
          </cell>
          <cell r="B656" t="str">
            <v>ASTN_0011</v>
          </cell>
          <cell r="C656" t="str">
            <v>Apollo</v>
          </cell>
          <cell r="D656" t="str">
            <v>Robert</v>
          </cell>
          <cell r="F656" t="str">
            <v>Phyo Wai Maung</v>
          </cell>
          <cell r="G656" t="str">
            <v>Aye Myat Myat Moe</v>
          </cell>
          <cell r="H656" t="str">
            <v>RED</v>
          </cell>
          <cell r="I656" t="str">
            <v>South</v>
          </cell>
          <cell r="J656" t="str">
            <v>98.1248</v>
          </cell>
          <cell r="K656" t="str">
            <v>14.0116</v>
          </cell>
          <cell r="L656" t="str">
            <v>Rural</v>
          </cell>
          <cell r="M656" t="str">
            <v>Tanintharyi</v>
          </cell>
          <cell r="N656" t="str">
            <v>Launglon</v>
          </cell>
          <cell r="O656" t="str">
            <v>Launglon</v>
          </cell>
          <cell r="P656" t="str">
            <v>Tanintharyi</v>
          </cell>
          <cell r="Q656" t="str">
            <v>23</v>
          </cell>
          <cell r="R656" t="str">
            <v>Launglon</v>
          </cell>
          <cell r="S656" t="str">
            <v>80</v>
          </cell>
          <cell r="T656" t="str">
            <v>GSM+UMTS</v>
          </cell>
          <cell r="W656" t="str">
            <v>Ph2-Priority</v>
          </cell>
          <cell r="X656" t="str">
            <v>45</v>
          </cell>
          <cell r="Y656" t="str">
            <v>47</v>
          </cell>
          <cell r="Z656" t="str">
            <v>GBT</v>
          </cell>
          <cell r="AA656" t="str">
            <v>500</v>
          </cell>
          <cell r="AB656" t="str">
            <v>Access</v>
          </cell>
          <cell r="AC656" t="str">
            <v>Class C</v>
          </cell>
          <cell r="BE656" t="str">
            <v>Route 14 Dawei - Myeik</v>
          </cell>
          <cell r="BH656" t="str">
            <v>Leadcom</v>
          </cell>
          <cell r="BJ656">
            <v>42159</v>
          </cell>
          <cell r="BK656">
            <v>42171</v>
          </cell>
          <cell r="BL656">
            <v>42164</v>
          </cell>
          <cell r="BM656">
            <v>42178</v>
          </cell>
          <cell r="BT656">
            <v>28</v>
          </cell>
          <cell r="BU656">
            <v>42203</v>
          </cell>
          <cell r="BV656">
            <v>42227</v>
          </cell>
          <cell r="BW656" t="str">
            <v>98.12612</v>
          </cell>
          <cell r="BX656" t="str">
            <v>14.00891</v>
          </cell>
          <cell r="BY656" t="str">
            <v>C1</v>
          </cell>
          <cell r="BZ656" t="str">
            <v>No(2),Tha Bya Village,Pyin Sa Thi Maw Village,Long Lone Tsp,Dawei District,TaNinTharYe Division.</v>
          </cell>
          <cell r="CA656" t="str">
            <v>Daw Mu Mu Khaing, 09-422217911</v>
          </cell>
          <cell r="CB656" t="str">
            <v>11 Aug 15 : C1 SAR sub</v>
          </cell>
          <cell r="CC656" t="str">
            <v>GARDEN LAND</v>
          </cell>
          <cell r="CE656">
            <v>1</v>
          </cell>
          <cell r="CF656">
            <v>42204</v>
          </cell>
          <cell r="CG656">
            <v>42228</v>
          </cell>
          <cell r="CH656">
            <v>42206</v>
          </cell>
          <cell r="CJ656">
            <v>42237</v>
          </cell>
          <cell r="CK656" t="str">
            <v>45</v>
          </cell>
          <cell r="CL656" t="str">
            <v>47</v>
          </cell>
          <cell r="CM656" t="str">
            <v>50</v>
          </cell>
          <cell r="CN656">
            <v>5</v>
          </cell>
          <cell r="CO656">
            <v>42209</v>
          </cell>
          <cell r="CP656">
            <v>42239</v>
          </cell>
          <cell r="CQ656" t="str">
            <v>M4: solar + DG + battery</v>
          </cell>
          <cell r="CR656">
            <v>0</v>
          </cell>
          <cell r="CS656">
            <v>42210</v>
          </cell>
          <cell r="CT656">
            <v>42240</v>
          </cell>
          <cell r="CU656" t="str">
            <v>TN0439</v>
          </cell>
          <cell r="DH656">
            <v>0</v>
          </cell>
          <cell r="DI656">
            <v>42220</v>
          </cell>
          <cell r="DK656">
            <v>42217</v>
          </cell>
          <cell r="DM656">
            <v>42221</v>
          </cell>
          <cell r="DO656">
            <v>0</v>
          </cell>
          <cell r="DP656">
            <v>42220</v>
          </cell>
          <cell r="DT656">
            <v>0</v>
          </cell>
          <cell r="DU656">
            <v>42235</v>
          </cell>
          <cell r="DW656">
            <v>0</v>
          </cell>
          <cell r="DY656">
            <v>42221</v>
          </cell>
          <cell r="EA656" t="str">
            <v>Leadcom</v>
          </cell>
          <cell r="EJ656">
            <v>0</v>
          </cell>
          <cell r="EK656">
            <v>42238</v>
          </cell>
          <cell r="EM656">
            <v>42239</v>
          </cell>
          <cell r="EQ656">
            <v>42248</v>
          </cell>
          <cell r="EW656">
            <v>0</v>
          </cell>
          <cell r="EX656">
            <v>42262</v>
          </cell>
          <cell r="EZ656">
            <v>42258</v>
          </cell>
          <cell r="FB656">
            <v>42260</v>
          </cell>
          <cell r="FU656">
            <v>42262</v>
          </cell>
          <cell r="FW656">
            <v>42262</v>
          </cell>
          <cell r="GJ656">
            <v>0</v>
          </cell>
          <cell r="GN656" t="str">
            <v>ERICSSON</v>
          </cell>
          <cell r="GS656" t="str">
            <v>4/4/4</v>
          </cell>
          <cell r="GU656" t="str">
            <v xml:space="preserve">		</v>
          </cell>
          <cell r="HD656">
            <v>1</v>
          </cell>
        </row>
        <row r="657">
          <cell r="A657" t="str">
            <v>TN0441</v>
          </cell>
          <cell r="B657" t="str">
            <v>ASTN_0012</v>
          </cell>
          <cell r="C657" t="str">
            <v>Apollo</v>
          </cell>
          <cell r="D657" t="str">
            <v>Robert</v>
          </cell>
          <cell r="F657" t="str">
            <v>Phyo Wai Maung</v>
          </cell>
          <cell r="G657" t="str">
            <v>Aye Myat Myat Moe</v>
          </cell>
          <cell r="H657" t="str">
            <v>RED</v>
          </cell>
          <cell r="I657" t="str">
            <v>South</v>
          </cell>
          <cell r="J657" t="str">
            <v>98.6482</v>
          </cell>
          <cell r="K657" t="str">
            <v>12.9701</v>
          </cell>
          <cell r="L657" t="str">
            <v>SubUrban</v>
          </cell>
          <cell r="M657" t="str">
            <v>Tanintharyi</v>
          </cell>
          <cell r="N657" t="str">
            <v>Palaw</v>
          </cell>
          <cell r="O657" t="str">
            <v>Palaw</v>
          </cell>
          <cell r="P657" t="str">
            <v>Tanintharyi</v>
          </cell>
          <cell r="Q657" t="str">
            <v>23</v>
          </cell>
          <cell r="R657" t="str">
            <v>Palaw</v>
          </cell>
          <cell r="S657" t="str">
            <v>85</v>
          </cell>
          <cell r="T657" t="str">
            <v>GSM+UMTS</v>
          </cell>
          <cell r="W657" t="str">
            <v>Ph2-Priority</v>
          </cell>
          <cell r="X657" t="str">
            <v>35</v>
          </cell>
          <cell r="Y657" t="str">
            <v>37</v>
          </cell>
          <cell r="Z657" t="str">
            <v>GBT</v>
          </cell>
          <cell r="AA657" t="str">
            <v>250</v>
          </cell>
          <cell r="AB657" t="str">
            <v>Access</v>
          </cell>
          <cell r="AC657" t="str">
            <v>Class B</v>
          </cell>
          <cell r="BE657" t="str">
            <v>Route 14 Dawei - Myeik</v>
          </cell>
          <cell r="BH657" t="str">
            <v>Leadcom</v>
          </cell>
          <cell r="BJ657">
            <v>42162</v>
          </cell>
          <cell r="BL657">
            <v>42167</v>
          </cell>
          <cell r="BT657">
            <v>42158</v>
          </cell>
          <cell r="BU657">
            <v>42227</v>
          </cell>
          <cell r="BV657">
            <v>42205</v>
          </cell>
          <cell r="BW657" t="str">
            <v>98.64871</v>
          </cell>
          <cell r="BX657" t="str">
            <v>12.96909</v>
          </cell>
          <cell r="BY657" t="str">
            <v>C2</v>
          </cell>
          <cell r="BZ657" t="str">
            <v>C/17-P,Tayoketan,Shwe Hinn Tar street,Palaw</v>
          </cell>
          <cell r="CA657" t="str">
            <v>DAW CHIT PO,09 422224731</v>
          </cell>
          <cell r="CB657" t="str">
            <v>20 July 15 : C2 SAR sub(AT PRIORITY CAND)</v>
          </cell>
          <cell r="CC657" t="str">
            <v>GARDEN LAND</v>
          </cell>
          <cell r="CE657">
            <v>2</v>
          </cell>
          <cell r="CF657">
            <v>42228</v>
          </cell>
          <cell r="CG657">
            <v>42207</v>
          </cell>
          <cell r="CH657">
            <v>42230</v>
          </cell>
          <cell r="CJ657">
            <v>42248</v>
          </cell>
          <cell r="CN657">
            <v>26</v>
          </cell>
          <cell r="CO657">
            <v>42233</v>
          </cell>
          <cell r="CP657">
            <v>42250</v>
          </cell>
          <cell r="CQ657" t="str">
            <v>M1: grid power + battery</v>
          </cell>
          <cell r="CR657">
            <v>0</v>
          </cell>
          <cell r="CS657">
            <v>42234</v>
          </cell>
          <cell r="CU657" t="str">
            <v>TN0441</v>
          </cell>
          <cell r="DH657">
            <v>0</v>
          </cell>
          <cell r="DI657">
            <v>42244</v>
          </cell>
          <cell r="DK657">
            <v>42241</v>
          </cell>
          <cell r="DM657">
            <v>42245</v>
          </cell>
          <cell r="DO657">
            <v>0</v>
          </cell>
          <cell r="DP657">
            <v>42244</v>
          </cell>
          <cell r="DT657">
            <v>0</v>
          </cell>
          <cell r="DU657">
            <v>42259</v>
          </cell>
          <cell r="DW657">
            <v>0</v>
          </cell>
          <cell r="DY657">
            <v>42245</v>
          </cell>
          <cell r="EA657" t="str">
            <v>Leadcom</v>
          </cell>
          <cell r="EJ657">
            <v>0</v>
          </cell>
          <cell r="EK657">
            <v>42260</v>
          </cell>
          <cell r="EM657">
            <v>42261</v>
          </cell>
          <cell r="EQ657">
            <v>42268</v>
          </cell>
          <cell r="EW657">
            <v>0</v>
          </cell>
          <cell r="EX657">
            <v>42282</v>
          </cell>
          <cell r="EZ657">
            <v>42278</v>
          </cell>
          <cell r="FB657">
            <v>42280</v>
          </cell>
          <cell r="FU657">
            <v>42282</v>
          </cell>
          <cell r="FW657">
            <v>42282</v>
          </cell>
          <cell r="GJ657">
            <v>0</v>
          </cell>
          <cell r="GN657" t="str">
            <v>ERICSSON</v>
          </cell>
          <cell r="GS657" t="str">
            <v>4/4/4</v>
          </cell>
          <cell r="GU657" t="str">
            <v xml:space="preserve">		</v>
          </cell>
          <cell r="HD657">
            <v>1</v>
          </cell>
        </row>
        <row r="658">
          <cell r="A658" t="str">
            <v>TN0442</v>
          </cell>
          <cell r="B658" t="str">
            <v>ASTN_0013</v>
          </cell>
          <cell r="C658" t="str">
            <v>Apollo</v>
          </cell>
          <cell r="D658" t="str">
            <v>Robert</v>
          </cell>
          <cell r="F658" t="str">
            <v>Phyo Wai Maung</v>
          </cell>
          <cell r="G658" t="str">
            <v>Aye Myat Myat Moe</v>
          </cell>
          <cell r="H658" t="str">
            <v>RED</v>
          </cell>
          <cell r="I658" t="str">
            <v>South</v>
          </cell>
          <cell r="J658" t="str">
            <v>98.6958</v>
          </cell>
          <cell r="K658" t="str">
            <v>12.4806</v>
          </cell>
          <cell r="L658" t="str">
            <v>Rural</v>
          </cell>
          <cell r="M658" t="str">
            <v>Tanintharyi</v>
          </cell>
          <cell r="N658" t="str">
            <v>Myeik</v>
          </cell>
          <cell r="O658" t="str">
            <v>Myeik</v>
          </cell>
          <cell r="P658" t="str">
            <v>Tanintharyi</v>
          </cell>
          <cell r="Q658" t="str">
            <v>23</v>
          </cell>
          <cell r="R658" t="str">
            <v>Myeik</v>
          </cell>
          <cell r="S658" t="str">
            <v>83</v>
          </cell>
          <cell r="T658" t="str">
            <v>GSM+UMTS</v>
          </cell>
          <cell r="W658" t="str">
            <v>Ph2-Priority</v>
          </cell>
          <cell r="X658" t="str">
            <v>45</v>
          </cell>
          <cell r="Y658" t="str">
            <v>47</v>
          </cell>
          <cell r="Z658" t="str">
            <v>GBT</v>
          </cell>
          <cell r="AA658" t="str">
            <v>250</v>
          </cell>
          <cell r="AB658" t="str">
            <v>Access</v>
          </cell>
          <cell r="AC658" t="str">
            <v>Class C</v>
          </cell>
          <cell r="BE658" t="str">
            <v>Route 14 Dawei - Myeik</v>
          </cell>
          <cell r="BH658" t="str">
            <v>Leadcom</v>
          </cell>
          <cell r="BJ658">
            <v>42162</v>
          </cell>
          <cell r="BK658">
            <v>42175</v>
          </cell>
          <cell r="BL658">
            <v>42167</v>
          </cell>
          <cell r="BT658">
            <v>10</v>
          </cell>
          <cell r="BU658">
            <v>42227</v>
          </cell>
          <cell r="BV658">
            <v>42185</v>
          </cell>
          <cell r="BW658" t="str">
            <v>98.69271</v>
          </cell>
          <cell r="BX658" t="str">
            <v>12.48091</v>
          </cell>
          <cell r="BY658" t="str">
            <v>C2</v>
          </cell>
          <cell r="BZ658" t="str">
            <v>(668-A/ Kwel Ku Taung, U Paing No. (A/13) Sandawut
Village, Myeik Tsp</v>
          </cell>
          <cell r="CA658" t="str">
            <v>U Ngwe Htun,09-422213901</v>
          </cell>
          <cell r="CB658" t="str">
            <v>03 Aug 15 : C1 SAR approved as an option 1( TND approved with 45M tower for TN0512 and 60M tower for TN0498);29 July 15 : C1 SAR sub</v>
          </cell>
          <cell r="CC658" t="str">
            <v>GARDEN LAND</v>
          </cell>
          <cell r="CE658">
            <v>1</v>
          </cell>
          <cell r="CF658">
            <v>42228</v>
          </cell>
          <cell r="CG658">
            <v>42186</v>
          </cell>
          <cell r="CH658">
            <v>42230</v>
          </cell>
          <cell r="CJ658">
            <v>42237</v>
          </cell>
          <cell r="CK658" t="str">
            <v>45</v>
          </cell>
          <cell r="CL658" t="str">
            <v>47</v>
          </cell>
          <cell r="CM658" t="str">
            <v>50</v>
          </cell>
          <cell r="CN658">
            <v>47</v>
          </cell>
          <cell r="CO658">
            <v>42233</v>
          </cell>
          <cell r="CP658">
            <v>42239</v>
          </cell>
          <cell r="CQ658" t="str">
            <v>M1: grid power + battery</v>
          </cell>
          <cell r="CR658">
            <v>0</v>
          </cell>
          <cell r="CS658">
            <v>42234</v>
          </cell>
          <cell r="CT658">
            <v>42240</v>
          </cell>
          <cell r="CU658" t="str">
            <v>TN0442</v>
          </cell>
          <cell r="DH658">
            <v>0</v>
          </cell>
          <cell r="DI658">
            <v>42244</v>
          </cell>
          <cell r="DK658">
            <v>42241</v>
          </cell>
          <cell r="DM658">
            <v>42245</v>
          </cell>
          <cell r="DO658">
            <v>0</v>
          </cell>
          <cell r="DP658">
            <v>42244</v>
          </cell>
          <cell r="DT658">
            <v>0</v>
          </cell>
          <cell r="DU658">
            <v>42259</v>
          </cell>
          <cell r="DW658">
            <v>0</v>
          </cell>
          <cell r="DY658">
            <v>42245</v>
          </cell>
          <cell r="EA658" t="str">
            <v>Leadcom</v>
          </cell>
          <cell r="EJ658">
            <v>0</v>
          </cell>
          <cell r="EK658">
            <v>42262</v>
          </cell>
          <cell r="EM658">
            <v>42263</v>
          </cell>
          <cell r="EQ658">
            <v>42272</v>
          </cell>
          <cell r="EW658">
            <v>0</v>
          </cell>
          <cell r="EX658">
            <v>42286</v>
          </cell>
          <cell r="EZ658">
            <v>42282</v>
          </cell>
          <cell r="FB658">
            <v>42284</v>
          </cell>
          <cell r="FU658">
            <v>42286</v>
          </cell>
          <cell r="FW658">
            <v>42286</v>
          </cell>
          <cell r="GJ658">
            <v>0</v>
          </cell>
          <cell r="GN658" t="str">
            <v>ERICSSON</v>
          </cell>
          <cell r="GS658" t="str">
            <v>4/4/4</v>
          </cell>
          <cell r="GU658" t="str">
            <v xml:space="preserve">		</v>
          </cell>
          <cell r="HD658">
            <v>1</v>
          </cell>
        </row>
        <row r="659">
          <cell r="A659" t="str">
            <v>TN0443</v>
          </cell>
          <cell r="B659" t="str">
            <v>ASTN_0014</v>
          </cell>
          <cell r="C659" t="str">
            <v>Apollo</v>
          </cell>
          <cell r="D659" t="str">
            <v>Robert</v>
          </cell>
          <cell r="F659" t="str">
            <v>Phyo Wai Maung</v>
          </cell>
          <cell r="G659" t="str">
            <v>Aye Myat Myat Moe</v>
          </cell>
          <cell r="H659" t="str">
            <v>RED</v>
          </cell>
          <cell r="I659" t="str">
            <v>South</v>
          </cell>
          <cell r="J659" t="str">
            <v>98.6998</v>
          </cell>
          <cell r="K659" t="str">
            <v>12.4583</v>
          </cell>
          <cell r="L659" t="str">
            <v>Rural</v>
          </cell>
          <cell r="M659" t="str">
            <v>Tanintharyi</v>
          </cell>
          <cell r="N659" t="str">
            <v>Myeik</v>
          </cell>
          <cell r="O659" t="str">
            <v>Myeik</v>
          </cell>
          <cell r="P659" t="str">
            <v>Tanintharyi</v>
          </cell>
          <cell r="Q659" t="str">
            <v>23</v>
          </cell>
          <cell r="R659" t="str">
            <v>Myeik</v>
          </cell>
          <cell r="S659" t="str">
            <v>83</v>
          </cell>
          <cell r="T659" t="str">
            <v>GSM+UMTS</v>
          </cell>
          <cell r="U659" t="str">
            <v>YAN-N036</v>
          </cell>
          <cell r="V659" t="str">
            <v>1</v>
          </cell>
          <cell r="W659" t="str">
            <v>Ph2-Priority</v>
          </cell>
          <cell r="X659" t="str">
            <v>45</v>
          </cell>
          <cell r="Y659" t="str">
            <v>47</v>
          </cell>
          <cell r="Z659" t="str">
            <v>GBT</v>
          </cell>
          <cell r="AA659" t="str">
            <v>500</v>
          </cell>
          <cell r="AB659" t="str">
            <v>Access</v>
          </cell>
          <cell r="AC659" t="str">
            <v>Class C</v>
          </cell>
          <cell r="AD659" t="str">
            <v>644.77</v>
          </cell>
          <cell r="AE659" t="str">
            <v>907.54</v>
          </cell>
          <cell r="AF659" t="str">
            <v>2</v>
          </cell>
          <cell r="AG659" t="str">
            <v>YN0214</v>
          </cell>
          <cell r="AH659" t="str">
            <v>YN0266</v>
          </cell>
          <cell r="AI659" t="str">
            <v>YN0565</v>
          </cell>
          <cell r="BC659" t="str">
            <v>YN0565</v>
          </cell>
          <cell r="BE659" t="str">
            <v>Route 14 Dawei - Myeik</v>
          </cell>
          <cell r="BF659">
            <v>42093</v>
          </cell>
          <cell r="BG659">
            <v>41963</v>
          </cell>
          <cell r="BH659" t="str">
            <v>Leadcom</v>
          </cell>
          <cell r="BJ659">
            <v>42162</v>
          </cell>
          <cell r="BK659">
            <v>41766</v>
          </cell>
          <cell r="BL659">
            <v>42167</v>
          </cell>
          <cell r="BT659">
            <v>441</v>
          </cell>
          <cell r="BU659">
            <v>42227</v>
          </cell>
          <cell r="BV659">
            <v>42207</v>
          </cell>
          <cell r="BW659" t="str">
            <v>96.37582</v>
          </cell>
          <cell r="BX659" t="str">
            <v>16.92814</v>
          </cell>
          <cell r="BY659" t="str">
            <v>C4</v>
          </cell>
          <cell r="BZ659" t="str">
            <v>Kyaung Street, East Phar Kuu Quarter, Phar Kuu Village, Thanlyin Township,</v>
          </cell>
          <cell r="CA659" t="str">
            <v>U Mg Win,09-250160606</v>
          </cell>
          <cell r="CB659" t="str">
            <v>27 July 15 : C4 SAR approved as an option 1(RND antenna height is 45m reduce to 38m because of space constraints Apollo cannot build 45m as per confirmation mail from roll out on 23_July-15. That's why RND approved with 38m / 40m GBT as priority 1. This site is 477m far from the nominal point.);22 July 15: C4 SAR sub( The C1 was an old candidate from Phase 1 sites, since Apollo had a new C1 and  renamed it as C4 to prevent confusion);22 July 15: C1 SAR  approved with 40 M Tower and E// request to submit TSSR with 40 M Tower ;21 July 15 : Apollo send email to revalidate  and approve C1 SAR with 40 M Tower because C3 has NOC and can’t able to get TAR to ward officer and YN0242_C1 change of tower height from 45m to 40m; 14 July 15 : C3 TSSR app;6 Jul 15 : C3 SAR app;  10 July 15: C3 SAR updated technical info released because of reducing Tower height to 40 M as per Apollo request ,they have space constraints issue ( Frist RND approved with 45m/47m GBT. But TM RO request to approved with 40m tower so that RND reconsider and approved with 40m tower. This site added to Deviation sites and if impact for RF coverage that we already notice to TM RO);2  July 15 : C3 SAR sub;20Oct14: Cleaned up due to ReHunt, prev C1 SAR app;</v>
          </cell>
          <cell r="CE659">
            <v>0</v>
          </cell>
          <cell r="CF659">
            <v>42228</v>
          </cell>
          <cell r="CG659">
            <v>42212</v>
          </cell>
          <cell r="CH659">
            <v>42230</v>
          </cell>
          <cell r="CJ659">
            <v>42210</v>
          </cell>
          <cell r="CK659" t="str">
            <v>38</v>
          </cell>
          <cell r="CL659" t="str">
            <v>40</v>
          </cell>
          <cell r="CM659" t="str">
            <v>40</v>
          </cell>
          <cell r="CN659">
            <v>0</v>
          </cell>
          <cell r="CO659">
            <v>42233</v>
          </cell>
          <cell r="CP659">
            <v>42212</v>
          </cell>
          <cell r="CQ659" t="str">
            <v>M4: solar + DG + battery</v>
          </cell>
          <cell r="CR659">
            <v>0</v>
          </cell>
          <cell r="CS659">
            <v>42234</v>
          </cell>
          <cell r="CT659">
            <v>42213</v>
          </cell>
          <cell r="CU659" t="str">
            <v>TN0443</v>
          </cell>
          <cell r="DH659">
            <v>0</v>
          </cell>
          <cell r="DI659">
            <v>42244</v>
          </cell>
          <cell r="DK659">
            <v>42241</v>
          </cell>
          <cell r="DL659">
            <v>42210</v>
          </cell>
          <cell r="DM659">
            <v>42245</v>
          </cell>
          <cell r="DN659">
            <v>42210</v>
          </cell>
          <cell r="DO659">
            <v>0</v>
          </cell>
          <cell r="DP659">
            <v>42244</v>
          </cell>
          <cell r="DR659" t="str">
            <v>Thanlyin CDC</v>
          </cell>
          <cell r="DS659" t="str">
            <v>Daw Tin Moe Shwe (Executive Engineer)
(Contact: 056-21793)
U Sein Win (Assistant Engineer)
(Contact: 09-5405958)
Daw Tin Zar Moe (Junior Clerk)
(Contact: 056-21793)</v>
          </cell>
          <cell r="DT659">
            <v>0</v>
          </cell>
          <cell r="DU659">
            <v>42259</v>
          </cell>
          <cell r="DW659">
            <v>0</v>
          </cell>
          <cell r="DY659">
            <v>42245</v>
          </cell>
          <cell r="DZ659">
            <v>42212</v>
          </cell>
          <cell r="EA659" t="str">
            <v>Leadcom</v>
          </cell>
          <cell r="EB659">
            <v>42216</v>
          </cell>
          <cell r="EE659" t="str">
            <v xml:space="preserve">10 Aug 15:Flood affected_Hold-No access; 31-Jul-15:  Flood affected_Hold,Excavation								</v>
          </cell>
          <cell r="EJ659">
            <v>0</v>
          </cell>
          <cell r="EK659">
            <v>42262</v>
          </cell>
          <cell r="EM659">
            <v>42263</v>
          </cell>
          <cell r="EQ659">
            <v>42272</v>
          </cell>
          <cell r="EW659">
            <v>0</v>
          </cell>
          <cell r="EX659">
            <v>42286</v>
          </cell>
          <cell r="EZ659">
            <v>42282</v>
          </cell>
          <cell r="FB659">
            <v>42284</v>
          </cell>
          <cell r="FD659">
            <v>41924</v>
          </cell>
          <cell r="FF659">
            <v>41931</v>
          </cell>
          <cell r="FH659">
            <v>41933</v>
          </cell>
          <cell r="FJ659">
            <v>41936</v>
          </cell>
          <cell r="FN659">
            <v>41940</v>
          </cell>
          <cell r="FP659">
            <v>41942</v>
          </cell>
          <cell r="FR659">
            <v>41956</v>
          </cell>
          <cell r="FU659">
            <v>42286</v>
          </cell>
          <cell r="FW659">
            <v>42286</v>
          </cell>
          <cell r="GJ659">
            <v>0</v>
          </cell>
          <cell r="GN659" t="str">
            <v>ERICSSON</v>
          </cell>
          <cell r="GP659">
            <v>41942</v>
          </cell>
          <cell r="GS659" t="str">
            <v>4/4/4</v>
          </cell>
          <cell r="GU659" t="str">
            <v xml:space="preserve">		</v>
          </cell>
          <cell r="HD659">
            <v>1</v>
          </cell>
        </row>
        <row r="660">
          <cell r="A660" t="str">
            <v>TN0444</v>
          </cell>
          <cell r="B660" t="str">
            <v>ASTN_0015</v>
          </cell>
          <cell r="C660" t="str">
            <v>Apollo</v>
          </cell>
          <cell r="D660" t="str">
            <v>Robert</v>
          </cell>
          <cell r="F660" t="str">
            <v>Phyo Wai Maung</v>
          </cell>
          <cell r="G660" t="str">
            <v>Aye Myat Myat Moe</v>
          </cell>
          <cell r="H660" t="str">
            <v>RED</v>
          </cell>
          <cell r="I660" t="str">
            <v>South</v>
          </cell>
          <cell r="J660" t="str">
            <v>98.665</v>
          </cell>
          <cell r="K660" t="str">
            <v>12.4732</v>
          </cell>
          <cell r="L660" t="str">
            <v>Rural</v>
          </cell>
          <cell r="M660" t="str">
            <v>Tanintharyi</v>
          </cell>
          <cell r="N660" t="str">
            <v>Myeik</v>
          </cell>
          <cell r="O660" t="str">
            <v>Myeik</v>
          </cell>
          <cell r="P660" t="str">
            <v>Tanintharyi</v>
          </cell>
          <cell r="Q660" t="str">
            <v>23</v>
          </cell>
          <cell r="R660" t="str">
            <v>Myeik</v>
          </cell>
          <cell r="S660" t="str">
            <v>83</v>
          </cell>
          <cell r="T660" t="str">
            <v>GSM+UMTS</v>
          </cell>
          <cell r="W660" t="str">
            <v>Ph2-Priority</v>
          </cell>
          <cell r="X660" t="str">
            <v>45</v>
          </cell>
          <cell r="Y660" t="str">
            <v>47</v>
          </cell>
          <cell r="Z660" t="str">
            <v>GBT</v>
          </cell>
          <cell r="AA660" t="str">
            <v>250</v>
          </cell>
          <cell r="AB660" t="str">
            <v>Access</v>
          </cell>
          <cell r="AC660" t="str">
            <v>Class C</v>
          </cell>
          <cell r="BE660" t="str">
            <v>Route 14 Dawei - Myeik</v>
          </cell>
          <cell r="BH660" t="str">
            <v>Leadcom</v>
          </cell>
          <cell r="BJ660">
            <v>42162</v>
          </cell>
          <cell r="BK660">
            <v>42182</v>
          </cell>
          <cell r="BL660">
            <v>42167</v>
          </cell>
          <cell r="BM660">
            <v>42176</v>
          </cell>
          <cell r="BT660">
            <v>10</v>
          </cell>
          <cell r="BU660">
            <v>42227</v>
          </cell>
          <cell r="BV660">
            <v>42192</v>
          </cell>
          <cell r="BW660" t="str">
            <v>98.66591</v>
          </cell>
          <cell r="BX660" t="str">
            <v>12.47557</v>
          </cell>
          <cell r="BY660" t="str">
            <v>C1</v>
          </cell>
          <cell r="BZ660" t="str">
            <v>Kwan Tee Chaung Village,Sanda wut Group,Myeik</v>
          </cell>
          <cell r="CA660" t="str">
            <v>U Win Aung,09-25012847</v>
          </cell>
          <cell r="CC660" t="str">
            <v>GARDEN LAND</v>
          </cell>
          <cell r="CE660">
            <v>1</v>
          </cell>
          <cell r="CF660">
            <v>42228</v>
          </cell>
          <cell r="CG660">
            <v>42193</v>
          </cell>
          <cell r="CH660">
            <v>42230</v>
          </cell>
          <cell r="CJ660">
            <v>42240</v>
          </cell>
          <cell r="CK660" t="str">
            <v>45</v>
          </cell>
          <cell r="CL660" t="str">
            <v>47</v>
          </cell>
          <cell r="CM660" t="str">
            <v>50</v>
          </cell>
          <cell r="CN660">
            <v>40</v>
          </cell>
          <cell r="CO660">
            <v>42233</v>
          </cell>
          <cell r="CP660">
            <v>42242</v>
          </cell>
          <cell r="CQ660" t="str">
            <v>M1: grid power + battery</v>
          </cell>
          <cell r="CR660">
            <v>0</v>
          </cell>
          <cell r="CS660">
            <v>42234</v>
          </cell>
          <cell r="CT660">
            <v>42244</v>
          </cell>
          <cell r="CU660" t="str">
            <v>TN0444</v>
          </cell>
          <cell r="DH660">
            <v>0</v>
          </cell>
          <cell r="DI660">
            <v>42244</v>
          </cell>
          <cell r="DK660">
            <v>42241</v>
          </cell>
          <cell r="DM660">
            <v>42245</v>
          </cell>
          <cell r="DO660">
            <v>0</v>
          </cell>
          <cell r="DP660">
            <v>42244</v>
          </cell>
          <cell r="DT660">
            <v>0</v>
          </cell>
          <cell r="DU660">
            <v>42259</v>
          </cell>
          <cell r="DW660">
            <v>0</v>
          </cell>
          <cell r="DY660">
            <v>42245</v>
          </cell>
          <cell r="EA660" t="str">
            <v>Leadcom</v>
          </cell>
          <cell r="EJ660">
            <v>0</v>
          </cell>
          <cell r="EK660">
            <v>42262</v>
          </cell>
          <cell r="EM660">
            <v>42263</v>
          </cell>
          <cell r="EQ660">
            <v>42272</v>
          </cell>
          <cell r="EW660">
            <v>0</v>
          </cell>
          <cell r="EX660">
            <v>42286</v>
          </cell>
          <cell r="EZ660">
            <v>42282</v>
          </cell>
          <cell r="FB660">
            <v>42284</v>
          </cell>
          <cell r="FU660">
            <v>42286</v>
          </cell>
          <cell r="FW660">
            <v>42286</v>
          </cell>
          <cell r="GJ660">
            <v>0</v>
          </cell>
          <cell r="GN660" t="str">
            <v>ERICSSON</v>
          </cell>
          <cell r="GS660" t="str">
            <v>4/4/4</v>
          </cell>
          <cell r="GU660" t="str">
            <v xml:space="preserve">		</v>
          </cell>
          <cell r="HD660">
            <v>1</v>
          </cell>
        </row>
        <row r="661">
          <cell r="A661" t="str">
            <v>TN0447</v>
          </cell>
          <cell r="B661" t="str">
            <v>ASTN_0016</v>
          </cell>
          <cell r="C661" t="str">
            <v>Apollo</v>
          </cell>
          <cell r="D661" t="str">
            <v>Robert</v>
          </cell>
          <cell r="F661" t="str">
            <v>Phyo Wai Maung</v>
          </cell>
          <cell r="G661" t="str">
            <v>Aye Myat Myat Moe</v>
          </cell>
          <cell r="H661" t="str">
            <v>RED</v>
          </cell>
          <cell r="I661" t="str">
            <v>South</v>
          </cell>
          <cell r="J661" t="str">
            <v>98.6052</v>
          </cell>
          <cell r="K661" t="str">
            <v>12.4668</v>
          </cell>
          <cell r="L661" t="str">
            <v>Suburban</v>
          </cell>
          <cell r="M661" t="str">
            <v>Tanintharyi</v>
          </cell>
          <cell r="N661" t="str">
            <v>Myeik</v>
          </cell>
          <cell r="O661" t="str">
            <v>Myeik</v>
          </cell>
          <cell r="P661" t="str">
            <v>Tanintharyi</v>
          </cell>
          <cell r="Q661" t="str">
            <v>23</v>
          </cell>
          <cell r="R661" t="str">
            <v>Myeik</v>
          </cell>
          <cell r="S661" t="str">
            <v>83</v>
          </cell>
          <cell r="T661" t="str">
            <v>GSM+UMTS</v>
          </cell>
          <cell r="W661" t="str">
            <v>Ph2-Priority</v>
          </cell>
          <cell r="X661" t="str">
            <v>35</v>
          </cell>
          <cell r="Y661" t="str">
            <v>37</v>
          </cell>
          <cell r="Z661" t="str">
            <v>GBT</v>
          </cell>
          <cell r="AA661" t="str">
            <v>250</v>
          </cell>
          <cell r="AB661" t="str">
            <v>Access</v>
          </cell>
          <cell r="AC661" t="str">
            <v>Class B</v>
          </cell>
          <cell r="BH661" t="str">
            <v>KTT</v>
          </cell>
          <cell r="BJ661">
            <v>42160</v>
          </cell>
          <cell r="BL661">
            <v>42165</v>
          </cell>
          <cell r="BT661">
            <v>42158</v>
          </cell>
          <cell r="BU661">
            <v>42178</v>
          </cell>
          <cell r="BV661">
            <v>42205</v>
          </cell>
          <cell r="BW661" t="str">
            <v>97.16273</v>
          </cell>
          <cell r="BX661" t="str">
            <v>22.96072</v>
          </cell>
          <cell r="BY661" t="str">
            <v>C1</v>
          </cell>
          <cell r="CB661" t="str">
            <v>20 July 15:C1-SAR submission + justfication</v>
          </cell>
          <cell r="CC661" t="str">
            <v>Village</v>
          </cell>
          <cell r="CE661">
            <v>0</v>
          </cell>
          <cell r="CF661">
            <v>42179</v>
          </cell>
          <cell r="CG661">
            <v>42206</v>
          </cell>
          <cell r="CH661">
            <v>42181</v>
          </cell>
          <cell r="CN661">
            <v>0</v>
          </cell>
          <cell r="CO661">
            <v>42184</v>
          </cell>
          <cell r="CQ661" t="str">
            <v>M4: solar + DG + battery</v>
          </cell>
          <cell r="CR661">
            <v>0</v>
          </cell>
          <cell r="CS661">
            <v>42185</v>
          </cell>
          <cell r="CU661" t="str">
            <v>TN0447</v>
          </cell>
          <cell r="DH661">
            <v>0</v>
          </cell>
          <cell r="DI661">
            <v>42195</v>
          </cell>
          <cell r="DK661">
            <v>42192</v>
          </cell>
          <cell r="DM661">
            <v>42196</v>
          </cell>
          <cell r="DO661">
            <v>0</v>
          </cell>
          <cell r="DP661">
            <v>42195</v>
          </cell>
          <cell r="DT661">
            <v>0</v>
          </cell>
          <cell r="DU661">
            <v>42210</v>
          </cell>
          <cell r="DW661">
            <v>0</v>
          </cell>
          <cell r="DY661">
            <v>42196</v>
          </cell>
          <cell r="EA661" t="str">
            <v>Leadcom</v>
          </cell>
          <cell r="EJ661">
            <v>0</v>
          </cell>
          <cell r="EK661">
            <v>42211</v>
          </cell>
          <cell r="EM661">
            <v>42212</v>
          </cell>
          <cell r="EQ661">
            <v>42219</v>
          </cell>
          <cell r="EW661">
            <v>0</v>
          </cell>
          <cell r="EX661">
            <v>42260</v>
          </cell>
          <cell r="EZ661">
            <v>42229</v>
          </cell>
          <cell r="FB661">
            <v>42231</v>
          </cell>
          <cell r="FU661">
            <v>42233</v>
          </cell>
          <cell r="FW661">
            <v>42233</v>
          </cell>
          <cell r="GJ661">
            <v>0</v>
          </cell>
          <cell r="GN661" t="str">
            <v>ERICSSON</v>
          </cell>
          <cell r="GS661" t="str">
            <v>4/4/4</v>
          </cell>
          <cell r="GU661" t="str">
            <v xml:space="preserve">		</v>
          </cell>
          <cell r="HD661">
            <v>1</v>
          </cell>
        </row>
        <row r="662">
          <cell r="A662" t="str">
            <v>TN0448</v>
          </cell>
          <cell r="B662" t="str">
            <v>ASTN_0017</v>
          </cell>
          <cell r="C662" t="str">
            <v>Apollo</v>
          </cell>
          <cell r="D662" t="str">
            <v>Robert</v>
          </cell>
          <cell r="F662" t="str">
            <v>Phyo Wai Maung</v>
          </cell>
          <cell r="G662" t="str">
            <v>Aye Myat Myat Moe</v>
          </cell>
          <cell r="H662" t="str">
            <v>RED</v>
          </cell>
          <cell r="I662" t="str">
            <v>South</v>
          </cell>
          <cell r="J662" t="str">
            <v>98.6044</v>
          </cell>
          <cell r="K662" t="str">
            <v>12.4446</v>
          </cell>
          <cell r="L662" t="str">
            <v>SubUrban</v>
          </cell>
          <cell r="M662" t="str">
            <v>Tanintharyi</v>
          </cell>
          <cell r="N662" t="str">
            <v>Myeik</v>
          </cell>
          <cell r="O662" t="str">
            <v>Myeik</v>
          </cell>
          <cell r="P662" t="str">
            <v>Tanintharyi</v>
          </cell>
          <cell r="Q662" t="str">
            <v>23</v>
          </cell>
          <cell r="R662" t="str">
            <v>Myeik</v>
          </cell>
          <cell r="S662" t="str">
            <v>83</v>
          </cell>
          <cell r="T662" t="str">
            <v>GSM+UMTS</v>
          </cell>
          <cell r="W662" t="str">
            <v>Ph2-Priority</v>
          </cell>
          <cell r="X662" t="str">
            <v>35</v>
          </cell>
          <cell r="Y662" t="str">
            <v>37</v>
          </cell>
          <cell r="Z662" t="str">
            <v>GBT</v>
          </cell>
          <cell r="AA662" t="str">
            <v>250</v>
          </cell>
          <cell r="AB662" t="str">
            <v>Access</v>
          </cell>
          <cell r="AC662" t="str">
            <v>Class B</v>
          </cell>
          <cell r="BE662" t="str">
            <v>Route 14 Dawei - Myeik</v>
          </cell>
          <cell r="BH662" t="str">
            <v>KTT</v>
          </cell>
          <cell r="BJ662">
            <v>42160</v>
          </cell>
          <cell r="BL662">
            <v>42165</v>
          </cell>
          <cell r="BT662">
            <v>42158</v>
          </cell>
          <cell r="BU662">
            <v>42178</v>
          </cell>
          <cell r="BV662">
            <v>42226</v>
          </cell>
          <cell r="BW662" t="str">
            <v>98.19286</v>
          </cell>
          <cell r="BX662" t="str">
            <v>14.10447</v>
          </cell>
          <cell r="BY662" t="str">
            <v>C1</v>
          </cell>
          <cell r="CB662" t="str">
            <v>10 Aug 15 : C1 SAR sub</v>
          </cell>
          <cell r="CC662" t="str">
            <v>UNSPECIFIED</v>
          </cell>
          <cell r="CE662">
            <v>0</v>
          </cell>
          <cell r="CF662">
            <v>42179</v>
          </cell>
          <cell r="CG662">
            <v>42227</v>
          </cell>
          <cell r="CH662">
            <v>42181</v>
          </cell>
          <cell r="CN662">
            <v>0</v>
          </cell>
          <cell r="CO662">
            <v>42184</v>
          </cell>
          <cell r="CR662">
            <v>0</v>
          </cell>
          <cell r="CS662">
            <v>42185</v>
          </cell>
          <cell r="CU662" t="str">
            <v>TN0448</v>
          </cell>
          <cell r="DH662">
            <v>0</v>
          </cell>
          <cell r="DI662">
            <v>42195</v>
          </cell>
          <cell r="DK662">
            <v>42192</v>
          </cell>
          <cell r="DM662">
            <v>42196</v>
          </cell>
          <cell r="DO662">
            <v>0</v>
          </cell>
          <cell r="DP662">
            <v>42195</v>
          </cell>
          <cell r="DT662">
            <v>0</v>
          </cell>
          <cell r="DU662">
            <v>42210</v>
          </cell>
          <cell r="DW662">
            <v>0</v>
          </cell>
          <cell r="DY662">
            <v>42196</v>
          </cell>
          <cell r="EA662" t="str">
            <v>Leadcom</v>
          </cell>
          <cell r="EJ662">
            <v>0</v>
          </cell>
          <cell r="EK662">
            <v>42211</v>
          </cell>
          <cell r="EM662">
            <v>42212</v>
          </cell>
          <cell r="EQ662">
            <v>42219</v>
          </cell>
          <cell r="EW662">
            <v>0</v>
          </cell>
          <cell r="EX662">
            <v>42260</v>
          </cell>
          <cell r="EZ662">
            <v>42229</v>
          </cell>
          <cell r="FB662">
            <v>42231</v>
          </cell>
          <cell r="FU662">
            <v>42233</v>
          </cell>
          <cell r="FW662">
            <v>42233</v>
          </cell>
          <cell r="GJ662">
            <v>0</v>
          </cell>
          <cell r="GN662" t="str">
            <v>ERICSSON</v>
          </cell>
          <cell r="GS662" t="str">
            <v>4/4/4</v>
          </cell>
          <cell r="GU662" t="str">
            <v xml:space="preserve">		</v>
          </cell>
          <cell r="HD662">
            <v>1</v>
          </cell>
        </row>
        <row r="663">
          <cell r="A663" t="str">
            <v>TN0453</v>
          </cell>
          <cell r="B663" t="str">
            <v>ASTN_0018</v>
          </cell>
          <cell r="C663" t="str">
            <v>Apollo</v>
          </cell>
          <cell r="D663" t="str">
            <v>Robert</v>
          </cell>
          <cell r="F663" t="str">
            <v>Phyo Wai Maung</v>
          </cell>
          <cell r="G663" t="str">
            <v>Aye Myat Myat Moe</v>
          </cell>
          <cell r="H663" t="str">
            <v>RED</v>
          </cell>
          <cell r="I663" t="str">
            <v>South</v>
          </cell>
          <cell r="J663" t="str">
            <v>98.5376</v>
          </cell>
          <cell r="K663" t="str">
            <v>10.0302</v>
          </cell>
          <cell r="L663" t="str">
            <v>SubUrban</v>
          </cell>
          <cell r="M663" t="str">
            <v>Tanintharyi</v>
          </cell>
          <cell r="N663" t="str">
            <v>Kawthoung</v>
          </cell>
          <cell r="O663" t="str">
            <v>Kawthoung</v>
          </cell>
          <cell r="P663" t="str">
            <v>Tanintharyi</v>
          </cell>
          <cell r="Q663" t="str">
            <v>23</v>
          </cell>
          <cell r="R663" t="str">
            <v>Kawthoung</v>
          </cell>
          <cell r="S663" t="str">
            <v>87</v>
          </cell>
          <cell r="T663" t="str">
            <v>GSM+UMTS</v>
          </cell>
          <cell r="W663" t="str">
            <v>Ph2-Priority</v>
          </cell>
          <cell r="X663" t="str">
            <v>35</v>
          </cell>
          <cell r="Y663" t="str">
            <v>37</v>
          </cell>
          <cell r="Z663" t="str">
            <v>GBT</v>
          </cell>
          <cell r="AA663" t="str">
            <v>250</v>
          </cell>
          <cell r="AB663" t="str">
            <v>Access</v>
          </cell>
          <cell r="AC663" t="str">
            <v>Class B</v>
          </cell>
          <cell r="BE663" t="str">
            <v>Route 14 Dawei - Myeik</v>
          </cell>
          <cell r="BH663" t="str">
            <v>Leadcom</v>
          </cell>
          <cell r="BJ663">
            <v>42162</v>
          </cell>
          <cell r="BK663">
            <v>42182</v>
          </cell>
          <cell r="BL663">
            <v>42167</v>
          </cell>
          <cell r="BT663">
            <v>10</v>
          </cell>
          <cell r="BU663">
            <v>42227</v>
          </cell>
          <cell r="BV663">
            <v>42192</v>
          </cell>
          <cell r="BW663" t="str">
            <v>98.66591</v>
          </cell>
          <cell r="BX663" t="str">
            <v>12.47557</v>
          </cell>
          <cell r="BY663" t="str">
            <v>C1</v>
          </cell>
          <cell r="CC663" t="str">
            <v>GARDEN LAND</v>
          </cell>
          <cell r="CE663">
            <v>0</v>
          </cell>
          <cell r="CF663">
            <v>42228</v>
          </cell>
          <cell r="CG663">
            <v>42193</v>
          </cell>
          <cell r="CH663">
            <v>42230</v>
          </cell>
          <cell r="CN663">
            <v>0</v>
          </cell>
          <cell r="CO663">
            <v>42233</v>
          </cell>
          <cell r="CQ663" t="str">
            <v>M1: grid power + battery</v>
          </cell>
          <cell r="CR663">
            <v>0</v>
          </cell>
          <cell r="CS663">
            <v>42234</v>
          </cell>
          <cell r="CU663" t="str">
            <v>TN0453</v>
          </cell>
          <cell r="DH663">
            <v>0</v>
          </cell>
          <cell r="DI663">
            <v>42244</v>
          </cell>
          <cell r="DK663">
            <v>42241</v>
          </cell>
          <cell r="DM663">
            <v>42245</v>
          </cell>
          <cell r="DO663">
            <v>0</v>
          </cell>
          <cell r="DP663">
            <v>42244</v>
          </cell>
          <cell r="DT663">
            <v>0</v>
          </cell>
          <cell r="DU663">
            <v>42259</v>
          </cell>
          <cell r="DW663">
            <v>0</v>
          </cell>
          <cell r="DY663">
            <v>42245</v>
          </cell>
          <cell r="EA663" t="str">
            <v>Leadcom</v>
          </cell>
          <cell r="EJ663">
            <v>0</v>
          </cell>
          <cell r="EK663">
            <v>42260</v>
          </cell>
          <cell r="EM663">
            <v>42261</v>
          </cell>
          <cell r="EQ663">
            <v>42268</v>
          </cell>
          <cell r="EW663">
            <v>0</v>
          </cell>
          <cell r="EX663">
            <v>42282</v>
          </cell>
          <cell r="EZ663">
            <v>42278</v>
          </cell>
          <cell r="FB663">
            <v>42280</v>
          </cell>
          <cell r="FU663">
            <v>42282</v>
          </cell>
          <cell r="FW663">
            <v>42282</v>
          </cell>
          <cell r="GJ663">
            <v>0</v>
          </cell>
          <cell r="GN663" t="str">
            <v>ERICSSON</v>
          </cell>
          <cell r="GS663" t="str">
            <v>4/4/4</v>
          </cell>
          <cell r="GU663" t="str">
            <v xml:space="preserve">		</v>
          </cell>
          <cell r="HD663">
            <v>1</v>
          </cell>
        </row>
        <row r="664">
          <cell r="A664" t="str">
            <v>TN0456</v>
          </cell>
          <cell r="B664" t="str">
            <v>ASTN_0019</v>
          </cell>
          <cell r="C664" t="str">
            <v>Apollo</v>
          </cell>
          <cell r="D664" t="str">
            <v>Robert</v>
          </cell>
          <cell r="F664" t="str">
            <v>Phyo Wai Maung</v>
          </cell>
          <cell r="G664" t="str">
            <v>Aye Myat Myat Moe</v>
          </cell>
          <cell r="H664" t="str">
            <v>RED</v>
          </cell>
          <cell r="I664" t="str">
            <v>South</v>
          </cell>
          <cell r="J664" t="str">
            <v>98.5345</v>
          </cell>
          <cell r="K664" t="str">
            <v>10.0073</v>
          </cell>
          <cell r="L664" t="str">
            <v>Rural</v>
          </cell>
          <cell r="M664" t="str">
            <v>Tanintharyi</v>
          </cell>
          <cell r="N664" t="str">
            <v>Kawthoung</v>
          </cell>
          <cell r="O664" t="str">
            <v>Kawthoung</v>
          </cell>
          <cell r="P664" t="str">
            <v>Tanintharyi</v>
          </cell>
          <cell r="Q664" t="str">
            <v>23</v>
          </cell>
          <cell r="R664" t="str">
            <v>Kawthoung</v>
          </cell>
          <cell r="S664" t="str">
            <v>87</v>
          </cell>
          <cell r="T664" t="str">
            <v>GSM+UMTS</v>
          </cell>
          <cell r="W664" t="str">
            <v>Ph2-Priority</v>
          </cell>
          <cell r="X664" t="str">
            <v>45</v>
          </cell>
          <cell r="Y664" t="str">
            <v>47</v>
          </cell>
          <cell r="AA664" t="str">
            <v>250</v>
          </cell>
          <cell r="AB664" t="str">
            <v>Access</v>
          </cell>
          <cell r="AC664" t="str">
            <v>Class C</v>
          </cell>
          <cell r="BH664" t="str">
            <v>KTT</v>
          </cell>
          <cell r="BJ664">
            <v>42162</v>
          </cell>
          <cell r="BK664">
            <v>42170</v>
          </cell>
          <cell r="BL664">
            <v>42167</v>
          </cell>
          <cell r="BM664">
            <v>42177</v>
          </cell>
          <cell r="BT664">
            <v>63</v>
          </cell>
          <cell r="BU664">
            <v>42203</v>
          </cell>
          <cell r="CE664">
            <v>0</v>
          </cell>
          <cell r="CF664">
            <v>42204</v>
          </cell>
          <cell r="CH664">
            <v>42206</v>
          </cell>
          <cell r="CN664">
            <v>0</v>
          </cell>
          <cell r="CO664">
            <v>42209</v>
          </cell>
          <cell r="CR664">
            <v>0</v>
          </cell>
          <cell r="CS664">
            <v>42210</v>
          </cell>
          <cell r="CU664" t="str">
            <v>TN0456</v>
          </cell>
          <cell r="DH664">
            <v>0</v>
          </cell>
          <cell r="DI664">
            <v>42220</v>
          </cell>
          <cell r="DK664">
            <v>42217</v>
          </cell>
          <cell r="DM664">
            <v>42221</v>
          </cell>
          <cell r="DO664">
            <v>0</v>
          </cell>
          <cell r="DP664">
            <v>42220</v>
          </cell>
          <cell r="DT664">
            <v>0</v>
          </cell>
          <cell r="DU664">
            <v>42235</v>
          </cell>
          <cell r="DW664">
            <v>0</v>
          </cell>
          <cell r="DY664">
            <v>42221</v>
          </cell>
          <cell r="EA664" t="str">
            <v>Leadcom</v>
          </cell>
          <cell r="EJ664">
            <v>0</v>
          </cell>
          <cell r="EK664">
            <v>42238</v>
          </cell>
          <cell r="EM664">
            <v>42239</v>
          </cell>
          <cell r="EQ664">
            <v>42248</v>
          </cell>
          <cell r="EW664">
            <v>0</v>
          </cell>
          <cell r="EX664">
            <v>42262</v>
          </cell>
          <cell r="EZ664">
            <v>42258</v>
          </cell>
          <cell r="FB664">
            <v>42260</v>
          </cell>
          <cell r="FU664">
            <v>42262</v>
          </cell>
          <cell r="FW664">
            <v>42262</v>
          </cell>
          <cell r="GI664">
            <v>42030</v>
          </cell>
          <cell r="GJ664">
            <v>0</v>
          </cell>
          <cell r="GN664" t="str">
            <v>ERICSSON</v>
          </cell>
          <cell r="GS664" t="str">
            <v>4/4/4</v>
          </cell>
          <cell r="GU664" t="str">
            <v xml:space="preserve">		</v>
          </cell>
          <cell r="HD664">
            <v>1</v>
          </cell>
        </row>
        <row r="665">
          <cell r="A665" t="str">
            <v>TN0457</v>
          </cell>
          <cell r="B665" t="str">
            <v>ASTN_0020</v>
          </cell>
          <cell r="C665" t="str">
            <v>Apollo</v>
          </cell>
          <cell r="D665" t="str">
            <v>Robert</v>
          </cell>
          <cell r="F665" t="str">
            <v>Phyo Wai Maung</v>
          </cell>
          <cell r="G665" t="str">
            <v>Aye Myat Myat Moe</v>
          </cell>
          <cell r="H665" t="str">
            <v>RED</v>
          </cell>
          <cell r="I665" t="str">
            <v>South</v>
          </cell>
          <cell r="J665" t="str">
            <v>98.4567</v>
          </cell>
          <cell r="K665" t="str">
            <v>12.4852</v>
          </cell>
          <cell r="L665" t="str">
            <v>SubUrban</v>
          </cell>
          <cell r="M665" t="str">
            <v>Tanintharyi</v>
          </cell>
          <cell r="N665" t="str">
            <v>Kyunsu</v>
          </cell>
          <cell r="O665" t="str">
            <v>Kyunsu</v>
          </cell>
          <cell r="P665" t="str">
            <v>Tanintharyi</v>
          </cell>
          <cell r="Q665" t="str">
            <v>23</v>
          </cell>
          <cell r="R665" t="str">
            <v>Kyunsu</v>
          </cell>
          <cell r="S665" t="str">
            <v>84</v>
          </cell>
          <cell r="T665" t="str">
            <v>GSM+UMTS</v>
          </cell>
          <cell r="W665" t="str">
            <v>Ph2-Priority</v>
          </cell>
          <cell r="X665" t="str">
            <v>35</v>
          </cell>
          <cell r="Y665" t="str">
            <v>37</v>
          </cell>
          <cell r="Z665" t="str">
            <v>GBT</v>
          </cell>
          <cell r="AA665" t="str">
            <v>250</v>
          </cell>
          <cell r="AB665" t="str">
            <v>Access</v>
          </cell>
          <cell r="AC665" t="str">
            <v>Class B</v>
          </cell>
          <cell r="BE665" t="str">
            <v>Route 14 Dawei - Myeik</v>
          </cell>
          <cell r="BH665" t="str">
            <v>Leadcom</v>
          </cell>
          <cell r="BJ665">
            <v>42162</v>
          </cell>
          <cell r="BK665">
            <v>42148</v>
          </cell>
          <cell r="BL665">
            <v>42167</v>
          </cell>
          <cell r="BM665">
            <v>42155</v>
          </cell>
          <cell r="BT665">
            <v>17</v>
          </cell>
          <cell r="BU665">
            <v>42227</v>
          </cell>
          <cell r="BV665">
            <v>42165</v>
          </cell>
          <cell r="BW665" t="str">
            <v>95.39453</v>
          </cell>
          <cell r="BX665" t="str">
            <v>22.48815</v>
          </cell>
          <cell r="BY665" t="str">
            <v>C1</v>
          </cell>
          <cell r="BZ665" t="str">
            <v>Oake Shit Gyi Village, Ayartaw Township, Monywa, Sagaing Division</v>
          </cell>
          <cell r="CA665" t="str">
            <v>U Kyaw Shwe</v>
          </cell>
          <cell r="CB665" t="str">
            <v>10Jun15:C1 SAR Sub</v>
          </cell>
          <cell r="CC665" t="str">
            <v>Village</v>
          </cell>
          <cell r="CE665">
            <v>0</v>
          </cell>
          <cell r="CF665">
            <v>42228</v>
          </cell>
          <cell r="CG665">
            <v>42165</v>
          </cell>
          <cell r="CH665">
            <v>42230</v>
          </cell>
          <cell r="CJ665">
            <v>42193</v>
          </cell>
          <cell r="CK665" t="str">
            <v>45</v>
          </cell>
          <cell r="CL665" t="str">
            <v>47</v>
          </cell>
          <cell r="CM665" t="str">
            <v>50</v>
          </cell>
          <cell r="CN665">
            <v>0</v>
          </cell>
          <cell r="CO665">
            <v>42233</v>
          </cell>
          <cell r="CP665">
            <v>42195</v>
          </cell>
          <cell r="CQ665" t="str">
            <v>M4: solar + DG + battery</v>
          </cell>
          <cell r="CR665">
            <v>0</v>
          </cell>
          <cell r="CS665">
            <v>42234</v>
          </cell>
          <cell r="CT665">
            <v>42199</v>
          </cell>
          <cell r="CU665" t="str">
            <v>TN0457</v>
          </cell>
          <cell r="DH665">
            <v>0</v>
          </cell>
          <cell r="DI665">
            <v>42244</v>
          </cell>
          <cell r="DK665">
            <v>42241</v>
          </cell>
          <cell r="DL665">
            <v>42198</v>
          </cell>
          <cell r="DM665">
            <v>42245</v>
          </cell>
          <cell r="DN665">
            <v>42198</v>
          </cell>
          <cell r="DO665">
            <v>0</v>
          </cell>
          <cell r="DP665">
            <v>42244</v>
          </cell>
          <cell r="DT665">
            <v>0</v>
          </cell>
          <cell r="DU665">
            <v>42259</v>
          </cell>
          <cell r="DW665">
            <v>0</v>
          </cell>
          <cell r="DY665">
            <v>42245</v>
          </cell>
          <cell r="EA665" t="str">
            <v>Leadcom</v>
          </cell>
          <cell r="EJ665">
            <v>0</v>
          </cell>
          <cell r="EK665">
            <v>42260</v>
          </cell>
          <cell r="EM665">
            <v>42261</v>
          </cell>
          <cell r="EQ665">
            <v>42268</v>
          </cell>
          <cell r="EW665">
            <v>0</v>
          </cell>
          <cell r="EX665">
            <v>42282</v>
          </cell>
          <cell r="EZ665">
            <v>42278</v>
          </cell>
          <cell r="FB665">
            <v>42280</v>
          </cell>
          <cell r="FU665">
            <v>42282</v>
          </cell>
          <cell r="FW665">
            <v>42282</v>
          </cell>
          <cell r="GI665">
            <v>42246</v>
          </cell>
          <cell r="GJ665">
            <v>0</v>
          </cell>
          <cell r="GN665" t="str">
            <v>ERICSSON</v>
          </cell>
          <cell r="GS665" t="str">
            <v>4/4/4</v>
          </cell>
          <cell r="GU665" t="str">
            <v xml:space="preserve">		</v>
          </cell>
          <cell r="HD665">
            <v>1</v>
          </cell>
        </row>
        <row r="666">
          <cell r="A666" t="str">
            <v>TN0458</v>
          </cell>
          <cell r="B666" t="str">
            <v>ASTN_0021</v>
          </cell>
          <cell r="C666" t="str">
            <v>Apollo</v>
          </cell>
          <cell r="D666" t="str">
            <v>Robert</v>
          </cell>
          <cell r="F666" t="str">
            <v>Phyo Wai Maung</v>
          </cell>
          <cell r="G666" t="str">
            <v>Aye Myat Myat Moe</v>
          </cell>
          <cell r="H666" t="str">
            <v>RED</v>
          </cell>
          <cell r="I666" t="str">
            <v>South</v>
          </cell>
          <cell r="J666" t="str">
            <v>98.115</v>
          </cell>
          <cell r="K666" t="str">
            <v>13.9731</v>
          </cell>
          <cell r="L666" t="str">
            <v>SubUrban</v>
          </cell>
          <cell r="M666" t="str">
            <v>Tanintharyi</v>
          </cell>
          <cell r="N666" t="str">
            <v>Launglon</v>
          </cell>
          <cell r="O666" t="str">
            <v>Launglon</v>
          </cell>
          <cell r="P666" t="str">
            <v>Tanintharyi</v>
          </cell>
          <cell r="Q666" t="str">
            <v>23</v>
          </cell>
          <cell r="R666" t="str">
            <v>Launglon</v>
          </cell>
          <cell r="S666" t="str">
            <v>80</v>
          </cell>
          <cell r="T666" t="str">
            <v>GSM+UMTS</v>
          </cell>
          <cell r="W666" t="str">
            <v>Ph2-Priority</v>
          </cell>
          <cell r="X666" t="str">
            <v>35</v>
          </cell>
          <cell r="Y666" t="str">
            <v>37</v>
          </cell>
          <cell r="Z666" t="str">
            <v>GBT</v>
          </cell>
          <cell r="AA666" t="str">
            <v>250</v>
          </cell>
          <cell r="AB666" t="str">
            <v>Access</v>
          </cell>
          <cell r="AC666" t="str">
            <v>Class B</v>
          </cell>
          <cell r="BE666" t="str">
            <v>Route 14 Dawei - Myeik</v>
          </cell>
          <cell r="BH666" t="str">
            <v>Leadcom</v>
          </cell>
          <cell r="BJ666">
            <v>42162</v>
          </cell>
          <cell r="BK666">
            <v>42141</v>
          </cell>
          <cell r="BL666">
            <v>42167</v>
          </cell>
          <cell r="BT666">
            <v>68</v>
          </cell>
          <cell r="BU666">
            <v>42227</v>
          </cell>
          <cell r="BV666">
            <v>42242</v>
          </cell>
          <cell r="BW666" t="str">
            <v>98.11364</v>
          </cell>
          <cell r="BX666" t="str">
            <v>13.97475</v>
          </cell>
          <cell r="BY666" t="str">
            <v>C1</v>
          </cell>
          <cell r="BZ666" t="str">
            <v>No(136),Myo Pat Road,(D) Ward , Long Lon City</v>
          </cell>
          <cell r="CA666" t="str">
            <v>Daw Than Shwe,09250127658</v>
          </cell>
          <cell r="CB666" t="str">
            <v>27 Aug 15 : C1 SAR app as an option 1(TND approve. Site dependence on repeater TN0548_R1 ( 14.012946 , 98.083244 ) , 35m);26 Aug 15: C1 SAR sub</v>
          </cell>
          <cell r="CC666" t="str">
            <v>Garden Land</v>
          </cell>
          <cell r="CE666">
            <v>0</v>
          </cell>
          <cell r="CF666">
            <v>42228</v>
          </cell>
          <cell r="CG666">
            <v>42243</v>
          </cell>
          <cell r="CH666">
            <v>42230</v>
          </cell>
          <cell r="CJ666">
            <v>42245</v>
          </cell>
          <cell r="CK666" t="str">
            <v>35</v>
          </cell>
          <cell r="CL666" t="str">
            <v>37</v>
          </cell>
          <cell r="CM666" t="str">
            <v>40</v>
          </cell>
          <cell r="CN666">
            <v>0</v>
          </cell>
          <cell r="CO666">
            <v>42233</v>
          </cell>
          <cell r="CP666">
            <v>42247</v>
          </cell>
          <cell r="CQ666" t="str">
            <v>M4: solar + DG + battery</v>
          </cell>
          <cell r="CR666">
            <v>0</v>
          </cell>
          <cell r="CS666">
            <v>42234</v>
          </cell>
          <cell r="CT666">
            <v>42248</v>
          </cell>
          <cell r="CU666" t="str">
            <v>TN0458</v>
          </cell>
          <cell r="DH666">
            <v>0</v>
          </cell>
          <cell r="DI666">
            <v>42244</v>
          </cell>
          <cell r="DJ666">
            <v>42217</v>
          </cell>
          <cell r="DK666">
            <v>42241</v>
          </cell>
          <cell r="DM666">
            <v>42245</v>
          </cell>
          <cell r="DO666">
            <v>0</v>
          </cell>
          <cell r="DP666">
            <v>42244</v>
          </cell>
          <cell r="DT666">
            <v>0</v>
          </cell>
          <cell r="DU666">
            <v>42259</v>
          </cell>
          <cell r="DW666">
            <v>0</v>
          </cell>
          <cell r="DY666">
            <v>42245</v>
          </cell>
          <cell r="EA666" t="str">
            <v>Leadcom</v>
          </cell>
          <cell r="EJ666">
            <v>0</v>
          </cell>
          <cell r="EK666">
            <v>42260</v>
          </cell>
          <cell r="EM666">
            <v>42261</v>
          </cell>
          <cell r="EQ666">
            <v>42268</v>
          </cell>
          <cell r="EW666">
            <v>0</v>
          </cell>
          <cell r="EX666">
            <v>42282</v>
          </cell>
          <cell r="EZ666">
            <v>42278</v>
          </cell>
          <cell r="FB666">
            <v>42280</v>
          </cell>
          <cell r="FU666">
            <v>42282</v>
          </cell>
          <cell r="FW666">
            <v>42282</v>
          </cell>
          <cell r="GJ666">
            <v>0</v>
          </cell>
          <cell r="GN666" t="str">
            <v>ERICSSON</v>
          </cell>
          <cell r="GS666" t="str">
            <v>4/4/4</v>
          </cell>
          <cell r="GU666" t="str">
            <v xml:space="preserve">		</v>
          </cell>
          <cell r="HD666">
            <v>1</v>
          </cell>
        </row>
        <row r="667">
          <cell r="A667" t="str">
            <v>TN0459</v>
          </cell>
          <cell r="B667" t="str">
            <v>ASTN_0022</v>
          </cell>
          <cell r="C667" t="str">
            <v>Apollo</v>
          </cell>
          <cell r="D667" t="str">
            <v>Robert</v>
          </cell>
          <cell r="F667" t="str">
            <v>Phyo Wai Maung</v>
          </cell>
          <cell r="G667" t="str">
            <v>Aye Myat Myat Moe</v>
          </cell>
          <cell r="H667" t="str">
            <v>RED</v>
          </cell>
          <cell r="I667" t="str">
            <v>South</v>
          </cell>
          <cell r="J667" t="str">
            <v>98.1718</v>
          </cell>
          <cell r="K667" t="str">
            <v>14.0916</v>
          </cell>
          <cell r="L667" t="str">
            <v>Rural</v>
          </cell>
          <cell r="M667" t="str">
            <v>Tanintharyi</v>
          </cell>
          <cell r="N667" t="str">
            <v>Launglon</v>
          </cell>
          <cell r="O667" t="str">
            <v>Launglon</v>
          </cell>
          <cell r="P667" t="str">
            <v>Tanintharyi</v>
          </cell>
          <cell r="Q667" t="str">
            <v>23</v>
          </cell>
          <cell r="R667" t="str">
            <v>Launglon</v>
          </cell>
          <cell r="S667" t="str">
            <v>80</v>
          </cell>
          <cell r="T667" t="str">
            <v>GSM+UMTS</v>
          </cell>
          <cell r="U667" t="str">
            <v>YAN-N018</v>
          </cell>
          <cell r="V667" t="str">
            <v>1</v>
          </cell>
          <cell r="W667" t="str">
            <v>Ph2-Priority</v>
          </cell>
          <cell r="X667" t="str">
            <v>45</v>
          </cell>
          <cell r="Y667" t="str">
            <v>47</v>
          </cell>
          <cell r="Z667" t="str">
            <v>GBT</v>
          </cell>
          <cell r="AA667" t="str">
            <v>250</v>
          </cell>
          <cell r="AB667" t="str">
            <v>Access</v>
          </cell>
          <cell r="AC667" t="str">
            <v>Class C</v>
          </cell>
          <cell r="AD667" t="str">
            <v>1210.77</v>
          </cell>
          <cell r="AE667" t="str">
            <v>1836.84</v>
          </cell>
          <cell r="AF667" t="str">
            <v>2</v>
          </cell>
          <cell r="AG667" t="str">
            <v>YN0334</v>
          </cell>
          <cell r="AH667" t="str">
            <v>YN0298</v>
          </cell>
          <cell r="BC667" t="str">
            <v>YN0298</v>
          </cell>
          <cell r="BE667" t="str">
            <v>Route 13 Mawlamyine-Dawei</v>
          </cell>
          <cell r="BF667">
            <v>41760</v>
          </cell>
          <cell r="BG667">
            <v>42049</v>
          </cell>
          <cell r="BH667" t="str">
            <v>Leadcom</v>
          </cell>
          <cell r="BJ667">
            <v>42160</v>
          </cell>
          <cell r="BK667">
            <v>41766</v>
          </cell>
          <cell r="BL667">
            <v>42165</v>
          </cell>
          <cell r="BT667">
            <v>467</v>
          </cell>
          <cell r="BU667">
            <v>42203</v>
          </cell>
          <cell r="BV667">
            <v>42234</v>
          </cell>
          <cell r="BW667" t="str">
            <v>98.17232</v>
          </cell>
          <cell r="BX667" t="str">
            <v>14.09161</v>
          </cell>
          <cell r="BY667" t="str">
            <v>C2</v>
          </cell>
          <cell r="CB667" t="str">
            <v>18 Aug 15:C2 SAR sub</v>
          </cell>
          <cell r="CC667" t="str">
            <v>GARDEN LAND</v>
          </cell>
          <cell r="CE667">
            <v>0</v>
          </cell>
          <cell r="CF667">
            <v>42204</v>
          </cell>
          <cell r="CG667">
            <v>42235</v>
          </cell>
          <cell r="CH667">
            <v>42206</v>
          </cell>
          <cell r="CN667">
            <v>0</v>
          </cell>
          <cell r="CO667">
            <v>42209</v>
          </cell>
          <cell r="CR667">
            <v>0</v>
          </cell>
          <cell r="CS667">
            <v>42210</v>
          </cell>
          <cell r="CU667" t="str">
            <v>TN0459</v>
          </cell>
          <cell r="DH667">
            <v>0</v>
          </cell>
          <cell r="DI667">
            <v>42220</v>
          </cell>
          <cell r="DK667">
            <v>42217</v>
          </cell>
          <cell r="DM667">
            <v>42221</v>
          </cell>
          <cell r="DO667">
            <v>0</v>
          </cell>
          <cell r="DP667">
            <v>42220</v>
          </cell>
          <cell r="DR667" t="str">
            <v>YCDC</v>
          </cell>
          <cell r="DT667">
            <v>0</v>
          </cell>
          <cell r="DU667">
            <v>42235</v>
          </cell>
          <cell r="DW667">
            <v>0</v>
          </cell>
          <cell r="DY667">
            <v>42221</v>
          </cell>
          <cell r="EA667" t="str">
            <v>Leadcom</v>
          </cell>
          <cell r="EJ667">
            <v>0</v>
          </cell>
          <cell r="EK667">
            <v>42238</v>
          </cell>
          <cell r="EM667">
            <v>42239</v>
          </cell>
          <cell r="EQ667">
            <v>42248</v>
          </cell>
          <cell r="EW667">
            <v>0</v>
          </cell>
          <cell r="EX667">
            <v>42262</v>
          </cell>
          <cell r="EZ667">
            <v>42258</v>
          </cell>
          <cell r="FB667">
            <v>42260</v>
          </cell>
          <cell r="FD667">
            <v>41932</v>
          </cell>
          <cell r="FF667">
            <v>41939</v>
          </cell>
          <cell r="FH667">
            <v>41941</v>
          </cell>
          <cell r="FJ667">
            <v>41944</v>
          </cell>
          <cell r="FN667">
            <v>41948</v>
          </cell>
          <cell r="FP667">
            <v>41950</v>
          </cell>
          <cell r="FR667">
            <v>41964</v>
          </cell>
          <cell r="FU667">
            <v>42262</v>
          </cell>
          <cell r="FW667">
            <v>42262</v>
          </cell>
          <cell r="GJ667">
            <v>0</v>
          </cell>
          <cell r="GN667" t="str">
            <v>ERICSSON</v>
          </cell>
          <cell r="GS667" t="str">
            <v>4/4/4</v>
          </cell>
          <cell r="GU667" t="str">
            <v xml:space="preserve">		</v>
          </cell>
          <cell r="HD667">
            <v>1</v>
          </cell>
        </row>
        <row r="668">
          <cell r="A668" t="str">
            <v>TN0461</v>
          </cell>
          <cell r="B668" t="str">
            <v>ASTN_0023</v>
          </cell>
          <cell r="C668" t="str">
            <v>Apollo</v>
          </cell>
          <cell r="D668" t="str">
            <v>Robert</v>
          </cell>
          <cell r="F668" t="str">
            <v>Phyo Wai Maung</v>
          </cell>
          <cell r="G668" t="str">
            <v>Aye Myat Myat Moe</v>
          </cell>
          <cell r="H668" t="str">
            <v>RED</v>
          </cell>
          <cell r="I668" t="str">
            <v>South</v>
          </cell>
          <cell r="J668" t="str">
            <v>98.1006</v>
          </cell>
          <cell r="K668" t="str">
            <v>14.0971</v>
          </cell>
          <cell r="L668" t="str">
            <v>Rural</v>
          </cell>
          <cell r="M668" t="str">
            <v>Tanintharyi</v>
          </cell>
          <cell r="N668" t="str">
            <v>Launglon</v>
          </cell>
          <cell r="O668" t="str">
            <v>Launglon</v>
          </cell>
          <cell r="P668" t="str">
            <v>Tanintharyi</v>
          </cell>
          <cell r="Q668" t="str">
            <v>23</v>
          </cell>
          <cell r="R668" t="str">
            <v>Launglon</v>
          </cell>
          <cell r="S668" t="str">
            <v>80</v>
          </cell>
          <cell r="T668" t="str">
            <v>GSM+UMTS</v>
          </cell>
          <cell r="U668" t="str">
            <v>YAN-N031</v>
          </cell>
          <cell r="V668" t="str">
            <v>1</v>
          </cell>
          <cell r="W668" t="str">
            <v>Ph2-Priority</v>
          </cell>
          <cell r="X668" t="str">
            <v>45</v>
          </cell>
          <cell r="Y668" t="str">
            <v>47</v>
          </cell>
          <cell r="Z668" t="str">
            <v>GBT</v>
          </cell>
          <cell r="AA668" t="str">
            <v>500</v>
          </cell>
          <cell r="AB668" t="str">
            <v>Access</v>
          </cell>
          <cell r="AC668" t="str">
            <v>Class C</v>
          </cell>
          <cell r="AD668" t="str">
            <v>1210.77</v>
          </cell>
          <cell r="AE668" t="str">
            <v>1836.84</v>
          </cell>
          <cell r="AF668" t="str">
            <v>1</v>
          </cell>
          <cell r="AG668" t="str">
            <v>YN0989</v>
          </cell>
          <cell r="AH668" t="str">
            <v>YN0919</v>
          </cell>
          <cell r="BC668" t="str">
            <v>YN0919</v>
          </cell>
          <cell r="BE668" t="str">
            <v>Route 13 Mawlamyine-Dawei</v>
          </cell>
          <cell r="BF668">
            <v>42034</v>
          </cell>
          <cell r="BG668">
            <v>42077</v>
          </cell>
          <cell r="BH668" t="str">
            <v>Leadcom</v>
          </cell>
          <cell r="BJ668">
            <v>42160</v>
          </cell>
          <cell r="BK668">
            <v>42128</v>
          </cell>
          <cell r="BL668">
            <v>42165</v>
          </cell>
          <cell r="BT668">
            <v>105</v>
          </cell>
          <cell r="BU668">
            <v>42189</v>
          </cell>
          <cell r="BV668">
            <v>42234</v>
          </cell>
          <cell r="BW668" t="str">
            <v>98.09981</v>
          </cell>
          <cell r="BX668" t="str">
            <v>14.09694</v>
          </cell>
          <cell r="BY668" t="str">
            <v>C2</v>
          </cell>
          <cell r="BZ668" t="str">
            <v>No(266),Pyin Gyi Village,Kyauck Sin Village Track,LongLon City,Dawei</v>
          </cell>
          <cell r="CA668" t="str">
            <v>U Maung Aye,0942206696/09253312036</v>
          </cell>
          <cell r="CB668" t="str">
            <v>18 Aug 15:C2 SAR sub</v>
          </cell>
          <cell r="CC668" t="str">
            <v>GARDEN LAND</v>
          </cell>
          <cell r="CE668">
            <v>0</v>
          </cell>
          <cell r="CF668">
            <v>42190</v>
          </cell>
          <cell r="CG668">
            <v>42235</v>
          </cell>
          <cell r="CH668">
            <v>42192</v>
          </cell>
          <cell r="CJ668">
            <v>42245</v>
          </cell>
          <cell r="CK668" t="str">
            <v>45</v>
          </cell>
          <cell r="CL668" t="str">
            <v>47</v>
          </cell>
          <cell r="CM668" t="str">
            <v>50</v>
          </cell>
          <cell r="CN668">
            <v>0</v>
          </cell>
          <cell r="CO668">
            <v>42195</v>
          </cell>
          <cell r="CP668">
            <v>42247</v>
          </cell>
          <cell r="CQ668" t="str">
            <v>M4: solar + DG + battery</v>
          </cell>
          <cell r="CR668">
            <v>0</v>
          </cell>
          <cell r="CS668">
            <v>42196</v>
          </cell>
          <cell r="CT668">
            <v>42248</v>
          </cell>
          <cell r="CU668" t="str">
            <v>TN0461</v>
          </cell>
          <cell r="DH668">
            <v>0</v>
          </cell>
          <cell r="DI668">
            <v>42206</v>
          </cell>
          <cell r="DK668">
            <v>42203</v>
          </cell>
          <cell r="DM668">
            <v>42207</v>
          </cell>
          <cell r="DO668">
            <v>0</v>
          </cell>
          <cell r="DP668">
            <v>42206</v>
          </cell>
          <cell r="DR668" t="str">
            <v>YCDC</v>
          </cell>
          <cell r="DT668">
            <v>0</v>
          </cell>
          <cell r="DU668">
            <v>42221</v>
          </cell>
          <cell r="DW668">
            <v>0</v>
          </cell>
          <cell r="DY668">
            <v>42207</v>
          </cell>
          <cell r="EA668" t="str">
            <v>Leadcom</v>
          </cell>
          <cell r="EJ668">
            <v>0</v>
          </cell>
          <cell r="EK668">
            <v>42224</v>
          </cell>
          <cell r="EM668">
            <v>42225</v>
          </cell>
          <cell r="EQ668">
            <v>42234</v>
          </cell>
          <cell r="EW668">
            <v>0</v>
          </cell>
          <cell r="EX668">
            <v>42248</v>
          </cell>
          <cell r="EZ668">
            <v>42244</v>
          </cell>
          <cell r="FB668">
            <v>42246</v>
          </cell>
          <cell r="FD668">
            <v>41934</v>
          </cell>
          <cell r="FF668">
            <v>41941</v>
          </cell>
          <cell r="FH668">
            <v>41943</v>
          </cell>
          <cell r="FJ668">
            <v>41946</v>
          </cell>
          <cell r="FN668">
            <v>41950</v>
          </cell>
          <cell r="FP668">
            <v>41952</v>
          </cell>
          <cell r="FR668">
            <v>41966</v>
          </cell>
          <cell r="FU668">
            <v>42248</v>
          </cell>
          <cell r="FW668">
            <v>42248</v>
          </cell>
          <cell r="GJ668">
            <v>0</v>
          </cell>
          <cell r="GN668" t="str">
            <v>ERICSSON</v>
          </cell>
          <cell r="GU668" t="str">
            <v xml:space="preserve">		</v>
          </cell>
          <cell r="HD668">
            <v>1</v>
          </cell>
        </row>
        <row r="669">
          <cell r="A669" t="str">
            <v>TN0464</v>
          </cell>
          <cell r="B669" t="str">
            <v>ASTN_0024</v>
          </cell>
          <cell r="C669" t="str">
            <v>Apollo</v>
          </cell>
          <cell r="D669" t="str">
            <v>Robert</v>
          </cell>
          <cell r="F669" t="str">
            <v>Phyo Wai Maung</v>
          </cell>
          <cell r="G669" t="str">
            <v>Aye Myat Myat Moe</v>
          </cell>
          <cell r="H669" t="str">
            <v>RED</v>
          </cell>
          <cell r="I669" t="str">
            <v>South</v>
          </cell>
          <cell r="J669" t="str">
            <v>98.1539</v>
          </cell>
          <cell r="K669" t="str">
            <v>14.2421</v>
          </cell>
          <cell r="L669" t="str">
            <v>Rural</v>
          </cell>
          <cell r="M669" t="str">
            <v>Tanintharyi</v>
          </cell>
          <cell r="N669" t="str">
            <v>Yebyu</v>
          </cell>
          <cell r="O669" t="str">
            <v>Yebyu</v>
          </cell>
          <cell r="P669" t="str">
            <v>Tanintharyi</v>
          </cell>
          <cell r="Q669" t="str">
            <v>23</v>
          </cell>
          <cell r="R669" t="str">
            <v>Yebyu</v>
          </cell>
          <cell r="S669" t="str">
            <v>82</v>
          </cell>
          <cell r="T669" t="str">
            <v>GSM+UMTS</v>
          </cell>
          <cell r="W669" t="str">
            <v>Ph2-Priority</v>
          </cell>
          <cell r="X669" t="str">
            <v>45</v>
          </cell>
          <cell r="Y669" t="str">
            <v>47</v>
          </cell>
          <cell r="Z669" t="str">
            <v>GBT</v>
          </cell>
          <cell r="AA669" t="str">
            <v>500</v>
          </cell>
          <cell r="AB669" t="str">
            <v>Access</v>
          </cell>
          <cell r="AC669" t="str">
            <v>Class C</v>
          </cell>
          <cell r="BE669" t="str">
            <v>Route 13 Mawlamyine-Dawei</v>
          </cell>
          <cell r="BH669" t="str">
            <v>Leadcom</v>
          </cell>
          <cell r="BJ669">
            <v>42160</v>
          </cell>
          <cell r="BK669">
            <v>42161</v>
          </cell>
          <cell r="BL669">
            <v>42165</v>
          </cell>
          <cell r="BM669">
            <v>42161</v>
          </cell>
          <cell r="BT669">
            <v>10</v>
          </cell>
          <cell r="BU669">
            <v>42189</v>
          </cell>
          <cell r="BV669">
            <v>42234</v>
          </cell>
          <cell r="BW669" t="str">
            <v>98.15124</v>
          </cell>
          <cell r="BX669" t="str">
            <v>14.24542</v>
          </cell>
          <cell r="BY669" t="str">
            <v>C2</v>
          </cell>
          <cell r="BZ669" t="str">
            <v>No.(21), Thit To Dauk Village, Construction Main Road, Yoe Phyu City</v>
          </cell>
          <cell r="CA669" t="str">
            <v>U Win Maung,09788347785</v>
          </cell>
          <cell r="CB669" t="str">
            <v>18 Aug 15:C2 SAR sub</v>
          </cell>
          <cell r="CC669" t="str">
            <v>GARDEN LAND</v>
          </cell>
          <cell r="CE669">
            <v>0</v>
          </cell>
          <cell r="CF669">
            <v>42190</v>
          </cell>
          <cell r="CG669">
            <v>42235</v>
          </cell>
          <cell r="CH669">
            <v>42192</v>
          </cell>
          <cell r="CJ669">
            <v>42242</v>
          </cell>
          <cell r="CK669" t="str">
            <v>45</v>
          </cell>
          <cell r="CL669" t="str">
            <v>47</v>
          </cell>
          <cell r="CM669" t="str">
            <v>50</v>
          </cell>
          <cell r="CN669">
            <v>0</v>
          </cell>
          <cell r="CO669">
            <v>42195</v>
          </cell>
          <cell r="CP669">
            <v>42244</v>
          </cell>
          <cell r="CQ669" t="str">
            <v>M4: solar + DG + battery</v>
          </cell>
          <cell r="CR669">
            <v>0</v>
          </cell>
          <cell r="CS669">
            <v>42196</v>
          </cell>
          <cell r="CT669">
            <v>42247</v>
          </cell>
          <cell r="CU669" t="str">
            <v>TN0464</v>
          </cell>
          <cell r="DH669">
            <v>0</v>
          </cell>
          <cell r="DI669">
            <v>42206</v>
          </cell>
          <cell r="DJ669">
            <v>42201</v>
          </cell>
          <cell r="DK669">
            <v>42203</v>
          </cell>
          <cell r="DL669">
            <v>42195</v>
          </cell>
          <cell r="DM669">
            <v>42207</v>
          </cell>
          <cell r="DN669">
            <v>42195</v>
          </cell>
          <cell r="DO669">
            <v>0</v>
          </cell>
          <cell r="DP669">
            <v>42206</v>
          </cell>
          <cell r="DQ669">
            <v>42201</v>
          </cell>
          <cell r="DT669">
            <v>0</v>
          </cell>
          <cell r="DU669">
            <v>42221</v>
          </cell>
          <cell r="DW669">
            <v>0</v>
          </cell>
          <cell r="DY669">
            <v>42207</v>
          </cell>
          <cell r="DZ669">
            <v>42195</v>
          </cell>
          <cell r="EA669" t="str">
            <v>Leadcom</v>
          </cell>
          <cell r="ED669" t="str">
            <v xml:space="preserve">29Jul15 :zinwin.htun: Lean cncrt cst finish.Rebar installation ongoing.Footing formwork making finish.Footing cst will start on 29-Jul-2015.
</v>
          </cell>
          <cell r="EE669" t="str">
            <v xml:space="preserve">10 Aug 15:Rain affected_Progress affected; 4-Aug-15:Site is affected by heavy rain								</v>
          </cell>
          <cell r="EJ669">
            <v>0</v>
          </cell>
          <cell r="EK669">
            <v>42224</v>
          </cell>
          <cell r="EL669">
            <v>42225</v>
          </cell>
          <cell r="EM669">
            <v>42225</v>
          </cell>
          <cell r="EQ669">
            <v>42234</v>
          </cell>
          <cell r="EW669">
            <v>0</v>
          </cell>
          <cell r="EX669">
            <v>42248</v>
          </cell>
          <cell r="EZ669">
            <v>42244</v>
          </cell>
          <cell r="FB669">
            <v>42246</v>
          </cell>
          <cell r="FU669">
            <v>42248</v>
          </cell>
          <cell r="FW669">
            <v>42248</v>
          </cell>
          <cell r="GJ669">
            <v>0</v>
          </cell>
          <cell r="GN669" t="str">
            <v>ERICSSON</v>
          </cell>
          <cell r="GS669" t="str">
            <v>4/4/4</v>
          </cell>
          <cell r="GU669" t="str">
            <v xml:space="preserve">		</v>
          </cell>
          <cell r="HD669">
            <v>1</v>
          </cell>
        </row>
        <row r="670">
          <cell r="A670" t="str">
            <v>TN0465</v>
          </cell>
          <cell r="B670" t="str">
            <v>ASTN_0025</v>
          </cell>
          <cell r="C670" t="str">
            <v>Apollo</v>
          </cell>
          <cell r="D670" t="str">
            <v>Robert</v>
          </cell>
          <cell r="F670" t="str">
            <v>Phyo Wai Maung</v>
          </cell>
          <cell r="G670" t="str">
            <v>Aye Myat Myat Moe</v>
          </cell>
          <cell r="H670" t="str">
            <v>RED</v>
          </cell>
          <cell r="I670" t="str">
            <v>South</v>
          </cell>
          <cell r="J670" t="str">
            <v>98.1863</v>
          </cell>
          <cell r="K670" t="str">
            <v>14.1905</v>
          </cell>
          <cell r="L670" t="str">
            <v>Rural</v>
          </cell>
          <cell r="M670" t="str">
            <v>Tanintharyi</v>
          </cell>
          <cell r="N670" t="str">
            <v>Yebyu</v>
          </cell>
          <cell r="O670" t="str">
            <v>Yebyu</v>
          </cell>
          <cell r="P670" t="str">
            <v>Tanintharyi</v>
          </cell>
          <cell r="Q670" t="str">
            <v>23</v>
          </cell>
          <cell r="R670" t="str">
            <v>Yebyu</v>
          </cell>
          <cell r="S670" t="str">
            <v>82</v>
          </cell>
          <cell r="T670" t="str">
            <v>GSM+UMTS</v>
          </cell>
          <cell r="W670" t="str">
            <v>Ph2-Priority</v>
          </cell>
          <cell r="X670" t="str">
            <v>45</v>
          </cell>
          <cell r="Y670" t="str">
            <v>47</v>
          </cell>
          <cell r="Z670" t="str">
            <v>GBT</v>
          </cell>
          <cell r="AA670" t="str">
            <v>500</v>
          </cell>
          <cell r="AB670" t="str">
            <v>Access</v>
          </cell>
          <cell r="AC670" t="str">
            <v>Class C</v>
          </cell>
          <cell r="BE670" t="str">
            <v>Route 13 Mawlamyine-Dawei</v>
          </cell>
          <cell r="BH670" t="str">
            <v>Leadcom</v>
          </cell>
          <cell r="BJ670">
            <v>42160</v>
          </cell>
          <cell r="BK670">
            <v>42153</v>
          </cell>
          <cell r="BL670">
            <v>42165</v>
          </cell>
          <cell r="BM670">
            <v>42160</v>
          </cell>
          <cell r="BT670">
            <v>17</v>
          </cell>
          <cell r="BU670">
            <v>42189</v>
          </cell>
          <cell r="BV670">
            <v>42236</v>
          </cell>
          <cell r="BW670" t="str">
            <v>95.2283</v>
          </cell>
          <cell r="BX670" t="str">
            <v>23.41206</v>
          </cell>
          <cell r="BY670" t="str">
            <v>C3</v>
          </cell>
          <cell r="BZ670" t="str">
            <v>Late Sing Taung Village, Kyun Hla Township, Sagaing Region</v>
          </cell>
          <cell r="CA670" t="str">
            <v>Daw Mya Tin;09-252334746</v>
          </cell>
          <cell r="CB670" t="str">
            <v>20 Aug 15 : C3 SAR sub;19 Aug 15 : C2 SAR rejected(RND rejected because this site is 654m far from the nominal point and out off search ring. This candidate's surrounding population area is weaker than the nominal surrounding area. Please find the new candidate within the search ring.);18 Aug 15:C2 SAR sub</v>
          </cell>
          <cell r="CC670" t="str">
            <v>GARDEN LAND</v>
          </cell>
          <cell r="CE670">
            <v>0</v>
          </cell>
          <cell r="CF670">
            <v>42190</v>
          </cell>
          <cell r="CG670">
            <v>42171</v>
          </cell>
          <cell r="CH670">
            <v>42192</v>
          </cell>
          <cell r="CJ670">
            <v>42179</v>
          </cell>
          <cell r="CK670" t="str">
            <v>47</v>
          </cell>
          <cell r="CL670" t="str">
            <v>50</v>
          </cell>
          <cell r="CM670" t="str">
            <v>50</v>
          </cell>
          <cell r="CN670">
            <v>0</v>
          </cell>
          <cell r="CO670">
            <v>42195</v>
          </cell>
          <cell r="CP670">
            <v>42181</v>
          </cell>
          <cell r="CQ670" t="str">
            <v>M4: solar + DG + battery</v>
          </cell>
          <cell r="CR670">
            <v>0</v>
          </cell>
          <cell r="CS670">
            <v>42196</v>
          </cell>
          <cell r="CT670">
            <v>42185</v>
          </cell>
          <cell r="CU670" t="str">
            <v>TN0465</v>
          </cell>
          <cell r="DH670">
            <v>0</v>
          </cell>
          <cell r="DI670">
            <v>42206</v>
          </cell>
          <cell r="DK670">
            <v>42203</v>
          </cell>
          <cell r="DL670">
            <v>42179</v>
          </cell>
          <cell r="DM670">
            <v>42207</v>
          </cell>
          <cell r="DO670">
            <v>0</v>
          </cell>
          <cell r="DP670">
            <v>42206</v>
          </cell>
          <cell r="DT670">
            <v>0</v>
          </cell>
          <cell r="DU670">
            <v>42221</v>
          </cell>
          <cell r="DW670">
            <v>0</v>
          </cell>
          <cell r="DY670">
            <v>42207</v>
          </cell>
          <cell r="EA670" t="str">
            <v>Leadcom</v>
          </cell>
          <cell r="EJ670">
            <v>0</v>
          </cell>
          <cell r="EK670">
            <v>42224</v>
          </cell>
          <cell r="EM670">
            <v>42225</v>
          </cell>
          <cell r="EQ670">
            <v>42234</v>
          </cell>
          <cell r="EW670">
            <v>0</v>
          </cell>
          <cell r="EX670">
            <v>42248</v>
          </cell>
          <cell r="EZ670">
            <v>42244</v>
          </cell>
          <cell r="FB670">
            <v>42246</v>
          </cell>
          <cell r="FU670">
            <v>42248</v>
          </cell>
          <cell r="FW670">
            <v>42248</v>
          </cell>
          <cell r="GI670">
            <v>42215</v>
          </cell>
          <cell r="GJ670">
            <v>0</v>
          </cell>
          <cell r="GN670" t="str">
            <v>ERICSSON</v>
          </cell>
          <cell r="GU670" t="str">
            <v xml:space="preserve">		</v>
          </cell>
          <cell r="HD670">
            <v>1</v>
          </cell>
        </row>
        <row r="671">
          <cell r="A671" t="str">
            <v>TN0489</v>
          </cell>
          <cell r="B671" t="str">
            <v>ASTN_0026</v>
          </cell>
          <cell r="C671" t="str">
            <v>Apollo</v>
          </cell>
          <cell r="D671" t="str">
            <v>Robert</v>
          </cell>
          <cell r="F671" t="str">
            <v>Phyo Wai Maung</v>
          </cell>
          <cell r="G671" t="str">
            <v>Aye Myat Myat Moe</v>
          </cell>
          <cell r="H671" t="str">
            <v>RED</v>
          </cell>
          <cell r="I671" t="str">
            <v>South</v>
          </cell>
          <cell r="J671" t="str">
            <v>98.543534</v>
          </cell>
          <cell r="K671" t="str">
            <v>10.045979</v>
          </cell>
          <cell r="L671" t="str">
            <v>Suburban</v>
          </cell>
          <cell r="M671" t="str">
            <v>Tanintharyi</v>
          </cell>
          <cell r="N671" t="str">
            <v>Kawthoung</v>
          </cell>
          <cell r="O671" t="str">
            <v>Kawthoung</v>
          </cell>
          <cell r="P671" t="str">
            <v>Tanintharyi</v>
          </cell>
          <cell r="Q671" t="str">
            <v>23</v>
          </cell>
          <cell r="R671" t="str">
            <v>Kawthoung</v>
          </cell>
          <cell r="S671" t="str">
            <v>87</v>
          </cell>
          <cell r="T671" t="str">
            <v>GSM+UMTS</v>
          </cell>
          <cell r="W671" t="str">
            <v>Ph2-Priority</v>
          </cell>
          <cell r="X671" t="str">
            <v>40</v>
          </cell>
          <cell r="Y671" t="str">
            <v>42</v>
          </cell>
          <cell r="Z671" t="str">
            <v>GBT</v>
          </cell>
          <cell r="AA671" t="str">
            <v>250</v>
          </cell>
          <cell r="AB671" t="str">
            <v>Access</v>
          </cell>
          <cell r="AC671" t="str">
            <v>Class B</v>
          </cell>
          <cell r="BE671" t="str">
            <v>Route 15 Taunggyi - Tachileik</v>
          </cell>
          <cell r="BH671" t="str">
            <v>Leadcom</v>
          </cell>
          <cell r="BJ671">
            <v>42160</v>
          </cell>
          <cell r="BK671">
            <v>42159</v>
          </cell>
          <cell r="BL671">
            <v>42165</v>
          </cell>
          <cell r="BT671">
            <v>73</v>
          </cell>
          <cell r="BU671">
            <v>42226</v>
          </cell>
          <cell r="BY671" t="str">
            <v>Reject</v>
          </cell>
          <cell r="CB671" t="str">
            <v>18 Aug 15 : C3 SAR rejected( RND rejected because Candidate location is lower than nominal point. If Tower Co can get candidate at ( 20.911285,  99.836412), we will accept.);16 Aug 15 : C3 SAR sub(Candidate 3 Nominated by Ministry of Forestry);26 June 15 : C1 SAR approved as an option 1 ( TND approved with 25M repeater tower SH0132_R1(20.878742, 99.849481));21JUn15: C1 SAR Sub</v>
          </cell>
          <cell r="CE671">
            <v>0</v>
          </cell>
          <cell r="CF671">
            <v>42227</v>
          </cell>
          <cell r="CH671">
            <v>42229</v>
          </cell>
          <cell r="CN671">
            <v>0</v>
          </cell>
          <cell r="CO671">
            <v>42232</v>
          </cell>
          <cell r="CQ671" t="str">
            <v>M4: solar + DG + battery</v>
          </cell>
          <cell r="CR671">
            <v>0</v>
          </cell>
          <cell r="CS671">
            <v>42233</v>
          </cell>
          <cell r="CU671" t="str">
            <v>TN0489</v>
          </cell>
          <cell r="DH671">
            <v>0</v>
          </cell>
          <cell r="DI671">
            <v>42243</v>
          </cell>
          <cell r="DK671">
            <v>42240</v>
          </cell>
          <cell r="DM671">
            <v>42244</v>
          </cell>
          <cell r="DO671">
            <v>0</v>
          </cell>
          <cell r="DP671">
            <v>42243</v>
          </cell>
          <cell r="DT671">
            <v>0</v>
          </cell>
          <cell r="DU671">
            <v>42258</v>
          </cell>
          <cell r="DW671">
            <v>0</v>
          </cell>
          <cell r="DY671">
            <v>42244</v>
          </cell>
          <cell r="EA671" t="str">
            <v>Leadcom</v>
          </cell>
          <cell r="EJ671">
            <v>0</v>
          </cell>
          <cell r="EK671">
            <v>42261</v>
          </cell>
          <cell r="EM671">
            <v>42262</v>
          </cell>
          <cell r="EQ671">
            <v>42271</v>
          </cell>
          <cell r="EW671">
            <v>0</v>
          </cell>
          <cell r="EX671">
            <v>42285</v>
          </cell>
          <cell r="EZ671">
            <v>42281</v>
          </cell>
          <cell r="FB671">
            <v>42283</v>
          </cell>
          <cell r="FU671">
            <v>42285</v>
          </cell>
          <cell r="FW671">
            <v>42285</v>
          </cell>
          <cell r="GI671">
            <v>42215</v>
          </cell>
          <cell r="GJ671">
            <v>0</v>
          </cell>
          <cell r="GN671" t="str">
            <v>ERICSSON</v>
          </cell>
          <cell r="GU671" t="str">
            <v xml:space="preserve">		</v>
          </cell>
          <cell r="HD671">
            <v>1</v>
          </cell>
        </row>
        <row r="672">
          <cell r="A672" t="str">
            <v>TN0490</v>
          </cell>
          <cell r="B672" t="str">
            <v>ASTN_0027</v>
          </cell>
          <cell r="C672" t="str">
            <v>Apollo</v>
          </cell>
          <cell r="D672" t="str">
            <v>Robert</v>
          </cell>
          <cell r="F672" t="str">
            <v>Phyo Wai Maung</v>
          </cell>
          <cell r="G672" t="str">
            <v>Aye Myat Myat Moe</v>
          </cell>
          <cell r="H672" t="str">
            <v>RED</v>
          </cell>
          <cell r="I672" t="str">
            <v>South</v>
          </cell>
          <cell r="J672" t="str">
            <v>98.510986</v>
          </cell>
          <cell r="K672" t="str">
            <v>10.023701</v>
          </cell>
          <cell r="L672" t="str">
            <v>Suburban</v>
          </cell>
          <cell r="M672" t="str">
            <v>Tanintharyi</v>
          </cell>
          <cell r="N672" t="str">
            <v>Kawthoung</v>
          </cell>
          <cell r="O672" t="str">
            <v>Kawthoung</v>
          </cell>
          <cell r="P672" t="str">
            <v>Tanintharyi</v>
          </cell>
          <cell r="Q672" t="str">
            <v>23</v>
          </cell>
          <cell r="R672" t="str">
            <v>Kawthoung</v>
          </cell>
          <cell r="S672" t="str">
            <v>87</v>
          </cell>
          <cell r="T672" t="str">
            <v>GSM+UMTS</v>
          </cell>
          <cell r="W672" t="str">
            <v>Ph2-Priority</v>
          </cell>
          <cell r="X672" t="str">
            <v>40</v>
          </cell>
          <cell r="Y672" t="str">
            <v>42</v>
          </cell>
          <cell r="Z672" t="str">
            <v>GBT</v>
          </cell>
          <cell r="AA672" t="str">
            <v>250</v>
          </cell>
          <cell r="AB672" t="str">
            <v>Access</v>
          </cell>
          <cell r="AC672" t="str">
            <v>Class B</v>
          </cell>
          <cell r="BE672" t="str">
            <v>Route 4 Meiktila - Taunggyi</v>
          </cell>
          <cell r="BH672" t="str">
            <v>Leadcom</v>
          </cell>
          <cell r="BJ672">
            <v>42160</v>
          </cell>
          <cell r="BK672">
            <v>42175</v>
          </cell>
          <cell r="BL672">
            <v>42165</v>
          </cell>
          <cell r="BT672">
            <v>10</v>
          </cell>
          <cell r="BU672">
            <v>42226</v>
          </cell>
          <cell r="BV672">
            <v>42185</v>
          </cell>
          <cell r="BW672" t="str">
            <v>98.50948</v>
          </cell>
          <cell r="BX672" t="str">
            <v>10.02317</v>
          </cell>
          <cell r="BY672" t="str">
            <v>C1</v>
          </cell>
          <cell r="CC672" t="str">
            <v>GARDEN LAND</v>
          </cell>
          <cell r="CE672">
            <v>1</v>
          </cell>
          <cell r="CF672">
            <v>42227</v>
          </cell>
          <cell r="CG672">
            <v>42186</v>
          </cell>
          <cell r="CH672">
            <v>42229</v>
          </cell>
          <cell r="CN672">
            <v>47</v>
          </cell>
          <cell r="CO672">
            <v>42232</v>
          </cell>
          <cell r="CQ672" t="str">
            <v>M4: solar + DG + battery</v>
          </cell>
          <cell r="CR672">
            <v>0</v>
          </cell>
          <cell r="CS672">
            <v>42233</v>
          </cell>
          <cell r="CU672" t="str">
            <v>TN0490</v>
          </cell>
          <cell r="DH672">
            <v>0</v>
          </cell>
          <cell r="DI672">
            <v>42243</v>
          </cell>
          <cell r="DK672">
            <v>42240</v>
          </cell>
          <cell r="DM672">
            <v>42244</v>
          </cell>
          <cell r="DO672">
            <v>0</v>
          </cell>
          <cell r="DP672">
            <v>42243</v>
          </cell>
          <cell r="DT672">
            <v>0</v>
          </cell>
          <cell r="DU672">
            <v>42258</v>
          </cell>
          <cell r="DW672">
            <v>0</v>
          </cell>
          <cell r="DY672">
            <v>42244</v>
          </cell>
          <cell r="EA672" t="str">
            <v>Leadcom</v>
          </cell>
          <cell r="EJ672">
            <v>0</v>
          </cell>
          <cell r="EK672">
            <v>42261</v>
          </cell>
          <cell r="EM672">
            <v>42262</v>
          </cell>
          <cell r="EQ672">
            <v>42271</v>
          </cell>
          <cell r="EW672">
            <v>0</v>
          </cell>
          <cell r="EX672">
            <v>42285</v>
          </cell>
          <cell r="EZ672">
            <v>42281</v>
          </cell>
          <cell r="FB672">
            <v>42283</v>
          </cell>
          <cell r="FU672">
            <v>42285</v>
          </cell>
          <cell r="FW672">
            <v>42285</v>
          </cell>
          <cell r="GJ672">
            <v>0</v>
          </cell>
          <cell r="GN672" t="str">
            <v>ERICSSON</v>
          </cell>
          <cell r="GU672" t="str">
            <v xml:space="preserve">		</v>
          </cell>
          <cell r="HD672">
            <v>1</v>
          </cell>
        </row>
        <row r="673">
          <cell r="A673" t="str">
            <v>TN0494</v>
          </cell>
          <cell r="B673" t="str">
            <v>ASTN_0028</v>
          </cell>
          <cell r="C673" t="str">
            <v>Apollo</v>
          </cell>
          <cell r="D673" t="str">
            <v>Robert</v>
          </cell>
          <cell r="F673" t="str">
            <v>Phyo Wai Maung</v>
          </cell>
          <cell r="G673" t="str">
            <v>Aye Myat Myat Moe</v>
          </cell>
          <cell r="H673" t="str">
            <v>RED</v>
          </cell>
          <cell r="I673" t="str">
            <v>South</v>
          </cell>
          <cell r="J673" t="str">
            <v>98.800507</v>
          </cell>
          <cell r="K673" t="str">
            <v>12.652835</v>
          </cell>
          <cell r="L673" t="str">
            <v>Rural</v>
          </cell>
          <cell r="M673" t="str">
            <v>Tanintharyi</v>
          </cell>
          <cell r="N673" t="str">
            <v>Myeik</v>
          </cell>
          <cell r="O673" t="str">
            <v>Myeik</v>
          </cell>
          <cell r="P673" t="str">
            <v>Tanintharyi</v>
          </cell>
          <cell r="Q673" t="str">
            <v>23</v>
          </cell>
          <cell r="R673" t="str">
            <v>Myeik</v>
          </cell>
          <cell r="S673" t="str">
            <v>83</v>
          </cell>
          <cell r="T673" t="str">
            <v>GSM+UMTS</v>
          </cell>
          <cell r="W673" t="str">
            <v>Ph2-Priority</v>
          </cell>
          <cell r="X673" t="str">
            <v>45</v>
          </cell>
          <cell r="Y673" t="str">
            <v>47</v>
          </cell>
          <cell r="Z673" t="str">
            <v>GBT</v>
          </cell>
          <cell r="AA673" t="str">
            <v>500</v>
          </cell>
          <cell r="AB673" t="str">
            <v>Access</v>
          </cell>
          <cell r="AC673" t="str">
            <v>Class C</v>
          </cell>
          <cell r="BH673" t="str">
            <v>KTT</v>
          </cell>
          <cell r="BJ673">
            <v>42160</v>
          </cell>
          <cell r="BK673">
            <v>42130</v>
          </cell>
          <cell r="BL673">
            <v>42165</v>
          </cell>
          <cell r="BM673">
            <v>42148</v>
          </cell>
          <cell r="BT673">
            <v>28</v>
          </cell>
          <cell r="BU673">
            <v>42230</v>
          </cell>
          <cell r="BV673">
            <v>42158</v>
          </cell>
          <cell r="BW673" t="str">
            <v>96.41166</v>
          </cell>
          <cell r="BX673" t="str">
            <v>16.54835</v>
          </cell>
          <cell r="BY673" t="str">
            <v>C1 Rev 2</v>
          </cell>
          <cell r="BZ673" t="str">
            <v>No(686),MaGyiTan Street,Ka Mar Ka Loat(WEST) Village,Kyauk Tan Township.</v>
          </cell>
          <cell r="CA673" t="str">
            <v>Daw Win Win Htay;No(686),MaGyiTan Street,Ka Mar Ka Loat(WEST) Village,Kyauk Tan Township;09-253320021,09-73233225</v>
          </cell>
          <cell r="CB673" t="str">
            <v>6 Aug 15 : C1 Rev2 TSSR app;5 Aug 15 : C1 rev 2 TSSR sub( Due to NOC issue land owner changed his land location to little back from 26M far from old coordinates);29 June 15 :C1  rev1 TSSR app;26 June 15 : C1 rev TSSR sub(YN1345_C1 for Slim tower type;space is not enough for 35m tower actual verification, Apollo can support 30m);25 June 15 : C1 TSSR app;4 June 15 : C1 SAR app;3Jun15: C1 SAR Sub</v>
          </cell>
          <cell r="CC673" t="str">
            <v>VILLAGE LAND</v>
          </cell>
          <cell r="CE673">
            <v>0</v>
          </cell>
          <cell r="CF673">
            <v>42231</v>
          </cell>
          <cell r="CG673">
            <v>42159</v>
          </cell>
          <cell r="CH673">
            <v>42233</v>
          </cell>
          <cell r="CJ673">
            <v>42219</v>
          </cell>
          <cell r="CK673" t="str">
            <v>30</v>
          </cell>
          <cell r="CL673" t="str">
            <v>32</v>
          </cell>
          <cell r="CM673" t="str">
            <v>30</v>
          </cell>
          <cell r="CN673">
            <v>0</v>
          </cell>
          <cell r="CO673">
            <v>42236</v>
          </cell>
          <cell r="CP673">
            <v>42221</v>
          </cell>
          <cell r="CQ673" t="str">
            <v>M1: grid power + battery</v>
          </cell>
          <cell r="CR673">
            <v>0</v>
          </cell>
          <cell r="CS673">
            <v>42237</v>
          </cell>
          <cell r="CT673">
            <v>42222</v>
          </cell>
          <cell r="CU673" t="str">
            <v>TN0494</v>
          </cell>
          <cell r="DH673">
            <v>0</v>
          </cell>
          <cell r="DI673">
            <v>42247</v>
          </cell>
          <cell r="DK673">
            <v>42244</v>
          </cell>
          <cell r="DL673">
            <v>42205</v>
          </cell>
          <cell r="DM673">
            <v>42248</v>
          </cell>
          <cell r="DO673">
            <v>0</v>
          </cell>
          <cell r="DP673">
            <v>42247</v>
          </cell>
          <cell r="DT673">
            <v>0</v>
          </cell>
          <cell r="DU673">
            <v>42262</v>
          </cell>
          <cell r="DW673">
            <v>0</v>
          </cell>
          <cell r="DY673">
            <v>42248</v>
          </cell>
          <cell r="DZ673">
            <v>42203</v>
          </cell>
          <cell r="EA673" t="str">
            <v>Leadcom</v>
          </cell>
          <cell r="EJ673">
            <v>0</v>
          </cell>
          <cell r="EK673">
            <v>42265</v>
          </cell>
          <cell r="EL673">
            <v>42219</v>
          </cell>
          <cell r="EM673">
            <v>42266</v>
          </cell>
          <cell r="EN673">
            <v>42219</v>
          </cell>
          <cell r="EQ673">
            <v>42275</v>
          </cell>
          <cell r="ER673">
            <v>42224</v>
          </cell>
          <cell r="ES673">
            <v>42228</v>
          </cell>
          <cell r="ET673">
            <v>42229</v>
          </cell>
          <cell r="EU673">
            <v>42229</v>
          </cell>
          <cell r="EW673">
            <v>0</v>
          </cell>
          <cell r="EX673">
            <v>42289</v>
          </cell>
          <cell r="EZ673">
            <v>42285</v>
          </cell>
          <cell r="FA673">
            <v>42233</v>
          </cell>
          <cell r="FB673">
            <v>42287</v>
          </cell>
          <cell r="FU673">
            <v>42289</v>
          </cell>
          <cell r="FW673">
            <v>42289</v>
          </cell>
          <cell r="FY673" t="str">
            <v>EM</v>
          </cell>
          <cell r="FZ673">
            <v>42222</v>
          </cell>
          <cell r="GA673">
            <v>42225</v>
          </cell>
          <cell r="GB673">
            <v>42225</v>
          </cell>
          <cell r="GC673">
            <v>42231</v>
          </cell>
          <cell r="GD673">
            <v>42231</v>
          </cell>
          <cell r="GI673">
            <v>42246</v>
          </cell>
          <cell r="GJ673">
            <v>0</v>
          </cell>
          <cell r="GL673" t="str">
            <v>Upstream Dependency :: YN1349 Tower not ready yet</v>
          </cell>
          <cell r="GN673" t="str">
            <v xml:space="preserve">ERICSSON </v>
          </cell>
          <cell r="GS673" t="str">
            <v>4/4/4</v>
          </cell>
          <cell r="GU673" t="str">
            <v xml:space="preserve">		</v>
          </cell>
          <cell r="HD673">
            <v>1</v>
          </cell>
        </row>
        <row r="674">
          <cell r="A674" t="str">
            <v>TN0495</v>
          </cell>
          <cell r="B674" t="str">
            <v>ASTN_0029</v>
          </cell>
          <cell r="C674" t="str">
            <v>Apollo</v>
          </cell>
          <cell r="D674" t="str">
            <v>Robert</v>
          </cell>
          <cell r="F674" t="str">
            <v>Phyo Wai Maung</v>
          </cell>
          <cell r="G674" t="str">
            <v>Aye Myat Myat Moe</v>
          </cell>
          <cell r="H674" t="str">
            <v>RED</v>
          </cell>
          <cell r="I674" t="str">
            <v>South</v>
          </cell>
          <cell r="J674" t="str">
            <v>98.78373</v>
          </cell>
          <cell r="K674" t="str">
            <v>12.360287</v>
          </cell>
          <cell r="L674" t="str">
            <v>Rural</v>
          </cell>
          <cell r="M674" t="str">
            <v>Tanintharyi</v>
          </cell>
          <cell r="N674" t="str">
            <v>Myeik</v>
          </cell>
          <cell r="O674" t="str">
            <v>Myeik</v>
          </cell>
          <cell r="P674" t="str">
            <v>Tanintharyi</v>
          </cell>
          <cell r="Q674" t="str">
            <v>23</v>
          </cell>
          <cell r="R674" t="str">
            <v>Myeik</v>
          </cell>
          <cell r="S674" t="str">
            <v>83</v>
          </cell>
          <cell r="T674" t="str">
            <v>GSM+UMTS</v>
          </cell>
          <cell r="U674" t="str">
            <v>YAN-N017</v>
          </cell>
          <cell r="V674" t="str">
            <v>1</v>
          </cell>
          <cell r="W674" t="str">
            <v>Ph2-Priority</v>
          </cell>
          <cell r="X674" t="str">
            <v>45</v>
          </cell>
          <cell r="Y674" t="str">
            <v>47</v>
          </cell>
          <cell r="AA674" t="str">
            <v>500</v>
          </cell>
          <cell r="AB674" t="str">
            <v>Access</v>
          </cell>
          <cell r="AC674" t="str">
            <v>Class C</v>
          </cell>
          <cell r="AD674" t="str">
            <v>1590</v>
          </cell>
          <cell r="AE674" t="str">
            <v>1955</v>
          </cell>
          <cell r="AF674" t="str">
            <v>3</v>
          </cell>
          <cell r="AG674" t="str">
            <v>YN0165</v>
          </cell>
          <cell r="AH674" t="str">
            <v>YN0142</v>
          </cell>
          <cell r="BC674" t="str">
            <v>YN0142</v>
          </cell>
          <cell r="BD674" t="str">
            <v>2</v>
          </cell>
          <cell r="BE674" t="str">
            <v>Route 2 Yangon -Mawlamyine</v>
          </cell>
          <cell r="BF674">
            <v>42034</v>
          </cell>
          <cell r="BG674">
            <v>41908</v>
          </cell>
          <cell r="BH674" t="str">
            <v>KTT</v>
          </cell>
          <cell r="BJ674">
            <v>42161</v>
          </cell>
          <cell r="BK674">
            <v>41664</v>
          </cell>
          <cell r="BL674">
            <v>42166</v>
          </cell>
          <cell r="BO674">
            <v>41708</v>
          </cell>
          <cell r="BR674" t="str">
            <v>Nominal point is located within the industrial zone premises, High Rent ($1000)</v>
          </cell>
          <cell r="BT674">
            <v>569</v>
          </cell>
          <cell r="BU674">
            <v>42230</v>
          </cell>
          <cell r="CE674">
            <v>0</v>
          </cell>
          <cell r="CF674">
            <v>42231</v>
          </cell>
          <cell r="CH674">
            <v>42233</v>
          </cell>
          <cell r="CN674">
            <v>0</v>
          </cell>
          <cell r="CO674">
            <v>42236</v>
          </cell>
          <cell r="CR674">
            <v>0</v>
          </cell>
          <cell r="CS674">
            <v>42237</v>
          </cell>
          <cell r="CU674" t="str">
            <v>TN0495</v>
          </cell>
          <cell r="DH674">
            <v>0</v>
          </cell>
          <cell r="DI674">
            <v>42247</v>
          </cell>
          <cell r="DK674">
            <v>42244</v>
          </cell>
          <cell r="DM674">
            <v>42248</v>
          </cell>
          <cell r="DO674">
            <v>0</v>
          </cell>
          <cell r="DP674">
            <v>42247</v>
          </cell>
          <cell r="DR674" t="str">
            <v>YCDC</v>
          </cell>
          <cell r="DT674">
            <v>0</v>
          </cell>
          <cell r="DU674">
            <v>42262</v>
          </cell>
          <cell r="DW674">
            <v>0</v>
          </cell>
          <cell r="DY674">
            <v>42248</v>
          </cell>
          <cell r="EA674" t="str">
            <v>Leadcom</v>
          </cell>
          <cell r="EJ674">
            <v>0</v>
          </cell>
          <cell r="EK674">
            <v>42265</v>
          </cell>
          <cell r="EM674">
            <v>42266</v>
          </cell>
          <cell r="EQ674">
            <v>42275</v>
          </cell>
          <cell r="EW674">
            <v>0</v>
          </cell>
          <cell r="EX674">
            <v>42289</v>
          </cell>
          <cell r="EZ674">
            <v>42285</v>
          </cell>
          <cell r="FB674">
            <v>42287</v>
          </cell>
          <cell r="FD674">
            <v>41937</v>
          </cell>
          <cell r="FF674">
            <v>41944</v>
          </cell>
          <cell r="FH674">
            <v>41946</v>
          </cell>
          <cell r="FJ674">
            <v>41949</v>
          </cell>
          <cell r="FN674">
            <v>41953</v>
          </cell>
          <cell r="FP674">
            <v>41955</v>
          </cell>
          <cell r="FR674">
            <v>41969</v>
          </cell>
          <cell r="FU674">
            <v>42289</v>
          </cell>
          <cell r="FW674">
            <v>42289</v>
          </cell>
          <cell r="GJ674">
            <v>0</v>
          </cell>
          <cell r="GN674" t="str">
            <v>ERICSSON</v>
          </cell>
          <cell r="GS674" t="str">
            <v>4/4/4</v>
          </cell>
          <cell r="GU674" t="str">
            <v xml:space="preserve">		</v>
          </cell>
          <cell r="HD674">
            <v>1</v>
          </cell>
        </row>
        <row r="675">
          <cell r="A675" t="str">
            <v>TN0498</v>
          </cell>
          <cell r="B675" t="str">
            <v>ASTN_0030</v>
          </cell>
          <cell r="C675" t="str">
            <v>Apollo</v>
          </cell>
          <cell r="D675" t="str">
            <v>Robert</v>
          </cell>
          <cell r="F675" t="str">
            <v>Phyo Wai Maung</v>
          </cell>
          <cell r="G675" t="str">
            <v>Aye Myat Myat Moe</v>
          </cell>
          <cell r="H675" t="str">
            <v>RED</v>
          </cell>
          <cell r="I675" t="str">
            <v>South</v>
          </cell>
          <cell r="J675" t="str">
            <v>98.812725</v>
          </cell>
          <cell r="K675" t="str">
            <v>12.571184</v>
          </cell>
          <cell r="L675" t="str">
            <v>Rural</v>
          </cell>
          <cell r="M675" t="str">
            <v>Tanintharyi</v>
          </cell>
          <cell r="N675" t="str">
            <v>Myeik</v>
          </cell>
          <cell r="O675" t="str">
            <v>Myeik</v>
          </cell>
          <cell r="P675" t="str">
            <v>Tanintharyi</v>
          </cell>
          <cell r="Q675" t="str">
            <v>23</v>
          </cell>
          <cell r="R675" t="str">
            <v>Myeik</v>
          </cell>
          <cell r="S675" t="str">
            <v>83</v>
          </cell>
          <cell r="T675" t="str">
            <v>GSM+UMTS</v>
          </cell>
          <cell r="W675" t="str">
            <v>Ph2-Priority</v>
          </cell>
          <cell r="X675" t="str">
            <v>45</v>
          </cell>
          <cell r="Y675" t="str">
            <v>47</v>
          </cell>
          <cell r="Z675" t="str">
            <v>GBT</v>
          </cell>
          <cell r="AA675" t="str">
            <v>500</v>
          </cell>
          <cell r="AB675" t="str">
            <v>Access</v>
          </cell>
          <cell r="AC675" t="str">
            <v>Class C</v>
          </cell>
          <cell r="BH675" t="str">
            <v>Leadcom</v>
          </cell>
          <cell r="BJ675">
            <v>42161</v>
          </cell>
          <cell r="BK675">
            <v>42175</v>
          </cell>
          <cell r="BL675">
            <v>42166</v>
          </cell>
          <cell r="BT675">
            <v>10</v>
          </cell>
          <cell r="BU675">
            <v>42230</v>
          </cell>
          <cell r="BV675">
            <v>42185</v>
          </cell>
          <cell r="BW675" t="str">
            <v>98.8155</v>
          </cell>
          <cell r="BX675" t="str">
            <v>12.57491</v>
          </cell>
          <cell r="BY675" t="str">
            <v>C1</v>
          </cell>
          <cell r="BZ675" t="str">
            <v>No(123-D) Htar Wei chaung phyar,Daww Village,Ale` Chaung Group,Myeik</v>
          </cell>
          <cell r="CA675" t="str">
            <v>U Win Myint Htay,09-49898213</v>
          </cell>
          <cell r="CB675" t="str">
            <v>04 Aug 15 : C1 SAR updated technical info released with 60 M Tower in such a way to convenience approval for TN0512(TND approved with TN0494_New propose(12.651906°,98.796967°),TN0512_C01) ;28 July 15 : C1 SAR approved as an option 1(TND approved with TN0494_New propose(12.651906°,98.796967°),TN0512_New Propose(12.527888°,98.757494°))</v>
          </cell>
          <cell r="CC675" t="str">
            <v>GARDEN LAND</v>
          </cell>
          <cell r="CE675">
            <v>28</v>
          </cell>
          <cell r="CF675">
            <v>42231</v>
          </cell>
          <cell r="CG675">
            <v>42213</v>
          </cell>
          <cell r="CH675">
            <v>42233</v>
          </cell>
          <cell r="CJ675">
            <v>42240</v>
          </cell>
          <cell r="CK675" t="str">
            <v>58</v>
          </cell>
          <cell r="CL675" t="str">
            <v>62</v>
          </cell>
          <cell r="CM675" t="str">
            <v>60</v>
          </cell>
          <cell r="CN675">
            <v>20</v>
          </cell>
          <cell r="CO675">
            <v>42236</v>
          </cell>
          <cell r="CP675">
            <v>42242</v>
          </cell>
          <cell r="CQ675" t="str">
            <v>M4: solar + DG + battery</v>
          </cell>
          <cell r="CR675">
            <v>0</v>
          </cell>
          <cell r="CS675">
            <v>42237</v>
          </cell>
          <cell r="CT675">
            <v>42249</v>
          </cell>
          <cell r="CU675" t="str">
            <v>TN0498</v>
          </cell>
          <cell r="DH675">
            <v>0</v>
          </cell>
          <cell r="DI675">
            <v>42247</v>
          </cell>
          <cell r="DK675">
            <v>42244</v>
          </cell>
          <cell r="DM675">
            <v>42248</v>
          </cell>
          <cell r="DO675">
            <v>0</v>
          </cell>
          <cell r="DP675">
            <v>42247</v>
          </cell>
          <cell r="DT675">
            <v>0</v>
          </cell>
          <cell r="DU675">
            <v>42262</v>
          </cell>
          <cell r="DW675">
            <v>0</v>
          </cell>
          <cell r="DY675">
            <v>42248</v>
          </cell>
          <cell r="EA675" t="str">
            <v>Leadcom</v>
          </cell>
          <cell r="EJ675">
            <v>0</v>
          </cell>
          <cell r="EK675">
            <v>42265</v>
          </cell>
          <cell r="EM675">
            <v>42266</v>
          </cell>
          <cell r="EQ675">
            <v>42275</v>
          </cell>
          <cell r="EW675">
            <v>0</v>
          </cell>
          <cell r="EX675">
            <v>42289</v>
          </cell>
          <cell r="EZ675">
            <v>42285</v>
          </cell>
          <cell r="FB675">
            <v>42287</v>
          </cell>
          <cell r="FU675">
            <v>42289</v>
          </cell>
          <cell r="FW675">
            <v>42289</v>
          </cell>
          <cell r="GJ675">
            <v>0</v>
          </cell>
          <cell r="GN675" t="str">
            <v>ERICSSON</v>
          </cell>
          <cell r="GS675" t="str">
            <v>4/4/4</v>
          </cell>
          <cell r="GU675" t="str">
            <v xml:space="preserve">		</v>
          </cell>
          <cell r="HD675">
            <v>1</v>
          </cell>
        </row>
        <row r="676">
          <cell r="A676" t="str">
            <v>TN0502</v>
          </cell>
          <cell r="B676" t="str">
            <v>ASTN_0031</v>
          </cell>
          <cell r="C676" t="str">
            <v>Apollo</v>
          </cell>
          <cell r="D676" t="str">
            <v>Robert</v>
          </cell>
          <cell r="F676" t="str">
            <v>Phyo Wai Maung</v>
          </cell>
          <cell r="G676" t="str">
            <v>Aye Myat Myat Moe</v>
          </cell>
          <cell r="H676" t="str">
            <v>RED</v>
          </cell>
          <cell r="I676" t="str">
            <v>South</v>
          </cell>
          <cell r="J676" t="str">
            <v>98.254762</v>
          </cell>
          <cell r="K676" t="str">
            <v>14.069906</v>
          </cell>
          <cell r="L676" t="str">
            <v>Rural</v>
          </cell>
          <cell r="M676" t="str">
            <v>Tanintharyi</v>
          </cell>
          <cell r="N676" t="str">
            <v>Dawei</v>
          </cell>
          <cell r="O676" t="str">
            <v>Dawei</v>
          </cell>
          <cell r="P676" t="str">
            <v>Tanintharyi</v>
          </cell>
          <cell r="Q676" t="str">
            <v>23</v>
          </cell>
          <cell r="R676" t="str">
            <v>Dawei</v>
          </cell>
          <cell r="S676" t="str">
            <v>79</v>
          </cell>
          <cell r="T676" t="str">
            <v>GSM+UMTS</v>
          </cell>
          <cell r="W676" t="str">
            <v>Ph2-Priority</v>
          </cell>
          <cell r="X676" t="str">
            <v>45</v>
          </cell>
          <cell r="Y676" t="str">
            <v>47</v>
          </cell>
          <cell r="Z676" t="str">
            <v>GBT</v>
          </cell>
          <cell r="AA676" t="str">
            <v>500</v>
          </cell>
          <cell r="AB676" t="str">
            <v>Access</v>
          </cell>
          <cell r="AC676" t="str">
            <v>Class C</v>
          </cell>
          <cell r="BE676" t="str">
            <v>Route 7 Bago - Pyawbwe</v>
          </cell>
          <cell r="BH676" t="str">
            <v>Leadcom</v>
          </cell>
          <cell r="BJ676">
            <v>42161</v>
          </cell>
          <cell r="BK676">
            <v>42130</v>
          </cell>
          <cell r="BL676">
            <v>42166</v>
          </cell>
          <cell r="BT676">
            <v>103</v>
          </cell>
          <cell r="BU676">
            <v>42230</v>
          </cell>
          <cell r="BV676">
            <v>42205</v>
          </cell>
          <cell r="BW676" t="str">
            <v>98.25861</v>
          </cell>
          <cell r="BX676" t="str">
            <v>14.0694</v>
          </cell>
          <cell r="BY676" t="str">
            <v>C1</v>
          </cell>
          <cell r="BZ676" t="str">
            <v>No(27),Taung Gone Village,Myittar Str,Dawei Township</v>
          </cell>
          <cell r="CA676" t="str">
            <v>U THAUNG SEIN,09 33877395</v>
          </cell>
          <cell r="CB676" t="str">
            <v>27 July 15 : C1 SAR  Rev rejected with justification ( According to TM radio suggestion, RND rejected because this site is 306m far from the nominal point and one sector in no clutter. Please find the new candidate in between 380m 306degree and 520m 20degree from the nominal.);20 July 15 : C1 Rev SAR sub(AS PER DISCUSSION WITH NEERAJ);16 June 15 :C1 SAR rejected(RND rejected because this site is 306m far from the nominal point and one sector in no clutter. Please find the new candidate in the near nominal point.); 15Jun15: C1 SAR Sub</v>
          </cell>
          <cell r="CC676" t="str">
            <v>GARDEN LAND</v>
          </cell>
          <cell r="CE676">
            <v>2</v>
          </cell>
          <cell r="CF676">
            <v>42231</v>
          </cell>
          <cell r="CG676">
            <v>42207</v>
          </cell>
          <cell r="CH676">
            <v>42233</v>
          </cell>
          <cell r="CJ676">
            <v>42231</v>
          </cell>
          <cell r="CK676" t="str">
            <v>46</v>
          </cell>
          <cell r="CL676" t="str">
            <v>47</v>
          </cell>
          <cell r="CM676" t="str">
            <v>50</v>
          </cell>
          <cell r="CN676">
            <v>26</v>
          </cell>
          <cell r="CO676">
            <v>42236</v>
          </cell>
          <cell r="CP676">
            <v>42233</v>
          </cell>
          <cell r="CQ676" t="str">
            <v>M4: solar + DG + battery</v>
          </cell>
          <cell r="CR676">
            <v>0</v>
          </cell>
          <cell r="CS676">
            <v>42237</v>
          </cell>
          <cell r="CT676">
            <v>42234</v>
          </cell>
          <cell r="CU676" t="str">
            <v>TN0502</v>
          </cell>
          <cell r="DH676">
            <v>0</v>
          </cell>
          <cell r="DI676">
            <v>42247</v>
          </cell>
          <cell r="DK676">
            <v>42244</v>
          </cell>
          <cell r="DM676">
            <v>42248</v>
          </cell>
          <cell r="DO676">
            <v>0</v>
          </cell>
          <cell r="DP676">
            <v>42247</v>
          </cell>
          <cell r="DT676">
            <v>0</v>
          </cell>
          <cell r="DU676">
            <v>42262</v>
          </cell>
          <cell r="DW676">
            <v>0</v>
          </cell>
          <cell r="DY676">
            <v>42248</v>
          </cell>
          <cell r="EA676" t="str">
            <v>Leadcom</v>
          </cell>
          <cell r="EJ676">
            <v>0</v>
          </cell>
          <cell r="EK676">
            <v>42265</v>
          </cell>
          <cell r="EM676">
            <v>42266</v>
          </cell>
          <cell r="EQ676">
            <v>42275</v>
          </cell>
          <cell r="EW676">
            <v>0</v>
          </cell>
          <cell r="EX676">
            <v>42289</v>
          </cell>
          <cell r="EZ676">
            <v>42285</v>
          </cell>
          <cell r="FB676">
            <v>42287</v>
          </cell>
          <cell r="FU676">
            <v>42289</v>
          </cell>
          <cell r="FW676">
            <v>42289</v>
          </cell>
          <cell r="GJ676">
            <v>0</v>
          </cell>
          <cell r="GN676" t="str">
            <v>ERICSSON</v>
          </cell>
          <cell r="GS676" t="str">
            <v>4/4/4</v>
          </cell>
          <cell r="GU676" t="str">
            <v xml:space="preserve">		</v>
          </cell>
          <cell r="HD676">
            <v>1</v>
          </cell>
        </row>
        <row r="677">
          <cell r="A677" t="str">
            <v>TN0511</v>
          </cell>
          <cell r="B677" t="str">
            <v>ASTN_0032</v>
          </cell>
          <cell r="C677" t="str">
            <v>Apollo</v>
          </cell>
          <cell r="D677" t="str">
            <v>Robert</v>
          </cell>
          <cell r="F677" t="str">
            <v>Phyo Wai Maung</v>
          </cell>
          <cell r="G677" t="str">
            <v>Aye Myat Myat Moe</v>
          </cell>
          <cell r="H677" t="str">
            <v>RED</v>
          </cell>
          <cell r="I677" t="str">
            <v>South</v>
          </cell>
          <cell r="J677" t="str">
            <v>98.755399</v>
          </cell>
          <cell r="K677" t="str">
            <v>12.41155</v>
          </cell>
          <cell r="L677" t="str">
            <v>Rural</v>
          </cell>
          <cell r="M677" t="str">
            <v>Tanintharyi</v>
          </cell>
          <cell r="N677" t="str">
            <v>Myeik</v>
          </cell>
          <cell r="O677" t="str">
            <v>Myeik</v>
          </cell>
          <cell r="P677" t="str">
            <v>Tanintharyi</v>
          </cell>
          <cell r="Q677" t="str">
            <v>23</v>
          </cell>
          <cell r="R677" t="str">
            <v>Myeik</v>
          </cell>
          <cell r="S677" t="str">
            <v>83</v>
          </cell>
          <cell r="T677" t="str">
            <v>GSM+UMTS</v>
          </cell>
          <cell r="W677" t="str">
            <v>Ph2-Priority</v>
          </cell>
          <cell r="X677" t="str">
            <v>45</v>
          </cell>
          <cell r="Y677" t="str">
            <v>47</v>
          </cell>
          <cell r="Z677" t="str">
            <v>GBT</v>
          </cell>
          <cell r="AA677" t="str">
            <v>500</v>
          </cell>
          <cell r="AB677" t="str">
            <v>Access</v>
          </cell>
          <cell r="AC677" t="str">
            <v>Class C</v>
          </cell>
          <cell r="BE677" t="str">
            <v>Route 7 Bago - Pyawbwe</v>
          </cell>
          <cell r="BH677" t="str">
            <v>Leadcom</v>
          </cell>
          <cell r="BJ677">
            <v>42161</v>
          </cell>
          <cell r="BK677">
            <v>42175</v>
          </cell>
          <cell r="BL677">
            <v>42166</v>
          </cell>
          <cell r="BM677">
            <v>42175</v>
          </cell>
          <cell r="BT677">
            <v>10</v>
          </cell>
          <cell r="BU677">
            <v>42230</v>
          </cell>
          <cell r="BV677">
            <v>42185</v>
          </cell>
          <cell r="BW677" t="str">
            <v>98.75685</v>
          </cell>
          <cell r="BX677" t="str">
            <v>12.41294</v>
          </cell>
          <cell r="BY677" t="str">
            <v>C1</v>
          </cell>
          <cell r="BZ677" t="str">
            <v>Ingamaw Group,Ka Lin Bann Village ,Myeik.</v>
          </cell>
          <cell r="CA677" t="str">
            <v>U Win Maung,949873261</v>
          </cell>
          <cell r="CB677" t="str">
            <v>28 July 15 : C1 SAR approved as an option 1(TND approved with FE TN0495_New( 12.356492°, 98.785006°) 45M)</v>
          </cell>
          <cell r="CC677" t="str">
            <v>GARDEN LAND</v>
          </cell>
          <cell r="CE677">
            <v>28</v>
          </cell>
          <cell r="CF677">
            <v>42231</v>
          </cell>
          <cell r="CG677">
            <v>42213</v>
          </cell>
          <cell r="CH677">
            <v>42233</v>
          </cell>
          <cell r="CJ677">
            <v>42240</v>
          </cell>
          <cell r="CK677" t="str">
            <v>45</v>
          </cell>
          <cell r="CL677" t="str">
            <v>47</v>
          </cell>
          <cell r="CM677" t="str">
            <v>50</v>
          </cell>
          <cell r="CN677">
            <v>20</v>
          </cell>
          <cell r="CO677">
            <v>42236</v>
          </cell>
          <cell r="CP677">
            <v>42242</v>
          </cell>
          <cell r="CQ677" t="str">
            <v>M4: solar + DG + battery</v>
          </cell>
          <cell r="CR677">
            <v>0</v>
          </cell>
          <cell r="CS677">
            <v>42237</v>
          </cell>
          <cell r="CT677">
            <v>42244</v>
          </cell>
          <cell r="CU677" t="str">
            <v>TN0511</v>
          </cell>
          <cell r="DH677">
            <v>0</v>
          </cell>
          <cell r="DI677">
            <v>42247</v>
          </cell>
          <cell r="DJ677">
            <v>42202</v>
          </cell>
          <cell r="DK677">
            <v>42244</v>
          </cell>
          <cell r="DM677">
            <v>42248</v>
          </cell>
          <cell r="DN677">
            <v>42212</v>
          </cell>
          <cell r="DO677">
            <v>0</v>
          </cell>
          <cell r="DP677">
            <v>42247</v>
          </cell>
          <cell r="DQ677">
            <v>42202</v>
          </cell>
          <cell r="DT677">
            <v>0</v>
          </cell>
          <cell r="DU677">
            <v>42262</v>
          </cell>
          <cell r="DW677">
            <v>0</v>
          </cell>
          <cell r="DY677">
            <v>42248</v>
          </cell>
          <cell r="DZ677">
            <v>42209</v>
          </cell>
          <cell r="EA677" t="str">
            <v>Leadcom</v>
          </cell>
          <cell r="EJ677">
            <v>0</v>
          </cell>
          <cell r="EK677">
            <v>42265</v>
          </cell>
          <cell r="EM677">
            <v>42266</v>
          </cell>
          <cell r="EQ677">
            <v>42275</v>
          </cell>
          <cell r="EW677">
            <v>0</v>
          </cell>
          <cell r="EX677">
            <v>42289</v>
          </cell>
          <cell r="EZ677">
            <v>42285</v>
          </cell>
          <cell r="FB677">
            <v>42287</v>
          </cell>
          <cell r="FU677">
            <v>42289</v>
          </cell>
          <cell r="FW677">
            <v>42289</v>
          </cell>
          <cell r="GJ677">
            <v>0</v>
          </cell>
          <cell r="GN677" t="str">
            <v>ERICSSON</v>
          </cell>
          <cell r="GO677">
            <v>42200</v>
          </cell>
          <cell r="GU677" t="str">
            <v xml:space="preserve">		</v>
          </cell>
          <cell r="HD677">
            <v>1</v>
          </cell>
        </row>
        <row r="678">
          <cell r="A678" t="str">
            <v>TN0512</v>
          </cell>
          <cell r="B678" t="str">
            <v>ASTN_0033</v>
          </cell>
          <cell r="C678" t="str">
            <v>Apollo</v>
          </cell>
          <cell r="D678" t="str">
            <v>Robert</v>
          </cell>
          <cell r="F678" t="str">
            <v>Phyo Wai Maung</v>
          </cell>
          <cell r="G678" t="str">
            <v>Aye Myat Myat Moe</v>
          </cell>
          <cell r="H678" t="str">
            <v>RED</v>
          </cell>
          <cell r="I678" t="str">
            <v>South</v>
          </cell>
          <cell r="J678" t="str">
            <v>98.7545319999999</v>
          </cell>
          <cell r="K678" t="str">
            <v>12.525961</v>
          </cell>
          <cell r="L678" t="str">
            <v>Rural</v>
          </cell>
          <cell r="M678" t="str">
            <v>Tanintharyi</v>
          </cell>
          <cell r="N678" t="str">
            <v>Myeik</v>
          </cell>
          <cell r="O678" t="str">
            <v>Myeik</v>
          </cell>
          <cell r="P678" t="str">
            <v>Tanintharyi</v>
          </cell>
          <cell r="Q678" t="str">
            <v>23</v>
          </cell>
          <cell r="R678" t="str">
            <v>Myeik</v>
          </cell>
          <cell r="S678" t="str">
            <v>83</v>
          </cell>
          <cell r="T678" t="str">
            <v>GSM+UMTS</v>
          </cell>
          <cell r="W678" t="str">
            <v>Ph2-Priority</v>
          </cell>
          <cell r="X678" t="str">
            <v>45</v>
          </cell>
          <cell r="Y678" t="str">
            <v>47</v>
          </cell>
          <cell r="Z678" t="str">
            <v>GBT</v>
          </cell>
          <cell r="AA678" t="str">
            <v>500</v>
          </cell>
          <cell r="AB678" t="str">
            <v>Access</v>
          </cell>
          <cell r="AC678" t="str">
            <v>Class C</v>
          </cell>
          <cell r="BH678" t="str">
            <v>Leadcom</v>
          </cell>
          <cell r="BJ678">
            <v>42161</v>
          </cell>
          <cell r="BK678">
            <v>42130</v>
          </cell>
          <cell r="BL678">
            <v>42166</v>
          </cell>
          <cell r="BM678">
            <v>42161</v>
          </cell>
          <cell r="BT678">
            <v>57</v>
          </cell>
          <cell r="BU678">
            <v>42230</v>
          </cell>
          <cell r="BV678">
            <v>42214</v>
          </cell>
          <cell r="BW678" t="str">
            <v>98.75721</v>
          </cell>
          <cell r="BX678" t="str">
            <v>12.52612</v>
          </cell>
          <cell r="BY678" t="str">
            <v>C1</v>
          </cell>
          <cell r="BZ678" t="str">
            <v>NO (159),Upaing (94), pin O Village, Myeik</v>
          </cell>
          <cell r="CA678" t="str">
            <v>Daw Yu Wah,09-49873440</v>
          </cell>
          <cell r="CB678" t="str">
            <v>03 Aug 15 : C1 SAR approved as an option 1( TND approved with 45M tower for TN0512 and 60M tower for TN0498);29 July 15 : C1 SAR sub</v>
          </cell>
          <cell r="CC678" t="str">
            <v>VILLAGE LAND</v>
          </cell>
          <cell r="CE678">
            <v>5</v>
          </cell>
          <cell r="CF678">
            <v>42231</v>
          </cell>
          <cell r="CG678">
            <v>42219</v>
          </cell>
          <cell r="CH678">
            <v>42233</v>
          </cell>
          <cell r="CJ678">
            <v>42240</v>
          </cell>
          <cell r="CK678" t="str">
            <v>45</v>
          </cell>
          <cell r="CL678" t="str">
            <v>47</v>
          </cell>
          <cell r="CM678" t="str">
            <v>50</v>
          </cell>
          <cell r="CN678">
            <v>14</v>
          </cell>
          <cell r="CO678">
            <v>42236</v>
          </cell>
          <cell r="CP678">
            <v>42242</v>
          </cell>
          <cell r="CQ678" t="str">
            <v>M4: solar + DG + battery</v>
          </cell>
          <cell r="CR678">
            <v>0</v>
          </cell>
          <cell r="CS678">
            <v>42237</v>
          </cell>
          <cell r="CT678">
            <v>42247</v>
          </cell>
          <cell r="CU678" t="str">
            <v>TN0512</v>
          </cell>
          <cell r="DH678">
            <v>0</v>
          </cell>
          <cell r="DI678">
            <v>42247</v>
          </cell>
          <cell r="DJ678">
            <v>42217</v>
          </cell>
          <cell r="DK678">
            <v>42244</v>
          </cell>
          <cell r="DM678">
            <v>42248</v>
          </cell>
          <cell r="DO678">
            <v>0</v>
          </cell>
          <cell r="DP678">
            <v>42247</v>
          </cell>
          <cell r="DQ678">
            <v>42217</v>
          </cell>
          <cell r="DT678">
            <v>0</v>
          </cell>
          <cell r="DU678">
            <v>42262</v>
          </cell>
          <cell r="DW678">
            <v>0</v>
          </cell>
          <cell r="DY678">
            <v>42248</v>
          </cell>
          <cell r="EA678" t="str">
            <v>Leadcom</v>
          </cell>
          <cell r="EB678">
            <v>42213</v>
          </cell>
          <cell r="EE678" t="str">
            <v xml:space="preserve">10 Aug 15:Flood affected_Hold-No access; 28-Jul-15: BP complete_payment can be done  floods access  issues 								</v>
          </cell>
          <cell r="EJ678">
            <v>0</v>
          </cell>
          <cell r="EK678">
            <v>42265</v>
          </cell>
          <cell r="EM678">
            <v>42266</v>
          </cell>
          <cell r="EQ678">
            <v>42275</v>
          </cell>
          <cell r="EW678">
            <v>0</v>
          </cell>
          <cell r="EX678">
            <v>42289</v>
          </cell>
          <cell r="EZ678">
            <v>42285</v>
          </cell>
          <cell r="FB678">
            <v>42287</v>
          </cell>
          <cell r="FU678">
            <v>42289</v>
          </cell>
          <cell r="FW678">
            <v>42289</v>
          </cell>
          <cell r="GJ678">
            <v>0</v>
          </cell>
          <cell r="GN678" t="str">
            <v>ERICSSON</v>
          </cell>
          <cell r="GU678" t="str">
            <v xml:space="preserve">		</v>
          </cell>
          <cell r="HD678">
            <v>1</v>
          </cell>
        </row>
        <row r="679">
          <cell r="A679" t="str">
            <v>TN0513</v>
          </cell>
          <cell r="B679" t="str">
            <v>ASTN_0034</v>
          </cell>
          <cell r="C679" t="str">
            <v>Apollo</v>
          </cell>
          <cell r="D679" t="str">
            <v>Robert</v>
          </cell>
          <cell r="F679" t="str">
            <v>Phyo Wai Maung</v>
          </cell>
          <cell r="G679" t="str">
            <v>Aye Myat Myat Moe</v>
          </cell>
          <cell r="H679" t="str">
            <v>RED</v>
          </cell>
          <cell r="I679" t="str">
            <v>South</v>
          </cell>
          <cell r="J679" t="str">
            <v>98.303196</v>
          </cell>
          <cell r="K679" t="str">
            <v>14.110189</v>
          </cell>
          <cell r="L679" t="str">
            <v>Rural</v>
          </cell>
          <cell r="M679" t="str">
            <v>Tanintharyi</v>
          </cell>
          <cell r="N679" t="str">
            <v>Dawei</v>
          </cell>
          <cell r="O679" t="str">
            <v>Dawei</v>
          </cell>
          <cell r="P679" t="str">
            <v>Tanintharyi</v>
          </cell>
          <cell r="Q679" t="str">
            <v>23</v>
          </cell>
          <cell r="R679" t="str">
            <v>Dawei</v>
          </cell>
          <cell r="S679" t="str">
            <v>79</v>
          </cell>
          <cell r="T679" t="str">
            <v>GSM+UMTS</v>
          </cell>
          <cell r="W679" t="str">
            <v>Ph2-Priority</v>
          </cell>
          <cell r="X679" t="str">
            <v>45</v>
          </cell>
          <cell r="Y679" t="str">
            <v>47</v>
          </cell>
          <cell r="Z679" t="str">
            <v>GBT</v>
          </cell>
          <cell r="AA679" t="str">
            <v>500</v>
          </cell>
          <cell r="AB679" t="str">
            <v>Access</v>
          </cell>
          <cell r="AC679" t="str">
            <v>Class C</v>
          </cell>
          <cell r="BH679" t="str">
            <v>Leadcom</v>
          </cell>
          <cell r="BJ679">
            <v>42161</v>
          </cell>
          <cell r="BL679">
            <v>42166</v>
          </cell>
          <cell r="BT679">
            <v>42158</v>
          </cell>
          <cell r="BU679">
            <v>42230</v>
          </cell>
          <cell r="BV679">
            <v>42205</v>
          </cell>
          <cell r="BW679" t="str">
            <v>98.30289</v>
          </cell>
          <cell r="BX679" t="str">
            <v>14.11104</v>
          </cell>
          <cell r="BY679" t="str">
            <v>C1</v>
          </cell>
          <cell r="BZ679" t="str">
            <v>No(118),Har Myinn Gyi Str,Pa Kar Yi (north),Dawei Township</v>
          </cell>
          <cell r="CA679" t="str">
            <v>U SU MAE, 09 73227521</v>
          </cell>
          <cell r="CB679" t="str">
            <v>4 Aug 15 : C1 TSSR approved( TND approved this site as fiber site.);22 July 15 : C1 SAR approved as an option 1( TND approved this site as fiber site.)</v>
          </cell>
          <cell r="CC679" t="str">
            <v>GARDEN LAND</v>
          </cell>
          <cell r="CE679">
            <v>2</v>
          </cell>
          <cell r="CF679">
            <v>42231</v>
          </cell>
          <cell r="CG679">
            <v>42207</v>
          </cell>
          <cell r="CH679">
            <v>42233</v>
          </cell>
          <cell r="CJ679">
            <v>42213</v>
          </cell>
          <cell r="CK679" t="str">
            <v>45</v>
          </cell>
          <cell r="CL679" t="str">
            <v>47</v>
          </cell>
          <cell r="CM679" t="str">
            <v>50</v>
          </cell>
          <cell r="CN679">
            <v>8</v>
          </cell>
          <cell r="CO679">
            <v>42236</v>
          </cell>
          <cell r="CP679">
            <v>42215</v>
          </cell>
          <cell r="CQ679" t="str">
            <v>M4: solar + DG + battery</v>
          </cell>
          <cell r="CR679">
            <v>5</v>
          </cell>
          <cell r="CS679">
            <v>42237</v>
          </cell>
          <cell r="CT679">
            <v>42220</v>
          </cell>
          <cell r="CU679" t="str">
            <v>TN0513</v>
          </cell>
          <cell r="DH679">
            <v>13</v>
          </cell>
          <cell r="DI679">
            <v>42247</v>
          </cell>
          <cell r="DK679">
            <v>42244</v>
          </cell>
          <cell r="DM679">
            <v>42248</v>
          </cell>
          <cell r="DO679">
            <v>0</v>
          </cell>
          <cell r="DP679">
            <v>42247</v>
          </cell>
          <cell r="DT679">
            <v>0</v>
          </cell>
          <cell r="DU679">
            <v>42262</v>
          </cell>
          <cell r="DW679">
            <v>0</v>
          </cell>
          <cell r="DY679">
            <v>42248</v>
          </cell>
          <cell r="EA679" t="str">
            <v>Leadcom</v>
          </cell>
          <cell r="EJ679">
            <v>0</v>
          </cell>
          <cell r="EK679">
            <v>42265</v>
          </cell>
          <cell r="EM679">
            <v>42266</v>
          </cell>
          <cell r="EQ679">
            <v>42275</v>
          </cell>
          <cell r="EW679">
            <v>0</v>
          </cell>
          <cell r="EX679">
            <v>42289</v>
          </cell>
          <cell r="EZ679">
            <v>42285</v>
          </cell>
          <cell r="FB679">
            <v>42287</v>
          </cell>
          <cell r="FU679">
            <v>42289</v>
          </cell>
          <cell r="FW679">
            <v>42289</v>
          </cell>
          <cell r="GJ679">
            <v>0</v>
          </cell>
          <cell r="GN679" t="str">
            <v>ERICSSON</v>
          </cell>
          <cell r="GU679" t="str">
            <v xml:space="preserve">		</v>
          </cell>
          <cell r="HD679">
            <v>1</v>
          </cell>
        </row>
        <row r="680">
          <cell r="A680" t="str">
            <v>TN0517</v>
          </cell>
          <cell r="B680" t="str">
            <v>ASTN_0035</v>
          </cell>
          <cell r="C680" t="str">
            <v>Apollo</v>
          </cell>
          <cell r="D680" t="str">
            <v>Robert</v>
          </cell>
          <cell r="F680" t="str">
            <v>Phyo Wai Maung</v>
          </cell>
          <cell r="G680" t="str">
            <v>Aye Myat Myat Moe</v>
          </cell>
          <cell r="H680" t="str">
            <v>RED</v>
          </cell>
          <cell r="I680" t="str">
            <v>South</v>
          </cell>
          <cell r="J680" t="str">
            <v>98.518166</v>
          </cell>
          <cell r="K680" t="str">
            <v>14.161536</v>
          </cell>
          <cell r="L680" t="str">
            <v>Rural</v>
          </cell>
          <cell r="M680" t="str">
            <v>Tanintharyi</v>
          </cell>
          <cell r="N680" t="str">
            <v>Dawei</v>
          </cell>
          <cell r="O680" t="str">
            <v>Dawei</v>
          </cell>
          <cell r="P680" t="str">
            <v>Tanintharyi</v>
          </cell>
          <cell r="Q680" t="str">
            <v>23</v>
          </cell>
          <cell r="R680" t="str">
            <v>Dawei</v>
          </cell>
          <cell r="S680" t="str">
            <v>79</v>
          </cell>
          <cell r="T680" t="str">
            <v>GSM+UMTS</v>
          </cell>
          <cell r="U680" t="str">
            <v>YAN-N007</v>
          </cell>
          <cell r="V680">
            <v>1</v>
          </cell>
          <cell r="W680" t="str">
            <v>Ph2-Priority</v>
          </cell>
          <cell r="X680" t="str">
            <v>55</v>
          </cell>
          <cell r="Y680" t="str">
            <v>57</v>
          </cell>
          <cell r="Z680" t="str">
            <v>GBT</v>
          </cell>
          <cell r="AA680" t="str">
            <v>500</v>
          </cell>
          <cell r="AB680" t="str">
            <v>Access</v>
          </cell>
          <cell r="AC680" t="str">
            <v>Class C</v>
          </cell>
          <cell r="AD680">
            <v>1210.77</v>
          </cell>
          <cell r="AE680">
            <v>1836.84</v>
          </cell>
          <cell r="AF680">
            <v>1</v>
          </cell>
          <cell r="AG680" t="str">
            <v>YN0133</v>
          </cell>
          <cell r="AH680" t="str">
            <v>YN0145</v>
          </cell>
          <cell r="BC680" t="str">
            <v>YN0145</v>
          </cell>
          <cell r="BE680" t="str">
            <v>Yangon Ring 1</v>
          </cell>
          <cell r="BF680">
            <v>41760</v>
          </cell>
          <cell r="BG680">
            <v>41906</v>
          </cell>
          <cell r="BH680" t="str">
            <v>Leadcom</v>
          </cell>
          <cell r="BJ680">
            <v>42161</v>
          </cell>
          <cell r="BK680">
            <v>42126</v>
          </cell>
          <cell r="BL680">
            <v>42166</v>
          </cell>
          <cell r="BM680">
            <v>42133</v>
          </cell>
          <cell r="BT680">
            <v>72</v>
          </cell>
          <cell r="BU680">
            <v>42230</v>
          </cell>
          <cell r="BV680">
            <v>42198</v>
          </cell>
          <cell r="BW680" t="str">
            <v>95.72368</v>
          </cell>
          <cell r="BX680" t="str">
            <v>17.89443</v>
          </cell>
          <cell r="BY680" t="str">
            <v>Reject</v>
          </cell>
          <cell r="BZ680" t="str">
            <v>B/Sit Kwin Myoe Ma Yat, U Paing (193), Sit Kwin Village Group, Min Hla Township.</v>
          </cell>
          <cell r="CA680" t="str">
            <v>U Kyaw Naing,09-972686740/09-970923470/09-252158098</v>
          </cell>
          <cell r="CB680" t="str">
            <v>22 Oct 14 : C2 SAR rejected(This site is 650m far from the nominal and close to the another site.; 20 Oct 14 : C3 SAR rejected(This site is 690m far from the nominal and close to the another site. For RF coverage this candidate is not possible. RND rejected.)</v>
          </cell>
          <cell r="CC680" t="str">
            <v>TOWN LAND</v>
          </cell>
          <cell r="CE680">
            <v>0</v>
          </cell>
          <cell r="CF680">
            <v>42231</v>
          </cell>
          <cell r="CG680">
            <v>42200</v>
          </cell>
          <cell r="CH680">
            <v>42233</v>
          </cell>
          <cell r="CJ680">
            <v>42203</v>
          </cell>
          <cell r="CK680" t="str">
            <v>45</v>
          </cell>
          <cell r="CL680" t="str">
            <v>47</v>
          </cell>
          <cell r="CM680" t="str">
            <v>45</v>
          </cell>
          <cell r="CN680">
            <v>0</v>
          </cell>
          <cell r="CO680">
            <v>42236</v>
          </cell>
          <cell r="CP680">
            <v>42205</v>
          </cell>
          <cell r="CQ680" t="str">
            <v>M1: grid power + battery</v>
          </cell>
          <cell r="CR680">
            <v>0</v>
          </cell>
          <cell r="CS680">
            <v>42237</v>
          </cell>
          <cell r="CT680">
            <v>42207</v>
          </cell>
          <cell r="CU680" t="str">
            <v>TN0517</v>
          </cell>
          <cell r="DH680">
            <v>0</v>
          </cell>
          <cell r="DI680">
            <v>42247</v>
          </cell>
          <cell r="DJ680">
            <v>42209</v>
          </cell>
          <cell r="DK680">
            <v>42244</v>
          </cell>
          <cell r="DM680">
            <v>42248</v>
          </cell>
          <cell r="DO680">
            <v>0</v>
          </cell>
          <cell r="DP680">
            <v>42247</v>
          </cell>
          <cell r="DQ680">
            <v>42209</v>
          </cell>
          <cell r="DR680" t="str">
            <v>YCDC</v>
          </cell>
          <cell r="DT680">
            <v>0</v>
          </cell>
          <cell r="DU680">
            <v>42262</v>
          </cell>
          <cell r="DW680">
            <v>0</v>
          </cell>
          <cell r="DY680">
            <v>42248</v>
          </cell>
          <cell r="DZ680">
            <v>42216</v>
          </cell>
          <cell r="EA680" t="str">
            <v>Leadcom</v>
          </cell>
          <cell r="EB680">
            <v>42216</v>
          </cell>
          <cell r="EE680"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680">
            <v>0</v>
          </cell>
          <cell r="EK680">
            <v>42270</v>
          </cell>
          <cell r="EM680">
            <v>42271</v>
          </cell>
          <cell r="EQ680">
            <v>42283</v>
          </cell>
          <cell r="EW680">
            <v>0</v>
          </cell>
          <cell r="EX680">
            <v>42297</v>
          </cell>
          <cell r="EZ680">
            <v>42293</v>
          </cell>
          <cell r="FB680">
            <v>42295</v>
          </cell>
          <cell r="FD680">
            <v>41936</v>
          </cell>
          <cell r="FF680">
            <v>41943</v>
          </cell>
          <cell r="FH680">
            <v>41945</v>
          </cell>
          <cell r="FJ680">
            <v>41948</v>
          </cell>
          <cell r="FN680">
            <v>41952</v>
          </cell>
          <cell r="FP680">
            <v>41954</v>
          </cell>
          <cell r="FR680">
            <v>41968</v>
          </cell>
          <cell r="FU680">
            <v>42297</v>
          </cell>
          <cell r="FW680">
            <v>42297</v>
          </cell>
          <cell r="GJ680">
            <v>0</v>
          </cell>
          <cell r="GN680" t="str">
            <v>ERICSSON</v>
          </cell>
          <cell r="GO680">
            <v>42150</v>
          </cell>
          <cell r="GS680" t="str">
            <v>4/4/4</v>
          </cell>
          <cell r="GU680" t="str">
            <v xml:space="preserve">		</v>
          </cell>
          <cell r="HD680">
            <v>1</v>
          </cell>
        </row>
        <row r="681">
          <cell r="A681" t="str">
            <v>TN0524</v>
          </cell>
          <cell r="B681" t="str">
            <v>ASTN_0036</v>
          </cell>
          <cell r="C681" t="str">
            <v>Apollo</v>
          </cell>
          <cell r="D681" t="str">
            <v>Robert</v>
          </cell>
          <cell r="F681" t="str">
            <v>Phyo Wai Maung</v>
          </cell>
          <cell r="G681" t="str">
            <v>Aye Myat Myat Moe</v>
          </cell>
          <cell r="H681" t="str">
            <v>RED</v>
          </cell>
          <cell r="I681" t="str">
            <v>South</v>
          </cell>
          <cell r="J681" t="str">
            <v>98.1899959999999</v>
          </cell>
          <cell r="K681" t="str">
            <v>14.060035</v>
          </cell>
          <cell r="L681" t="str">
            <v>Suburban</v>
          </cell>
          <cell r="M681" t="str">
            <v>Tanintharyi</v>
          </cell>
          <cell r="N681" t="str">
            <v>Dawei</v>
          </cell>
          <cell r="O681" t="str">
            <v>Dawei</v>
          </cell>
          <cell r="P681" t="str">
            <v>Tanintharyi</v>
          </cell>
          <cell r="Q681" t="str">
            <v>23</v>
          </cell>
          <cell r="R681" t="str">
            <v>Dawei</v>
          </cell>
          <cell r="S681" t="str">
            <v>79</v>
          </cell>
          <cell r="T681" t="str">
            <v>GSM+UMTS</v>
          </cell>
          <cell r="U681" t="str">
            <v>YAN-N007</v>
          </cell>
          <cell r="V681">
            <v>1</v>
          </cell>
          <cell r="W681" t="str">
            <v>Ph2-Priority</v>
          </cell>
          <cell r="X681" t="str">
            <v>35</v>
          </cell>
          <cell r="Y681" t="str">
            <v>37</v>
          </cell>
          <cell r="Z681" t="str">
            <v>GBT</v>
          </cell>
          <cell r="AA681" t="str">
            <v>250</v>
          </cell>
          <cell r="AB681" t="str">
            <v>Access</v>
          </cell>
          <cell r="AC681" t="str">
            <v>Class B</v>
          </cell>
          <cell r="AD681">
            <v>1210.77</v>
          </cell>
          <cell r="AE681">
            <v>1836.84</v>
          </cell>
          <cell r="AF681">
            <v>1</v>
          </cell>
          <cell r="AG681" t="str">
            <v>YN0134</v>
          </cell>
          <cell r="AH681" t="str">
            <v>YN0145</v>
          </cell>
          <cell r="BC681" t="str">
            <v>YN0145</v>
          </cell>
          <cell r="BE681" t="str">
            <v>Yangon Ring 1</v>
          </cell>
          <cell r="BF681">
            <v>41760</v>
          </cell>
          <cell r="BG681">
            <v>41907</v>
          </cell>
          <cell r="BH681" t="str">
            <v>Leadcom</v>
          </cell>
          <cell r="BJ681">
            <v>42160</v>
          </cell>
          <cell r="BK681">
            <v>42168</v>
          </cell>
          <cell r="BL681">
            <v>42165</v>
          </cell>
          <cell r="BM681">
            <v>42175</v>
          </cell>
          <cell r="BT681">
            <v>13</v>
          </cell>
          <cell r="BU681">
            <v>42205</v>
          </cell>
          <cell r="BV681">
            <v>42181</v>
          </cell>
          <cell r="BW681" t="str">
            <v>97.53551</v>
          </cell>
          <cell r="BX681" t="str">
            <v>17.61803</v>
          </cell>
          <cell r="BY681" t="str">
            <v>Reject</v>
          </cell>
          <cell r="CB681" t="str">
            <v>18 Aug 15 : C1 SAR rejected(TN0524 C1 SAR already reviewed and approved as GTL.So,we will reject that candidate);10 Aug 15 : C1 SAR sub( the same site code as GTL)</v>
          </cell>
          <cell r="CC681" t="str">
            <v>RESIDENTIAL</v>
          </cell>
          <cell r="CE681">
            <v>7</v>
          </cell>
          <cell r="CF681">
            <v>42206</v>
          </cell>
          <cell r="CG681">
            <v>42185</v>
          </cell>
          <cell r="CH681">
            <v>42208</v>
          </cell>
          <cell r="CN681">
            <v>0</v>
          </cell>
          <cell r="CO681">
            <v>42211</v>
          </cell>
          <cell r="CQ681" t="str">
            <v>M4: solar + DG + battery</v>
          </cell>
          <cell r="CR681">
            <v>0</v>
          </cell>
          <cell r="CS681">
            <v>42212</v>
          </cell>
          <cell r="CU681" t="str">
            <v>TN0524</v>
          </cell>
          <cell r="DH681">
            <v>0</v>
          </cell>
          <cell r="DI681">
            <v>42222</v>
          </cell>
          <cell r="DK681">
            <v>42219</v>
          </cell>
          <cell r="DM681">
            <v>42223</v>
          </cell>
          <cell r="DO681">
            <v>0</v>
          </cell>
          <cell r="DP681">
            <v>42222</v>
          </cell>
          <cell r="DR681" t="str">
            <v>YCDC</v>
          </cell>
          <cell r="DT681">
            <v>0</v>
          </cell>
          <cell r="DU681">
            <v>42237</v>
          </cell>
          <cell r="DW681">
            <v>0</v>
          </cell>
          <cell r="DY681">
            <v>42223</v>
          </cell>
          <cell r="EA681" t="str">
            <v>Leadcom</v>
          </cell>
          <cell r="EJ681">
            <v>0</v>
          </cell>
          <cell r="EK681">
            <v>42238</v>
          </cell>
          <cell r="EM681">
            <v>42239</v>
          </cell>
          <cell r="EQ681">
            <v>42246</v>
          </cell>
          <cell r="EW681">
            <v>0</v>
          </cell>
          <cell r="EX681">
            <v>42260</v>
          </cell>
          <cell r="EZ681">
            <v>42256</v>
          </cell>
          <cell r="FB681">
            <v>42258</v>
          </cell>
          <cell r="FD681">
            <v>41936</v>
          </cell>
          <cell r="FF681">
            <v>41943</v>
          </cell>
          <cell r="FH681">
            <v>41945</v>
          </cell>
          <cell r="FJ681">
            <v>41948</v>
          </cell>
          <cell r="FN681">
            <v>41952</v>
          </cell>
          <cell r="FP681">
            <v>41954</v>
          </cell>
          <cell r="FR681">
            <v>41968</v>
          </cell>
          <cell r="FU681">
            <v>42260</v>
          </cell>
          <cell r="FW681">
            <v>42260</v>
          </cell>
          <cell r="GJ681">
            <v>0</v>
          </cell>
          <cell r="GN681" t="str">
            <v>ERICSSON</v>
          </cell>
          <cell r="GS681" t="str">
            <v>4/4/4</v>
          </cell>
          <cell r="GU681" t="str">
            <v xml:space="preserve">		</v>
          </cell>
          <cell r="HD681">
            <v>1</v>
          </cell>
        </row>
        <row r="682">
          <cell r="A682" t="str">
            <v>YN0118</v>
          </cell>
          <cell r="B682" t="str">
            <v>AYYN_0080</v>
          </cell>
          <cell r="C682" t="str">
            <v>Apollo</v>
          </cell>
          <cell r="D682" t="str">
            <v>Emilio Ruiz</v>
          </cell>
          <cell r="F682" t="str">
            <v>Myat Thura Leo</v>
          </cell>
          <cell r="G682" t="str">
            <v>Zin Win Htun</v>
          </cell>
          <cell r="H682" t="str">
            <v>RED</v>
          </cell>
          <cell r="I682" t="str">
            <v>South</v>
          </cell>
          <cell r="J682" t="str">
            <v>96.0897196</v>
          </cell>
          <cell r="K682" t="str">
            <v>16.9963632</v>
          </cell>
          <cell r="L682" t="str">
            <v>Urban</v>
          </cell>
          <cell r="M682" t="str">
            <v>Yangon North</v>
          </cell>
          <cell r="N682" t="str">
            <v>Shwepyithar</v>
          </cell>
          <cell r="O682" t="str">
            <v>Shwepyithar</v>
          </cell>
          <cell r="P682" t="str">
            <v>Yangon 2</v>
          </cell>
          <cell r="Q682" t="str">
            <v>16</v>
          </cell>
          <cell r="R682" t="str">
            <v>Shwepyithar</v>
          </cell>
          <cell r="S682" t="str">
            <v>203</v>
          </cell>
          <cell r="T682" t="str">
            <v>GSM+UMTS</v>
          </cell>
          <cell r="U682" t="str">
            <v>YAN-N007</v>
          </cell>
          <cell r="V682" t="str">
            <v>1</v>
          </cell>
          <cell r="W682" t="str">
            <v>Ph2-Priority</v>
          </cell>
          <cell r="X682" t="str">
            <v>30</v>
          </cell>
          <cell r="Y682" t="str">
            <v>30</v>
          </cell>
          <cell r="Z682" t="str">
            <v>GBT</v>
          </cell>
          <cell r="AA682" t="str">
            <v>250</v>
          </cell>
          <cell r="AB682" t="str">
            <v>Access</v>
          </cell>
          <cell r="AC682" t="str">
            <v>Class B</v>
          </cell>
          <cell r="AD682" t="str">
            <v>1210.77</v>
          </cell>
          <cell r="AE682" t="str">
            <v>1836.84</v>
          </cell>
          <cell r="AF682" t="str">
            <v>1</v>
          </cell>
          <cell r="AG682" t="str">
            <v>YN0133</v>
          </cell>
          <cell r="AH682" t="str">
            <v>YN0145</v>
          </cell>
          <cell r="BC682" t="str">
            <v>YN0145</v>
          </cell>
          <cell r="BE682" t="str">
            <v>Yangon Ring 1</v>
          </cell>
          <cell r="BF682">
            <v>41760</v>
          </cell>
          <cell r="BG682">
            <v>41906</v>
          </cell>
          <cell r="BH682" t="str">
            <v>Aster-DEG</v>
          </cell>
          <cell r="BJ682">
            <v>42159</v>
          </cell>
          <cell r="BK682">
            <v>41758</v>
          </cell>
          <cell r="BL682">
            <v>42164</v>
          </cell>
          <cell r="BM682">
            <v>42126</v>
          </cell>
          <cell r="BT682">
            <v>475</v>
          </cell>
          <cell r="BU682">
            <v>42217</v>
          </cell>
          <cell r="BV682">
            <v>42136</v>
          </cell>
          <cell r="BW682" t="str">
            <v>97.61742</v>
          </cell>
          <cell r="BX682" t="str">
            <v>17.40342</v>
          </cell>
          <cell r="BY682" t="str">
            <v>Reject</v>
          </cell>
          <cell r="BZ682" t="str">
            <v>U Paing N0-20,Tadar Oo Kyee Taing Pyin Kwin,War Kaw Village Group, Tadar Oo Village, Kamar Maung Township.</v>
          </cell>
          <cell r="CA682" t="str">
            <v>U Nyan Htun;War Kaw Village Group, Tadar Oo Village, Kamar Maung Township;09 255949181</v>
          </cell>
          <cell r="CB682" t="str">
            <v>22 Oct 14 : C2 SAR rejected(This site is 650m far from the nominal and close to the another site.; 20 Oct 14 : C3 SAR rejected(This site is 690m far from the nominal and close to the another site. For RF coverage this candidate is not possible. RND rejected.)</v>
          </cell>
          <cell r="CC682" t="str">
            <v>Garden Land</v>
          </cell>
          <cell r="CE682">
            <v>0</v>
          </cell>
          <cell r="CF682">
            <v>42218</v>
          </cell>
          <cell r="CG682">
            <v>42138</v>
          </cell>
          <cell r="CH682">
            <v>42220</v>
          </cell>
          <cell r="CJ682">
            <v>42153</v>
          </cell>
          <cell r="CK682" t="str">
            <v>45</v>
          </cell>
          <cell r="CL682" t="str">
            <v>47</v>
          </cell>
          <cell r="CM682" t="str">
            <v>45</v>
          </cell>
          <cell r="CN682">
            <v>0</v>
          </cell>
          <cell r="CO682">
            <v>42223</v>
          </cell>
          <cell r="CP682">
            <v>42156</v>
          </cell>
          <cell r="CQ682" t="str">
            <v>M4: solar + DG + battery</v>
          </cell>
          <cell r="CR682">
            <v>0</v>
          </cell>
          <cell r="CS682">
            <v>42224</v>
          </cell>
          <cell r="CT682">
            <v>42157</v>
          </cell>
          <cell r="CU682" t="str">
            <v>YN0118</v>
          </cell>
          <cell r="DH682">
            <v>0</v>
          </cell>
          <cell r="DI682">
            <v>42234</v>
          </cell>
          <cell r="DJ682">
            <v>42171</v>
          </cell>
          <cell r="DK682">
            <v>42231</v>
          </cell>
          <cell r="DL682">
            <v>42173</v>
          </cell>
          <cell r="DM682">
            <v>42235</v>
          </cell>
          <cell r="DN682">
            <v>42173</v>
          </cell>
          <cell r="DO682">
            <v>0</v>
          </cell>
          <cell r="DP682">
            <v>42234</v>
          </cell>
          <cell r="DQ682">
            <v>42172</v>
          </cell>
          <cell r="DR682" t="str">
            <v>YCDC</v>
          </cell>
          <cell r="DT682">
            <v>0</v>
          </cell>
          <cell r="DU682">
            <v>42249</v>
          </cell>
          <cell r="DW682">
            <v>0</v>
          </cell>
          <cell r="DY682">
            <v>42235</v>
          </cell>
          <cell r="DZ682">
            <v>42173</v>
          </cell>
          <cell r="EA682" t="str">
            <v>Leadcom</v>
          </cell>
          <cell r="ED682" t="str">
            <v>10Aug15 :PaingThu.Soe: 7-8-15 Tower erection done.Power installation making.
03Aug15 :PaingThu.Soe: 29-7-15 Tower erection ongoing.Equipment slab done.Power on site.
13Jul15 :PaingThu.Soe: 13-7-15 Excavation done.
06Jul15 :PaingThu.Soe: Excavation ongoing.
29Jun15 :PaingThu.Soe: Excavation ongoing.</v>
          </cell>
          <cell r="EJ682">
            <v>0</v>
          </cell>
          <cell r="EK682">
            <v>42250</v>
          </cell>
          <cell r="EL682">
            <v>42198</v>
          </cell>
          <cell r="EM682">
            <v>42251</v>
          </cell>
          <cell r="EN682">
            <v>42201</v>
          </cell>
          <cell r="EQ682">
            <v>42258</v>
          </cell>
          <cell r="ER682">
            <v>42219</v>
          </cell>
          <cell r="ES682">
            <v>42202</v>
          </cell>
          <cell r="ET682">
            <v>42219</v>
          </cell>
          <cell r="EU682">
            <v>42219</v>
          </cell>
          <cell r="EW682">
            <v>0</v>
          </cell>
          <cell r="EX682">
            <v>42222</v>
          </cell>
          <cell r="EZ682">
            <v>42268</v>
          </cell>
          <cell r="FA682">
            <v>42208</v>
          </cell>
          <cell r="FB682">
            <v>42270</v>
          </cell>
          <cell r="FC682">
            <v>42222</v>
          </cell>
          <cell r="FD682">
            <v>41936</v>
          </cell>
          <cell r="FE682">
            <v>42193</v>
          </cell>
          <cell r="FF682">
            <v>41943</v>
          </cell>
          <cell r="FH682">
            <v>41945</v>
          </cell>
          <cell r="FJ682">
            <v>41948</v>
          </cell>
          <cell r="FN682">
            <v>41952</v>
          </cell>
          <cell r="FP682">
            <v>41954</v>
          </cell>
          <cell r="FR682">
            <v>41968</v>
          </cell>
          <cell r="FU682">
            <v>42272</v>
          </cell>
          <cell r="FW682">
            <v>42272</v>
          </cell>
          <cell r="FX682">
            <v>42222</v>
          </cell>
          <cell r="GI682">
            <v>42246</v>
          </cell>
          <cell r="GJ682">
            <v>0</v>
          </cell>
          <cell r="GL682" t="str">
            <v>Upstream Dependency :: LoS not OK, Isolated site</v>
          </cell>
          <cell r="GN682" t="str">
            <v>ERICSSON</v>
          </cell>
          <cell r="GQ682" t="str">
            <v xml:space="preserve">Upstream Dependency; </v>
          </cell>
          <cell r="GS682" t="str">
            <v>4/4/4</v>
          </cell>
          <cell r="GU682" t="str">
            <v xml:space="preserve">		</v>
          </cell>
          <cell r="HD682">
            <v>1</v>
          </cell>
        </row>
        <row r="683">
          <cell r="A683" t="str">
            <v>YN0123</v>
          </cell>
          <cell r="B683" t="str">
            <v>AYYN_0083</v>
          </cell>
          <cell r="C683" t="str">
            <v>Apollo</v>
          </cell>
          <cell r="D683" t="str">
            <v>Emilio Ruiz</v>
          </cell>
          <cell r="F683" t="str">
            <v>Myat Thura Leo</v>
          </cell>
          <cell r="G683" t="str">
            <v>Zin Win Htun</v>
          </cell>
          <cell r="H683" t="str">
            <v>RED</v>
          </cell>
          <cell r="I683" t="str">
            <v>South</v>
          </cell>
          <cell r="J683" t="str">
            <v>96.0468002</v>
          </cell>
          <cell r="K683" t="str">
            <v>16.9870518</v>
          </cell>
          <cell r="L683" t="str">
            <v>Urban</v>
          </cell>
          <cell r="M683" t="str">
            <v>Yangon North</v>
          </cell>
          <cell r="N683" t="str">
            <v>Shwepyithar</v>
          </cell>
          <cell r="O683" t="str">
            <v>Shwepyithar</v>
          </cell>
          <cell r="P683" t="str">
            <v>Yangon 2</v>
          </cell>
          <cell r="Q683" t="str">
            <v>16</v>
          </cell>
          <cell r="R683" t="str">
            <v>Shwepyithar</v>
          </cell>
          <cell r="S683" t="str">
            <v>203</v>
          </cell>
          <cell r="T683" t="str">
            <v>GSM+UMTS</v>
          </cell>
          <cell r="U683" t="str">
            <v>YAN-N007</v>
          </cell>
          <cell r="V683" t="str">
            <v>1</v>
          </cell>
          <cell r="W683" t="str">
            <v>Ph2-Priority</v>
          </cell>
          <cell r="X683" t="str">
            <v>30</v>
          </cell>
          <cell r="Y683" t="str">
            <v>30</v>
          </cell>
          <cell r="Z683" t="str">
            <v>GBT</v>
          </cell>
          <cell r="AA683" t="str">
            <v>250</v>
          </cell>
          <cell r="AB683" t="str">
            <v>Access</v>
          </cell>
          <cell r="AC683" t="str">
            <v>Class B</v>
          </cell>
          <cell r="AD683" t="str">
            <v>1210.77</v>
          </cell>
          <cell r="AE683" t="str">
            <v>1836.84</v>
          </cell>
          <cell r="AF683" t="str">
            <v>1</v>
          </cell>
          <cell r="AG683" t="str">
            <v>YN0134</v>
          </cell>
          <cell r="AH683" t="str">
            <v>YN0145</v>
          </cell>
          <cell r="BC683" t="str">
            <v>YN0145</v>
          </cell>
          <cell r="BD683">
            <v>2</v>
          </cell>
          <cell r="BE683" t="str">
            <v>Yangon Ring 1</v>
          </cell>
          <cell r="BF683">
            <v>41760</v>
          </cell>
          <cell r="BG683">
            <v>41907</v>
          </cell>
          <cell r="BH683" t="str">
            <v>Aster-DEG</v>
          </cell>
          <cell r="BJ683">
            <v>42159</v>
          </cell>
          <cell r="BK683">
            <v>41759</v>
          </cell>
          <cell r="BL683">
            <v>42164</v>
          </cell>
          <cell r="BM683">
            <v>42174</v>
          </cell>
          <cell r="BO683">
            <v>41708</v>
          </cell>
          <cell r="BR683" t="str">
            <v>Nominal point is located within the industrial zone premises, High Rent ($1000)</v>
          </cell>
          <cell r="BT683">
            <v>474</v>
          </cell>
          <cell r="BU683">
            <v>42217</v>
          </cell>
          <cell r="BV683">
            <v>42213</v>
          </cell>
          <cell r="BW683" t="str">
            <v>96.35544</v>
          </cell>
          <cell r="BX683" t="str">
            <v>24.7615</v>
          </cell>
          <cell r="BY683" t="str">
            <v>C1</v>
          </cell>
          <cell r="CB683" t="str">
            <v>28 July 15:C1-SAR submission</v>
          </cell>
          <cell r="CC683" t="str">
            <v>Town</v>
          </cell>
          <cell r="CE683">
            <v>0</v>
          </cell>
          <cell r="CF683">
            <v>42218</v>
          </cell>
          <cell r="CG683">
            <v>42214</v>
          </cell>
          <cell r="CH683">
            <v>42220</v>
          </cell>
          <cell r="CN683">
            <v>0</v>
          </cell>
          <cell r="CO683">
            <v>42223</v>
          </cell>
          <cell r="CQ683" t="str">
            <v>M1: grid power + battery</v>
          </cell>
          <cell r="CR683">
            <v>0</v>
          </cell>
          <cell r="CS683">
            <v>42224</v>
          </cell>
          <cell r="CU683" t="str">
            <v>YN0123</v>
          </cell>
          <cell r="DH683">
            <v>0</v>
          </cell>
          <cell r="DI683">
            <v>42234</v>
          </cell>
          <cell r="DK683">
            <v>42231</v>
          </cell>
          <cell r="DM683">
            <v>42235</v>
          </cell>
          <cell r="DO683">
            <v>0</v>
          </cell>
          <cell r="DP683">
            <v>42234</v>
          </cell>
          <cell r="DR683" t="str">
            <v>YCDC</v>
          </cell>
          <cell r="DT683">
            <v>0</v>
          </cell>
          <cell r="DU683">
            <v>42249</v>
          </cell>
          <cell r="DW683">
            <v>0</v>
          </cell>
          <cell r="DY683">
            <v>42235</v>
          </cell>
          <cell r="EA683" t="str">
            <v>Leadcom</v>
          </cell>
          <cell r="EJ683">
            <v>0</v>
          </cell>
          <cell r="EK683">
            <v>42250</v>
          </cell>
          <cell r="EM683">
            <v>42251</v>
          </cell>
          <cell r="EQ683">
            <v>42258</v>
          </cell>
          <cell r="EW683">
            <v>0</v>
          </cell>
          <cell r="EX683">
            <v>42222</v>
          </cell>
          <cell r="EZ683">
            <v>42268</v>
          </cell>
          <cell r="FB683">
            <v>42270</v>
          </cell>
          <cell r="FD683">
            <v>41936</v>
          </cell>
          <cell r="FF683">
            <v>41943</v>
          </cell>
          <cell r="FH683">
            <v>41945</v>
          </cell>
          <cell r="FJ683">
            <v>41948</v>
          </cell>
          <cell r="FN683">
            <v>41952</v>
          </cell>
          <cell r="FP683">
            <v>41954</v>
          </cell>
          <cell r="FR683">
            <v>41968</v>
          </cell>
          <cell r="FU683">
            <v>42272</v>
          </cell>
          <cell r="FW683">
            <v>42272</v>
          </cell>
          <cell r="GJ683">
            <v>0</v>
          </cell>
          <cell r="GN683" t="str">
            <v>ERICSSON</v>
          </cell>
          <cell r="GS683" t="str">
            <v>4/4/4</v>
          </cell>
          <cell r="GU683" t="str">
            <v xml:space="preserve">		</v>
          </cell>
          <cell r="HD683">
            <v>1</v>
          </cell>
        </row>
        <row r="684">
          <cell r="A684" t="str">
            <v>YN0127</v>
          </cell>
          <cell r="B684" t="str">
            <v>AYYN_0085</v>
          </cell>
          <cell r="C684" t="str">
            <v>Apollo</v>
          </cell>
          <cell r="D684" t="str">
            <v>Robert</v>
          </cell>
          <cell r="F684" t="str">
            <v>Myat Thura Leo</v>
          </cell>
          <cell r="G684" t="str">
            <v>Han Soe Aung</v>
          </cell>
          <cell r="H684" t="str">
            <v>RED</v>
          </cell>
          <cell r="I684" t="str">
            <v>South</v>
          </cell>
          <cell r="J684" t="str">
            <v>96.62841918</v>
          </cell>
          <cell r="K684" t="str">
            <v>16.98202857</v>
          </cell>
          <cell r="L684" t="str">
            <v>Rural</v>
          </cell>
          <cell r="M684" t="str">
            <v>Yangon South</v>
          </cell>
          <cell r="N684" t="str">
            <v>Kayan</v>
          </cell>
          <cell r="O684" t="str">
            <v>Kayan</v>
          </cell>
          <cell r="P684" t="str">
            <v>Yangon 3</v>
          </cell>
          <cell r="Q684" t="str">
            <v>17</v>
          </cell>
          <cell r="R684" t="str">
            <v>Kayan</v>
          </cell>
          <cell r="S684" t="str">
            <v>222</v>
          </cell>
          <cell r="T684" t="str">
            <v>GSM+UMTS</v>
          </cell>
          <cell r="U684" t="str">
            <v>YAN-N037</v>
          </cell>
          <cell r="V684" t="str">
            <v>1</v>
          </cell>
          <cell r="W684" t="str">
            <v>Ph2-Priority</v>
          </cell>
          <cell r="X684" t="str">
            <v>45</v>
          </cell>
          <cell r="Y684" t="str">
            <v>47</v>
          </cell>
          <cell r="Z684" t="str">
            <v>GBT</v>
          </cell>
          <cell r="AA684" t="str">
            <v>500</v>
          </cell>
          <cell r="AB684" t="str">
            <v>Access</v>
          </cell>
          <cell r="AC684" t="str">
            <v>Class C</v>
          </cell>
          <cell r="AD684" t="str">
            <v>644.77</v>
          </cell>
          <cell r="AE684" t="str">
            <v>907.54</v>
          </cell>
          <cell r="AF684" t="str">
            <v>1</v>
          </cell>
          <cell r="AG684" t="str">
            <v>YN0219</v>
          </cell>
          <cell r="AH684" t="str">
            <v>YN0292</v>
          </cell>
          <cell r="AI684" t="str">
            <v>YN0145</v>
          </cell>
          <cell r="BC684" t="str">
            <v>YN0292</v>
          </cell>
          <cell r="BE684" t="str">
            <v>Yangon Ring 4</v>
          </cell>
          <cell r="BF684">
            <v>42124</v>
          </cell>
          <cell r="BG684">
            <v>42108</v>
          </cell>
          <cell r="BH684" t="str">
            <v>Camusat</v>
          </cell>
          <cell r="BJ684">
            <v>42159</v>
          </cell>
          <cell r="BK684">
            <v>41766</v>
          </cell>
          <cell r="BL684">
            <v>42164</v>
          </cell>
          <cell r="BM684">
            <v>42161</v>
          </cell>
          <cell r="BT684">
            <v>467</v>
          </cell>
          <cell r="BU684">
            <v>42251</v>
          </cell>
          <cell r="BV684">
            <v>42234</v>
          </cell>
          <cell r="BW684" t="str">
            <v>96.60475</v>
          </cell>
          <cell r="BX684" t="str">
            <v>16.9814</v>
          </cell>
          <cell r="BY684" t="str">
            <v>C5</v>
          </cell>
          <cell r="BZ684" t="str">
            <v>No.108, Tha Pyu Kan Village, Kayan Township, Yangon Division.</v>
          </cell>
          <cell r="CA684" t="str">
            <v>U San Win,09-49605827, 09-420231018</v>
          </cell>
          <cell r="CB684" t="str">
            <v>20 Aug 15 : C5 app as an option 1 with justification;18 Aug 15:C5 SAR +JUSTIFICATION SUBMITTED;13 Aug 15: C3 deactivate because of rejected in TSS as O&amp;M issue. Not able to acess site in rainy season;17 Jun 15 : C3 SAR app;16Jun15:C3 SAR Sub. C2 Farmland rejected by Apollo.  19Mar15: C1 Owner backout due to access issue. SAR date cleared TSSR 15Jan15: C1 SAR App</v>
          </cell>
          <cell r="CC684" t="str">
            <v>VILLAGE LAND</v>
          </cell>
          <cell r="CE684">
            <v>0</v>
          </cell>
          <cell r="CF684">
            <v>42252</v>
          </cell>
          <cell r="CG684">
            <v>42236</v>
          </cell>
          <cell r="CH684">
            <v>42254</v>
          </cell>
          <cell r="CJ684">
            <v>42240</v>
          </cell>
          <cell r="CK684" t="str">
            <v>45</v>
          </cell>
          <cell r="CL684" t="str">
            <v>47</v>
          </cell>
          <cell r="CM684" t="str">
            <v>50</v>
          </cell>
          <cell r="CN684">
            <v>0</v>
          </cell>
          <cell r="CO684">
            <v>42257</v>
          </cell>
          <cell r="CP684">
            <v>42242</v>
          </cell>
          <cell r="CQ684" t="str">
            <v>M4: solar + DG + battery</v>
          </cell>
          <cell r="CR684">
            <v>0</v>
          </cell>
          <cell r="CS684">
            <v>42258</v>
          </cell>
          <cell r="CT684">
            <v>42244</v>
          </cell>
          <cell r="CU684" t="str">
            <v>YN0127</v>
          </cell>
          <cell r="DH684">
            <v>0</v>
          </cell>
          <cell r="DI684">
            <v>42268</v>
          </cell>
          <cell r="DK684">
            <v>42265</v>
          </cell>
          <cell r="DM684">
            <v>42269</v>
          </cell>
          <cell r="DO684">
            <v>0</v>
          </cell>
          <cell r="DP684">
            <v>42268</v>
          </cell>
          <cell r="DR684" t="str">
            <v>Kayan GAO</v>
          </cell>
          <cell r="DT684">
            <v>0</v>
          </cell>
          <cell r="DU684">
            <v>42283</v>
          </cell>
          <cell r="DW684">
            <v>0</v>
          </cell>
          <cell r="DY684">
            <v>42269</v>
          </cell>
          <cell r="EA684" t="str">
            <v>Camusat</v>
          </cell>
          <cell r="EJ684">
            <v>0</v>
          </cell>
          <cell r="EK684">
            <v>42286</v>
          </cell>
          <cell r="EM684">
            <v>42287</v>
          </cell>
          <cell r="EQ684">
            <v>42296</v>
          </cell>
          <cell r="EW684">
            <v>0</v>
          </cell>
          <cell r="EX684">
            <v>42310</v>
          </cell>
          <cell r="EZ684">
            <v>42306</v>
          </cell>
          <cell r="FB684">
            <v>42308</v>
          </cell>
          <cell r="FD684">
            <v>41932</v>
          </cell>
          <cell r="FF684">
            <v>41939</v>
          </cell>
          <cell r="FH684">
            <v>41941</v>
          </cell>
          <cell r="FJ684">
            <v>41944</v>
          </cell>
          <cell r="FN684">
            <v>41948</v>
          </cell>
          <cell r="FP684">
            <v>41950</v>
          </cell>
          <cell r="FR684">
            <v>41964</v>
          </cell>
          <cell r="FU684">
            <v>42310</v>
          </cell>
          <cell r="FW684">
            <v>42310</v>
          </cell>
          <cell r="GJ684">
            <v>0</v>
          </cell>
          <cell r="GN684" t="str">
            <v>ERICSSON</v>
          </cell>
          <cell r="GS684" t="str">
            <v>4/4/4</v>
          </cell>
          <cell r="GU684" t="str">
            <v xml:space="preserve">		</v>
          </cell>
          <cell r="HD684">
            <v>1</v>
          </cell>
        </row>
        <row r="685">
          <cell r="A685" t="str">
            <v>YN0174</v>
          </cell>
          <cell r="B685" t="str">
            <v>AYYN_0249</v>
          </cell>
          <cell r="C685" t="str">
            <v>Apollo</v>
          </cell>
          <cell r="D685" t="str">
            <v>Emilio Ruiz</v>
          </cell>
          <cell r="F685" t="str">
            <v>Myat Thura Leo</v>
          </cell>
          <cell r="G685" t="str">
            <v>May Myat Noe</v>
          </cell>
          <cell r="H685" t="str">
            <v>RED</v>
          </cell>
          <cell r="I685" t="str">
            <v>South</v>
          </cell>
          <cell r="J685" t="str">
            <v>96.1782741</v>
          </cell>
          <cell r="K685" t="str">
            <v>16.9504375</v>
          </cell>
          <cell r="L685" t="str">
            <v>Urban</v>
          </cell>
          <cell r="M685" t="str">
            <v>Yangon East</v>
          </cell>
          <cell r="N685" t="str">
            <v>Yangon</v>
          </cell>
          <cell r="O685" t="str">
            <v>North Okkalapa</v>
          </cell>
          <cell r="P685" t="str">
            <v>Yangon 1</v>
          </cell>
          <cell r="Q685" t="str">
            <v>15</v>
          </cell>
          <cell r="R685" t="str">
            <v>North Okkalapa</v>
          </cell>
          <cell r="S685" t="str">
            <v>208</v>
          </cell>
          <cell r="T685" t="str">
            <v>GSM+UMTS</v>
          </cell>
          <cell r="U685" t="str">
            <v>YAN-N017</v>
          </cell>
          <cell r="V685" t="str">
            <v>1</v>
          </cell>
          <cell r="W685" t="str">
            <v>Ph2-Priority</v>
          </cell>
          <cell r="X685" t="str">
            <v>30</v>
          </cell>
          <cell r="Y685" t="str">
            <v>32</v>
          </cell>
          <cell r="Z685" t="str">
            <v>GBT</v>
          </cell>
          <cell r="AA685" t="str">
            <v>250</v>
          </cell>
          <cell r="AB685" t="str">
            <v>Access</v>
          </cell>
          <cell r="AC685" t="str">
            <v>Class B</v>
          </cell>
          <cell r="AD685" t="str">
            <v>1590</v>
          </cell>
          <cell r="AE685" t="str">
            <v>1955</v>
          </cell>
          <cell r="AF685" t="str">
            <v>3</v>
          </cell>
          <cell r="AG685" t="str">
            <v>YN0165</v>
          </cell>
          <cell r="AH685" t="str">
            <v>YN0142</v>
          </cell>
          <cell r="AI685">
            <v>0</v>
          </cell>
          <cell r="AJ685">
            <v>0</v>
          </cell>
          <cell r="BC685" t="str">
            <v>YN0142</v>
          </cell>
          <cell r="BD685" t="str">
            <v>2</v>
          </cell>
          <cell r="BE685" t="str">
            <v>Route 2 Yangon -Mawlamyine</v>
          </cell>
          <cell r="BF685">
            <v>42034</v>
          </cell>
          <cell r="BG685">
            <v>41908</v>
          </cell>
          <cell r="BH685" t="str">
            <v>Aster-DEG</v>
          </cell>
          <cell r="BJ685">
            <v>42159</v>
          </cell>
          <cell r="BK685">
            <v>41664</v>
          </cell>
          <cell r="BL685">
            <v>42164</v>
          </cell>
          <cell r="BM685">
            <v>42139</v>
          </cell>
          <cell r="BO685">
            <v>41708</v>
          </cell>
          <cell r="BR685" t="str">
            <v>Nominal point is located within the industrial zone premises, High Rent ($1000)</v>
          </cell>
          <cell r="BT685">
            <v>569</v>
          </cell>
          <cell r="BU685">
            <v>42217</v>
          </cell>
          <cell r="BV685">
            <v>42149</v>
          </cell>
          <cell r="BW685" t="str">
            <v>97.23174</v>
          </cell>
          <cell r="BX685" t="str">
            <v>19.87899</v>
          </cell>
          <cell r="BY685" t="str">
            <v>Reject</v>
          </cell>
          <cell r="BZ685" t="str">
            <v>NO.75, 8 WARD,LOI LIN LAY VILLAGE GROUP.</v>
          </cell>
          <cell r="CA685" t="str">
            <v>U MAUNG THAN;No-75, 2 Ward, Loi Lin Lay Village Group, Loikaw Township;09 49353904</v>
          </cell>
          <cell r="CB685"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E685">
            <v>0</v>
          </cell>
          <cell r="CF685">
            <v>42218</v>
          </cell>
          <cell r="CG685">
            <v>42151</v>
          </cell>
          <cell r="CH685">
            <v>42220</v>
          </cell>
          <cell r="CJ685">
            <v>42170</v>
          </cell>
          <cell r="CK685" t="str">
            <v>58</v>
          </cell>
          <cell r="CL685" t="str">
            <v>60</v>
          </cell>
          <cell r="CM685" t="str">
            <v>60</v>
          </cell>
          <cell r="CN685">
            <v>0</v>
          </cell>
          <cell r="CO685">
            <v>42223</v>
          </cell>
          <cell r="CP685">
            <v>42172</v>
          </cell>
          <cell r="CQ685" t="str">
            <v>M1: grid power + battery</v>
          </cell>
          <cell r="CR685">
            <v>0</v>
          </cell>
          <cell r="CS685">
            <v>42224</v>
          </cell>
          <cell r="CT685">
            <v>42173</v>
          </cell>
          <cell r="CU685" t="str">
            <v>YN0174</v>
          </cell>
          <cell r="DH685">
            <v>0</v>
          </cell>
          <cell r="DI685">
            <v>42234</v>
          </cell>
          <cell r="DK685">
            <v>42231</v>
          </cell>
          <cell r="DL685">
            <v>42180</v>
          </cell>
          <cell r="DM685">
            <v>42235</v>
          </cell>
          <cell r="DN685">
            <v>42180</v>
          </cell>
          <cell r="DO685">
            <v>0</v>
          </cell>
          <cell r="DP685">
            <v>42234</v>
          </cell>
          <cell r="DR685" t="str">
            <v>YCDC</v>
          </cell>
          <cell r="DT685">
            <v>0</v>
          </cell>
          <cell r="DU685">
            <v>42249</v>
          </cell>
          <cell r="DW685">
            <v>0</v>
          </cell>
          <cell r="DY685">
            <v>42235</v>
          </cell>
          <cell r="DZ685">
            <v>42184</v>
          </cell>
          <cell r="EA685" t="str">
            <v>Leadcom</v>
          </cell>
          <cell r="ED685" t="str">
            <v>10Aug15 :PaingThu.Soe: 7-8-15 Telecom eq on site.Column done.DG&amp;Rectifier done.Waiting tower delivery.
03Aug15 :PaingThu.Soe: 29-7-15 Column done.Waiting tower material delivery.Equipment pad done.
13Jul15 :PaingThu.Soe: 13-7-15 marking for excavation done.CW not start yet.
06Jul15 :PaingThu.Soe: marking for excavation done.CW not start yet.</v>
          </cell>
          <cell r="EJ685">
            <v>0</v>
          </cell>
          <cell r="EK685">
            <v>42250</v>
          </cell>
          <cell r="EL685">
            <v>42204</v>
          </cell>
          <cell r="EM685">
            <v>42251</v>
          </cell>
          <cell r="EQ685">
            <v>42258</v>
          </cell>
          <cell r="ES685">
            <v>42207</v>
          </cell>
          <cell r="EW685">
            <v>0</v>
          </cell>
          <cell r="EX685">
            <v>42222</v>
          </cell>
          <cell r="EZ685">
            <v>42268</v>
          </cell>
          <cell r="FA685">
            <v>42214</v>
          </cell>
          <cell r="FB685">
            <v>42270</v>
          </cell>
          <cell r="FC685">
            <v>42215</v>
          </cell>
          <cell r="FD685">
            <v>41937</v>
          </cell>
          <cell r="FE685">
            <v>42193</v>
          </cell>
          <cell r="FF685">
            <v>41944</v>
          </cell>
          <cell r="FH685">
            <v>41946</v>
          </cell>
          <cell r="FJ685">
            <v>41949</v>
          </cell>
          <cell r="FN685">
            <v>41953</v>
          </cell>
          <cell r="FP685">
            <v>41955</v>
          </cell>
          <cell r="FR685">
            <v>41969</v>
          </cell>
          <cell r="FU685">
            <v>42272</v>
          </cell>
          <cell r="FW685">
            <v>42272</v>
          </cell>
          <cell r="FY685" t="str">
            <v>AZM</v>
          </cell>
          <cell r="FZ685">
            <v>42219</v>
          </cell>
          <cell r="GA685">
            <v>42221</v>
          </cell>
          <cell r="GB685">
            <v>42223</v>
          </cell>
          <cell r="GC685">
            <v>42223</v>
          </cell>
          <cell r="GI685">
            <v>42246</v>
          </cell>
          <cell r="GJ685">
            <v>0</v>
          </cell>
          <cell r="GL685" t="str">
            <v>Fiber Dependency :: Fiber Termination Pending</v>
          </cell>
          <cell r="GN685" t="str">
            <v>ERICSSON</v>
          </cell>
          <cell r="GQ685" t="str">
            <v xml:space="preserve">Fiber Dependency; </v>
          </cell>
          <cell r="GS685" t="str">
            <v>4/4/4</v>
          </cell>
          <cell r="GU685" t="str">
            <v xml:space="preserve">		</v>
          </cell>
          <cell r="HD685">
            <v>1</v>
          </cell>
        </row>
        <row r="686">
          <cell r="A686" t="str">
            <v>YN0179</v>
          </cell>
          <cell r="B686" t="str">
            <v>AYYN_0093</v>
          </cell>
          <cell r="C686" t="str">
            <v>Apollo</v>
          </cell>
          <cell r="D686" t="str">
            <v>Emilio Ruiz</v>
          </cell>
          <cell r="F686" t="str">
            <v>Myat Thura Leo</v>
          </cell>
          <cell r="G686" t="str">
            <v>Zin Win Htun</v>
          </cell>
          <cell r="H686" t="str">
            <v>RED</v>
          </cell>
          <cell r="I686" t="str">
            <v>South</v>
          </cell>
          <cell r="J686" t="str">
            <v>96.076659</v>
          </cell>
          <cell r="K686" t="str">
            <v>16.948137</v>
          </cell>
          <cell r="L686" t="str">
            <v>Urban</v>
          </cell>
          <cell r="M686" t="str">
            <v>Yangon North</v>
          </cell>
          <cell r="N686" t="str">
            <v>Shwepyithar</v>
          </cell>
          <cell r="O686" t="str">
            <v>Shwepyithar</v>
          </cell>
          <cell r="P686" t="str">
            <v>Yangon 2</v>
          </cell>
          <cell r="Q686" t="str">
            <v>16</v>
          </cell>
          <cell r="R686" t="str">
            <v>Shwepyithar</v>
          </cell>
          <cell r="S686" t="str">
            <v>203</v>
          </cell>
          <cell r="T686" t="str">
            <v>GSM+UMTS</v>
          </cell>
          <cell r="U686" t="str">
            <v>YAN-N007</v>
          </cell>
          <cell r="V686" t="str">
            <v>1</v>
          </cell>
          <cell r="W686" t="str">
            <v>Ph2-Priority</v>
          </cell>
          <cell r="X686" t="str">
            <v>30</v>
          </cell>
          <cell r="Y686" t="str">
            <v>32</v>
          </cell>
          <cell r="Z686" t="str">
            <v>GBT</v>
          </cell>
          <cell r="AA686" t="str">
            <v>100</v>
          </cell>
          <cell r="AB686" t="str">
            <v>Access</v>
          </cell>
          <cell r="AC686" t="str">
            <v>Class B</v>
          </cell>
          <cell r="AD686" t="str">
            <v>1210.77</v>
          </cell>
          <cell r="AE686" t="str">
            <v>1836.84</v>
          </cell>
          <cell r="AF686" t="str">
            <v>1</v>
          </cell>
          <cell r="AG686" t="str">
            <v>YN0167</v>
          </cell>
          <cell r="AH686" t="str">
            <v>YN0155</v>
          </cell>
          <cell r="AI686" t="str">
            <v>YN0145</v>
          </cell>
          <cell r="BC686" t="str">
            <v>YN0145</v>
          </cell>
          <cell r="BE686" t="str">
            <v>Yangon Ring 1</v>
          </cell>
          <cell r="BF686">
            <v>41760</v>
          </cell>
          <cell r="BG686">
            <v>42033</v>
          </cell>
          <cell r="BH686" t="str">
            <v>Aster-DEG</v>
          </cell>
          <cell r="BJ686">
            <v>42151</v>
          </cell>
          <cell r="BK686">
            <v>41766</v>
          </cell>
          <cell r="BL686">
            <v>42156</v>
          </cell>
          <cell r="BM686">
            <v>42132</v>
          </cell>
          <cell r="BT686">
            <v>467</v>
          </cell>
          <cell r="BU686">
            <v>42191</v>
          </cell>
          <cell r="BV686">
            <v>42178</v>
          </cell>
          <cell r="BW686" t="str">
            <v>95.17051</v>
          </cell>
          <cell r="BX686" t="str">
            <v>19.33276</v>
          </cell>
          <cell r="BY686" t="str">
            <v>Reject</v>
          </cell>
          <cell r="BZ686" t="str">
            <v>A Nought Yet,Myoe pat road,Tha yet township.</v>
          </cell>
          <cell r="CA686" t="str">
            <v>Daw Khin Win;A Nouught yet Ward,Myo Path Road,Thayet Tsp;09256636599</v>
          </cell>
          <cell r="CB686" t="str">
            <v>13 Feb 15 : C1 SAR rejected again as per Ericsson request  ( RND rejected slim tower GBT. This site is 237m far from the nominal point and away from populated clutter. Need to find the site at 200 m from nominal at orientation of 300 degree to 350 degree, to serve the good coverage at center of populated area 11 Feb 15 : C1 SAR approved as an option 1(RND Approved 29m/30m as slim tower GBT and this site is 237m far from the nominal point.);prev plan tower height =35 M 10Feb15: C1 SAR Sub.</v>
          </cell>
          <cell r="CE686">
            <v>0</v>
          </cell>
          <cell r="CF686">
            <v>42192</v>
          </cell>
          <cell r="CG686">
            <v>42182</v>
          </cell>
          <cell r="CH686">
            <v>42194</v>
          </cell>
          <cell r="CJ686">
            <v>42191</v>
          </cell>
          <cell r="CK686" t="str">
            <v>35</v>
          </cell>
          <cell r="CL686" t="str">
            <v>37</v>
          </cell>
          <cell r="CM686" t="str">
            <v>45</v>
          </cell>
          <cell r="CN686">
            <v>0</v>
          </cell>
          <cell r="CO686">
            <v>42197</v>
          </cell>
          <cell r="CP686">
            <v>42193</v>
          </cell>
          <cell r="CQ686" t="str">
            <v>M1: grid power + battery</v>
          </cell>
          <cell r="CR686">
            <v>0</v>
          </cell>
          <cell r="CS686">
            <v>42198</v>
          </cell>
          <cell r="CT686">
            <v>42194</v>
          </cell>
          <cell r="CU686" t="str">
            <v>YN0179</v>
          </cell>
          <cell r="DH686">
            <v>0</v>
          </cell>
          <cell r="DI686">
            <v>42208</v>
          </cell>
          <cell r="DK686">
            <v>42205</v>
          </cell>
          <cell r="DL686">
            <v>42209</v>
          </cell>
          <cell r="DM686">
            <v>42209</v>
          </cell>
          <cell r="DN686">
            <v>42209</v>
          </cell>
          <cell r="DO686">
            <v>0</v>
          </cell>
          <cell r="DP686">
            <v>42208</v>
          </cell>
          <cell r="DR686" t="str">
            <v>YCDC</v>
          </cell>
          <cell r="DS686" t="str">
            <v>Daw Tin Moe Shwe (Executive Engineer)
(Contact: 056-21793)
U Sein Win (Assistant Engineer)
(Contact: 09-5405958)
Daw Tin Zar Moe (Junior Clerk)
(Contact: 056-21793)</v>
          </cell>
          <cell r="DT686">
            <v>0</v>
          </cell>
          <cell r="DU686">
            <v>42223</v>
          </cell>
          <cell r="DW686">
            <v>0</v>
          </cell>
          <cell r="DY686">
            <v>42209</v>
          </cell>
          <cell r="DZ686">
            <v>42203</v>
          </cell>
          <cell r="EA686" t="str">
            <v>Leadcom</v>
          </cell>
          <cell r="EE686" t="str">
            <v xml:space="preserve">10 Aug 15:Rain affected_Progress affected; 4-Aug-15:   ACCESS PROBLEM IF CONTINUOUS RAIN (DIRT ROAD),rebar fabrication								</v>
          </cell>
          <cell r="EJ686">
            <v>0</v>
          </cell>
          <cell r="EK686">
            <v>42226</v>
          </cell>
          <cell r="EM686">
            <v>42227</v>
          </cell>
          <cell r="EQ686">
            <v>42236</v>
          </cell>
          <cell r="EW686">
            <v>0</v>
          </cell>
          <cell r="EX686">
            <v>42215</v>
          </cell>
          <cell r="EZ686">
            <v>42246</v>
          </cell>
          <cell r="FB686">
            <v>42248</v>
          </cell>
          <cell r="FD686">
            <v>41937</v>
          </cell>
          <cell r="FF686">
            <v>41944</v>
          </cell>
          <cell r="FH686">
            <v>41946</v>
          </cell>
          <cell r="FJ686">
            <v>41949</v>
          </cell>
          <cell r="FN686">
            <v>41953</v>
          </cell>
          <cell r="FP686">
            <v>41955</v>
          </cell>
          <cell r="FR686">
            <v>41969</v>
          </cell>
          <cell r="FU686">
            <v>42250</v>
          </cell>
          <cell r="FW686">
            <v>42250</v>
          </cell>
          <cell r="GI686">
            <v>42125</v>
          </cell>
          <cell r="GJ686">
            <v>0</v>
          </cell>
          <cell r="GN686" t="str">
            <v>ERICSSON</v>
          </cell>
          <cell r="GP686">
            <v>41942</v>
          </cell>
          <cell r="GS686" t="str">
            <v>4/4/4</v>
          </cell>
          <cell r="GU686" t="str">
            <v xml:space="preserve">		</v>
          </cell>
          <cell r="HD686">
            <v>1</v>
          </cell>
        </row>
        <row r="687">
          <cell r="A687" t="str">
            <v>YN0224</v>
          </cell>
          <cell r="B687" t="str">
            <v>AYYN_0100</v>
          </cell>
          <cell r="C687" t="str">
            <v>Apollo</v>
          </cell>
          <cell r="D687" t="str">
            <v>Emilio Ruiz</v>
          </cell>
          <cell r="F687" t="str">
            <v>Myat Thura Leo</v>
          </cell>
          <cell r="G687" t="str">
            <v>May Myat Noe</v>
          </cell>
          <cell r="H687" t="str">
            <v>RED</v>
          </cell>
          <cell r="I687" t="str">
            <v>South</v>
          </cell>
          <cell r="J687" t="str">
            <v>96.1639</v>
          </cell>
          <cell r="K687" t="str">
            <v>16.92361</v>
          </cell>
          <cell r="L687" t="str">
            <v>Urban</v>
          </cell>
          <cell r="M687" t="str">
            <v>Yangon East</v>
          </cell>
          <cell r="N687" t="str">
            <v>North Okkalapa</v>
          </cell>
          <cell r="O687" t="str">
            <v>North Okkalapa</v>
          </cell>
          <cell r="P687" t="str">
            <v>Yangon 1</v>
          </cell>
          <cell r="Q687" t="str">
            <v>15</v>
          </cell>
          <cell r="R687" t="str">
            <v>North Okkalapa</v>
          </cell>
          <cell r="S687" t="str">
            <v>208</v>
          </cell>
          <cell r="T687" t="str">
            <v>GSM+UMTS</v>
          </cell>
          <cell r="U687" t="str">
            <v>YAN-N017</v>
          </cell>
          <cell r="V687" t="str">
            <v>1</v>
          </cell>
          <cell r="W687" t="str">
            <v>Ph2-Priority</v>
          </cell>
          <cell r="X687" t="str">
            <v>30</v>
          </cell>
          <cell r="Y687" t="str">
            <v>30</v>
          </cell>
          <cell r="Z687" t="str">
            <v>GBT</v>
          </cell>
          <cell r="AA687" t="str">
            <v>100</v>
          </cell>
          <cell r="AB687" t="str">
            <v>Access</v>
          </cell>
          <cell r="AC687" t="str">
            <v>Class B</v>
          </cell>
          <cell r="AD687" t="str">
            <v>1210.77</v>
          </cell>
          <cell r="AE687" t="str">
            <v>1836.84</v>
          </cell>
          <cell r="AF687" t="str">
            <v>1</v>
          </cell>
          <cell r="AG687" t="str">
            <v>YN0222</v>
          </cell>
          <cell r="AH687" t="str">
            <v>YN0231</v>
          </cell>
          <cell r="BC687" t="str">
            <v>YN0298</v>
          </cell>
          <cell r="BE687" t="str">
            <v>Yangon Ring 1</v>
          </cell>
          <cell r="BF687">
            <v>41760</v>
          </cell>
          <cell r="BG687">
            <v>41994</v>
          </cell>
          <cell r="BH687" t="str">
            <v>Aster-DEG</v>
          </cell>
          <cell r="BJ687">
            <v>42151</v>
          </cell>
          <cell r="BK687">
            <v>41766</v>
          </cell>
          <cell r="BL687">
            <v>42156</v>
          </cell>
          <cell r="BT687">
            <v>467</v>
          </cell>
          <cell r="BU687">
            <v>42191</v>
          </cell>
          <cell r="BY687" t="str">
            <v>Reject</v>
          </cell>
          <cell r="CB687"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E687">
            <v>0</v>
          </cell>
          <cell r="CF687">
            <v>42192</v>
          </cell>
          <cell r="CH687">
            <v>42194</v>
          </cell>
          <cell r="CN687">
            <v>0</v>
          </cell>
          <cell r="CO687">
            <v>42197</v>
          </cell>
          <cell r="CQ687" t="str">
            <v>M1: grid power + battery</v>
          </cell>
          <cell r="CR687">
            <v>0</v>
          </cell>
          <cell r="CS687">
            <v>42198</v>
          </cell>
          <cell r="CU687" t="str">
            <v>YN0224</v>
          </cell>
          <cell r="DH687">
            <v>0</v>
          </cell>
          <cell r="DI687">
            <v>42208</v>
          </cell>
          <cell r="DK687">
            <v>42205</v>
          </cell>
          <cell r="DM687">
            <v>42209</v>
          </cell>
          <cell r="DO687">
            <v>0</v>
          </cell>
          <cell r="DP687">
            <v>42208</v>
          </cell>
          <cell r="DR687" t="str">
            <v>YCDC</v>
          </cell>
          <cell r="DT687">
            <v>0</v>
          </cell>
          <cell r="DU687">
            <v>42223</v>
          </cell>
          <cell r="DW687">
            <v>0</v>
          </cell>
          <cell r="DY687">
            <v>42209</v>
          </cell>
          <cell r="EA687" t="str">
            <v>Leadcom</v>
          </cell>
          <cell r="EJ687">
            <v>0</v>
          </cell>
          <cell r="EK687">
            <v>42224</v>
          </cell>
          <cell r="EM687">
            <v>42225</v>
          </cell>
          <cell r="EQ687">
            <v>42232</v>
          </cell>
          <cell r="EW687">
            <v>0</v>
          </cell>
          <cell r="EX687">
            <v>42211</v>
          </cell>
          <cell r="EZ687">
            <v>42242</v>
          </cell>
          <cell r="FB687">
            <v>42244</v>
          </cell>
          <cell r="FD687">
            <v>41947</v>
          </cell>
          <cell r="FF687">
            <v>41954</v>
          </cell>
          <cell r="FH687">
            <v>41956</v>
          </cell>
          <cell r="FJ687">
            <v>41959</v>
          </cell>
          <cell r="FN687">
            <v>41963</v>
          </cell>
          <cell r="FP687">
            <v>41965</v>
          </cell>
          <cell r="FR687">
            <v>41979</v>
          </cell>
          <cell r="FU687">
            <v>42246</v>
          </cell>
          <cell r="FW687">
            <v>42246</v>
          </cell>
          <cell r="GF687">
            <v>42119</v>
          </cell>
          <cell r="GJ687">
            <v>0</v>
          </cell>
          <cell r="GN687" t="str">
            <v>ERICSSON</v>
          </cell>
          <cell r="GS687" t="str">
            <v>4/4/4</v>
          </cell>
          <cell r="GU687" t="str">
            <v xml:space="preserve">		</v>
          </cell>
          <cell r="HD687">
            <v>1</v>
          </cell>
        </row>
        <row r="688">
          <cell r="A688" t="str">
            <v>YN0242</v>
          </cell>
          <cell r="B688" t="str">
            <v>AYYN_0103</v>
          </cell>
          <cell r="C688" t="str">
            <v>Apollo</v>
          </cell>
          <cell r="D688" t="str">
            <v>Emilio Ruiz</v>
          </cell>
          <cell r="F688" t="str">
            <v>Myat Thura Leo</v>
          </cell>
          <cell r="G688" t="str">
            <v>Han Soe Aung</v>
          </cell>
          <cell r="H688" t="str">
            <v>AMBER</v>
          </cell>
          <cell r="I688" t="str">
            <v>South</v>
          </cell>
          <cell r="J688" t="str">
            <v>96.37152</v>
          </cell>
          <cell r="K688" t="str">
            <v>16.92703</v>
          </cell>
          <cell r="L688" t="str">
            <v>Rural</v>
          </cell>
          <cell r="M688" t="str">
            <v>Yangon South</v>
          </cell>
          <cell r="N688" t="str">
            <v>Thanlyin</v>
          </cell>
          <cell r="O688" t="str">
            <v>Thanlyin</v>
          </cell>
          <cell r="P688" t="str">
            <v>Yangon 3</v>
          </cell>
          <cell r="Q688" t="str">
            <v>17</v>
          </cell>
          <cell r="R688" t="str">
            <v>Thanlyin</v>
          </cell>
          <cell r="S688" t="str">
            <v>219</v>
          </cell>
          <cell r="T688" t="str">
            <v>GSM+UMTS</v>
          </cell>
          <cell r="U688" t="str">
            <v>YAN-N036</v>
          </cell>
          <cell r="V688" t="str">
            <v>1</v>
          </cell>
          <cell r="W688" t="str">
            <v>Ph2-Priority</v>
          </cell>
          <cell r="X688" t="str">
            <v>45</v>
          </cell>
          <cell r="Y688" t="str">
            <v>47</v>
          </cell>
          <cell r="Z688" t="str">
            <v>GBT</v>
          </cell>
          <cell r="AA688" t="str">
            <v>500</v>
          </cell>
          <cell r="AB688" t="str">
            <v>Access</v>
          </cell>
          <cell r="AC688" t="str">
            <v>Class C</v>
          </cell>
          <cell r="AD688" t="str">
            <v>644.77</v>
          </cell>
          <cell r="AE688" t="str">
            <v>907.54</v>
          </cell>
          <cell r="AF688" t="str">
            <v>2</v>
          </cell>
          <cell r="AG688" t="str">
            <v>YN0214</v>
          </cell>
          <cell r="AH688" t="str">
            <v>YN0266</v>
          </cell>
          <cell r="AI688" t="str">
            <v>YN0565</v>
          </cell>
          <cell r="BC688" t="str">
            <v>YN0565</v>
          </cell>
          <cell r="BE688" t="str">
            <v>Yangon Ring 5</v>
          </cell>
          <cell r="BF688">
            <v>42093</v>
          </cell>
          <cell r="BG688">
            <v>41963</v>
          </cell>
          <cell r="BH688" t="str">
            <v>Camusat</v>
          </cell>
          <cell r="BJ688">
            <v>42170</v>
          </cell>
          <cell r="BK688">
            <v>41766</v>
          </cell>
          <cell r="BL688">
            <v>42175</v>
          </cell>
          <cell r="BO688">
            <v>41701</v>
          </cell>
          <cell r="BR688" t="str">
            <v>Nominal Point</v>
          </cell>
          <cell r="BS688">
            <v>41730</v>
          </cell>
          <cell r="BT688">
            <v>441</v>
          </cell>
          <cell r="BU688">
            <v>42191</v>
          </cell>
          <cell r="BV688">
            <v>42207</v>
          </cell>
          <cell r="BW688" t="str">
            <v>96.37582</v>
          </cell>
          <cell r="BX688" t="str">
            <v>16.92814</v>
          </cell>
          <cell r="BY688" t="str">
            <v>C4</v>
          </cell>
          <cell r="BZ688" t="str">
            <v>Kyaung Street, East Phar Kuu Quarter, Phar Kuu Village, Thanlyin Township,</v>
          </cell>
          <cell r="CA688" t="str">
            <v>U Mg Win,09-250160606</v>
          </cell>
          <cell r="CB688" t="str">
            <v>27 July 15 : C4 SAR approved as an option 1(RND antenna height is 45m reduce to 38m because of space constraints Apollo cannot build 45m as per confirmation mail from roll out on 23_July-15. That's why RND approved with 38m / 40m GBT as priority 1. This site is 477m far from the nominal point.);22 July 15: C4 SAR sub( The C1 was an old candidate from Phase 1 sites, since Apollo had a new C1 and  renamed it as C4 to prevent confusion);22 July 15: C1 SAR  approved with 40 M Tower and E// request to submit TSSR with 40 M Tower ;21 July 15 : Apollo send email to revalidate  and approve C1 SAR with 40 M Tower because C3 has NOC and can’t able to get TAR to ward officer and YN0242_C1 change of tower height from 45m to 40m; 14 July 15 : C3 TSSR app;6 Jul 15 : C3 SAR app;  10 July 15: C3 SAR updated technical info released because of reducing Tower height to 40 M as per Apollo request ,they have space constraints issue ( Frist RND approved with 45m/47m GBT. But TM RO request to approved with 40m tower so that RND reconsider and approved with 40m tower. This site added to Deviation sites and if impact for RF coverage that we already notice to TM RO);2  July 15 : C3 SAR sub;20Oct14: Cleaned up due to ReHunt, prev C1 SAR app;</v>
          </cell>
          <cell r="CC688" t="str">
            <v>Town</v>
          </cell>
          <cell r="CE688">
            <v>5</v>
          </cell>
          <cell r="CF688">
            <v>42192</v>
          </cell>
          <cell r="CG688">
            <v>42212</v>
          </cell>
          <cell r="CH688">
            <v>42194</v>
          </cell>
          <cell r="CJ688">
            <v>42210</v>
          </cell>
          <cell r="CK688" t="str">
            <v>38</v>
          </cell>
          <cell r="CL688" t="str">
            <v>40</v>
          </cell>
          <cell r="CM688" t="str">
            <v>40</v>
          </cell>
          <cell r="CN688">
            <v>0</v>
          </cell>
          <cell r="CO688">
            <v>42197</v>
          </cell>
          <cell r="CP688">
            <v>42212</v>
          </cell>
          <cell r="CQ688" t="str">
            <v>M4: solar + DG + battery</v>
          </cell>
          <cell r="CR688">
            <v>1</v>
          </cell>
          <cell r="CS688">
            <v>42198</v>
          </cell>
          <cell r="CT688">
            <v>42213</v>
          </cell>
          <cell r="CU688" t="str">
            <v>YN0242</v>
          </cell>
          <cell r="DH688">
            <v>20</v>
          </cell>
          <cell r="DI688">
            <v>42208</v>
          </cell>
          <cell r="DK688">
            <v>42205</v>
          </cell>
          <cell r="DL688">
            <v>42210</v>
          </cell>
          <cell r="DM688">
            <v>42209</v>
          </cell>
          <cell r="DN688">
            <v>42210</v>
          </cell>
          <cell r="DO688">
            <v>0</v>
          </cell>
          <cell r="DP688">
            <v>42208</v>
          </cell>
          <cell r="DR688" t="str">
            <v>Thanlyin CDC</v>
          </cell>
          <cell r="DS688" t="str">
            <v>Daw Tin Moe Shwe (Executive Engineer)
(Contact: 056-21793)
U Sein Win (Assistant Engineer)
(Contact: 09-5405958)
Daw Tin Zar Moe (Junior Clerk)
(Contact: 056-21793)</v>
          </cell>
          <cell r="DT688">
            <v>0</v>
          </cell>
          <cell r="DU688">
            <v>42223</v>
          </cell>
          <cell r="DW688">
            <v>0</v>
          </cell>
          <cell r="DY688">
            <v>42209</v>
          </cell>
          <cell r="DZ688">
            <v>42212</v>
          </cell>
          <cell r="EA688" t="str">
            <v>MER</v>
          </cell>
          <cell r="EB688">
            <v>42216</v>
          </cell>
          <cell r="ED688" t="str">
            <v xml:space="preserve">02Sep15 :HanSoe.Aung: Pedestal and equipment slab casting done.
</v>
          </cell>
          <cell r="EE688" t="str">
            <v xml:space="preserve">10 Aug 15:Flood affected_Hold-No access; 31-Jul-15:  Flood affected_Hold,Excavation								</v>
          </cell>
          <cell r="EJ688">
            <v>21</v>
          </cell>
          <cell r="EK688">
            <v>42226</v>
          </cell>
          <cell r="EL688">
            <v>42244</v>
          </cell>
          <cell r="EM688">
            <v>42227</v>
          </cell>
          <cell r="EQ688">
            <v>42236</v>
          </cell>
          <cell r="ES688">
            <v>42244</v>
          </cell>
          <cell r="EW688">
            <v>21</v>
          </cell>
          <cell r="EX688">
            <v>42257</v>
          </cell>
          <cell r="EZ688">
            <v>42246</v>
          </cell>
          <cell r="FB688">
            <v>42248</v>
          </cell>
          <cell r="FD688">
            <v>41924</v>
          </cell>
          <cell r="FF688">
            <v>41931</v>
          </cell>
          <cell r="FH688">
            <v>41933</v>
          </cell>
          <cell r="FJ688">
            <v>41936</v>
          </cell>
          <cell r="FN688">
            <v>41940</v>
          </cell>
          <cell r="FP688">
            <v>41942</v>
          </cell>
          <cell r="FR688">
            <v>41956</v>
          </cell>
          <cell r="FU688">
            <v>42250</v>
          </cell>
          <cell r="FW688">
            <v>42250</v>
          </cell>
          <cell r="GI688">
            <v>42307</v>
          </cell>
          <cell r="GJ688" t="str">
            <v>44-2015</v>
          </cell>
          <cell r="GN688" t="str">
            <v>ERICSSON</v>
          </cell>
          <cell r="GP688">
            <v>41942</v>
          </cell>
          <cell r="GS688" t="str">
            <v>4/4/4</v>
          </cell>
          <cell r="GU688" t="str">
            <v xml:space="preserve">		</v>
          </cell>
          <cell r="HD688">
            <v>1</v>
          </cell>
        </row>
        <row r="689">
          <cell r="A689" t="str">
            <v>YN0302</v>
          </cell>
          <cell r="B689" t="str">
            <v>AYYN_0111</v>
          </cell>
          <cell r="C689" t="str">
            <v>Apollo</v>
          </cell>
          <cell r="D689" t="str">
            <v>Emilio Ruiz</v>
          </cell>
          <cell r="F689" t="str">
            <v>Myat Thura Leo</v>
          </cell>
          <cell r="G689" t="str">
            <v>May Myat Noe</v>
          </cell>
          <cell r="H689" t="str">
            <v>RED</v>
          </cell>
          <cell r="I689" t="str">
            <v>South</v>
          </cell>
          <cell r="J689" t="str">
            <v>96.184221</v>
          </cell>
          <cell r="K689" t="str">
            <v>16.900633</v>
          </cell>
          <cell r="L689" t="str">
            <v>Urban</v>
          </cell>
          <cell r="M689" t="str">
            <v>Yangon East</v>
          </cell>
          <cell r="N689" t="str">
            <v>Dagon Myothit (North)</v>
          </cell>
          <cell r="O689" t="str">
            <v>Dagon Myothit (North)</v>
          </cell>
          <cell r="P689" t="str">
            <v>Yangon 1</v>
          </cell>
          <cell r="Q689" t="str">
            <v>15</v>
          </cell>
          <cell r="R689" t="str">
            <v>Dagon Myothit (North)</v>
          </cell>
          <cell r="S689" t="str">
            <v>215</v>
          </cell>
          <cell r="T689" t="str">
            <v>GSM+UMTS</v>
          </cell>
          <cell r="U689" t="str">
            <v>YAN-N018</v>
          </cell>
          <cell r="V689" t="str">
            <v>1</v>
          </cell>
          <cell r="W689" t="str">
            <v>Ph2-Priority</v>
          </cell>
          <cell r="X689" t="str">
            <v>30</v>
          </cell>
          <cell r="Y689" t="str">
            <v>30</v>
          </cell>
          <cell r="Z689" t="str">
            <v>GBT</v>
          </cell>
          <cell r="AA689" t="str">
            <v>100</v>
          </cell>
          <cell r="AB689" t="str">
            <v>Access</v>
          </cell>
          <cell r="AC689" t="str">
            <v>Class B</v>
          </cell>
          <cell r="AD689" t="str">
            <v>1210.77</v>
          </cell>
          <cell r="AE689" t="str">
            <v>1836.84</v>
          </cell>
          <cell r="AF689" t="str">
            <v>2</v>
          </cell>
          <cell r="AG689" t="str">
            <v>YN0334</v>
          </cell>
          <cell r="AH689" t="str">
            <v>YN0298</v>
          </cell>
          <cell r="BC689" t="str">
            <v>YN0298</v>
          </cell>
          <cell r="BE689" t="str">
            <v>Yangon Ring 1</v>
          </cell>
          <cell r="BF689">
            <v>41760</v>
          </cell>
          <cell r="BG689">
            <v>42049</v>
          </cell>
          <cell r="BH689" t="str">
            <v>Aster-DEG</v>
          </cell>
          <cell r="BJ689">
            <v>42162</v>
          </cell>
          <cell r="BK689">
            <v>41766</v>
          </cell>
          <cell r="BL689">
            <v>42167</v>
          </cell>
          <cell r="BT689">
            <v>467</v>
          </cell>
          <cell r="BU689">
            <v>42217</v>
          </cell>
          <cell r="BV689">
            <v>42233</v>
          </cell>
          <cell r="BY689" t="str">
            <v>Reject</v>
          </cell>
          <cell r="CB689" t="str">
            <v>6 Feb 15 : C3 SAR rejected( RND Rejected because building height is too low.);  5Feb15: C3 SAR Sub. 23 Jan 15 : C2 SAR rejected( RND rejected TM radio point out (Available antenna height 14 m is too low for radio.) The minimum required height of radio antenna height for YN0302 is 23 m;  Required MW antenna height is 23M in minimum for YN0302 and YN0334(FE).); 22Jan15: C2 SAR sub. 3Oct14: Cleaned up due to Re-Hunt, prev C1 TSS failed;</v>
          </cell>
          <cell r="CC689" t="str">
            <v>Village</v>
          </cell>
          <cell r="CE689">
            <v>0</v>
          </cell>
          <cell r="CF689">
            <v>42218</v>
          </cell>
          <cell r="CH689">
            <v>42220</v>
          </cell>
          <cell r="CN689">
            <v>0</v>
          </cell>
          <cell r="CO689">
            <v>42223</v>
          </cell>
          <cell r="CQ689" t="str">
            <v>M1: grid power + battery</v>
          </cell>
          <cell r="CR689">
            <v>0</v>
          </cell>
          <cell r="CS689">
            <v>42224</v>
          </cell>
          <cell r="CU689" t="str">
            <v>YN0302</v>
          </cell>
          <cell r="DH689">
            <v>0</v>
          </cell>
          <cell r="DI689">
            <v>42234</v>
          </cell>
          <cell r="DK689">
            <v>42231</v>
          </cell>
          <cell r="DM689">
            <v>42235</v>
          </cell>
          <cell r="DO689">
            <v>0</v>
          </cell>
          <cell r="DP689">
            <v>42234</v>
          </cell>
          <cell r="DR689" t="str">
            <v>YCDC</v>
          </cell>
          <cell r="DT689">
            <v>0</v>
          </cell>
          <cell r="DU689">
            <v>42249</v>
          </cell>
          <cell r="DW689">
            <v>0</v>
          </cell>
          <cell r="DY689">
            <v>42235</v>
          </cell>
          <cell r="EA689" t="str">
            <v>Leadcom</v>
          </cell>
          <cell r="EJ689">
            <v>0</v>
          </cell>
          <cell r="EK689">
            <v>42250</v>
          </cell>
          <cell r="EM689">
            <v>42251</v>
          </cell>
          <cell r="EQ689">
            <v>42258</v>
          </cell>
          <cell r="EW689">
            <v>0</v>
          </cell>
          <cell r="EX689">
            <v>42222</v>
          </cell>
          <cell r="EZ689">
            <v>42268</v>
          </cell>
          <cell r="FB689">
            <v>42270</v>
          </cell>
          <cell r="FD689">
            <v>41932</v>
          </cell>
          <cell r="FF689">
            <v>41939</v>
          </cell>
          <cell r="FH689">
            <v>41941</v>
          </cell>
          <cell r="FJ689">
            <v>41944</v>
          </cell>
          <cell r="FN689">
            <v>41948</v>
          </cell>
          <cell r="FP689">
            <v>41950</v>
          </cell>
          <cell r="FR689">
            <v>41964</v>
          </cell>
          <cell r="FU689">
            <v>42272</v>
          </cell>
          <cell r="FW689">
            <v>42272</v>
          </cell>
          <cell r="GI689">
            <v>42088</v>
          </cell>
          <cell r="GJ689">
            <v>0</v>
          </cell>
          <cell r="GN689" t="str">
            <v>ERICSSON</v>
          </cell>
          <cell r="GS689" t="str">
            <v>4/4/4</v>
          </cell>
          <cell r="GU689" t="str">
            <v xml:space="preserve">		</v>
          </cell>
          <cell r="HD689">
            <v>1</v>
          </cell>
        </row>
        <row r="690">
          <cell r="A690" t="str">
            <v>YN0319</v>
          </cell>
          <cell r="B690" t="str">
            <v>AYYN_0448</v>
          </cell>
          <cell r="C690" t="str">
            <v>Apollo</v>
          </cell>
          <cell r="D690" t="str">
            <v>Emilio Ruiz</v>
          </cell>
          <cell r="F690" t="str">
            <v>Myat Thura Leo</v>
          </cell>
          <cell r="G690" t="str">
            <v>May Myat Noe</v>
          </cell>
          <cell r="H690" t="str">
            <v>RED</v>
          </cell>
          <cell r="I690" t="str">
            <v>South</v>
          </cell>
          <cell r="J690" t="str">
            <v>96.17365</v>
          </cell>
          <cell r="K690" t="str">
            <v>16.89594</v>
          </cell>
          <cell r="L690" t="str">
            <v>Urban</v>
          </cell>
          <cell r="M690" t="str">
            <v>Yangon East</v>
          </cell>
          <cell r="N690" t="str">
            <v>Yangon</v>
          </cell>
          <cell r="O690" t="str">
            <v>Dagon Myothit (North)</v>
          </cell>
          <cell r="P690" t="str">
            <v>Yangon 1</v>
          </cell>
          <cell r="Q690" t="str">
            <v>15</v>
          </cell>
          <cell r="R690" t="str">
            <v>Dagon Myothit (North)</v>
          </cell>
          <cell r="S690" t="str">
            <v>215</v>
          </cell>
          <cell r="T690" t="str">
            <v>GSM+UMTS</v>
          </cell>
          <cell r="U690" t="str">
            <v>YAN-N018</v>
          </cell>
          <cell r="V690" t="str">
            <v>1</v>
          </cell>
          <cell r="W690" t="str">
            <v>Ph2-Priority</v>
          </cell>
          <cell r="X690" t="str">
            <v>30</v>
          </cell>
          <cell r="Y690" t="str">
            <v>30</v>
          </cell>
          <cell r="Z690" t="str">
            <v>GBT</v>
          </cell>
          <cell r="AA690" t="str">
            <v>250</v>
          </cell>
          <cell r="AB690" t="str">
            <v>Access</v>
          </cell>
          <cell r="AC690" t="str">
            <v>Class B</v>
          </cell>
          <cell r="AD690" t="str">
            <v>1590</v>
          </cell>
          <cell r="AE690" t="str">
            <v>1955</v>
          </cell>
          <cell r="AF690" t="str">
            <v>3</v>
          </cell>
          <cell r="AG690" t="str">
            <v>YN0298</v>
          </cell>
          <cell r="AH690" t="str">
            <v>YN1003</v>
          </cell>
          <cell r="AI690" t="str">
            <v>YN0802</v>
          </cell>
          <cell r="BC690" t="str">
            <v>YN0298</v>
          </cell>
          <cell r="BE690" t="str">
            <v>Yangon Ring 1</v>
          </cell>
          <cell r="BF690">
            <v>41760</v>
          </cell>
          <cell r="BG690">
            <v>41891</v>
          </cell>
          <cell r="BH690" t="str">
            <v>Aster-DEG</v>
          </cell>
          <cell r="BJ690">
            <v>42162</v>
          </cell>
          <cell r="BK690">
            <v>41664</v>
          </cell>
          <cell r="BL690">
            <v>42167</v>
          </cell>
          <cell r="BM690">
            <v>42174</v>
          </cell>
          <cell r="BO690">
            <v>41701</v>
          </cell>
          <cell r="BR690" t="str">
            <v>Nominal Point</v>
          </cell>
          <cell r="BS690">
            <v>41730</v>
          </cell>
          <cell r="BT690">
            <v>569</v>
          </cell>
          <cell r="BU690">
            <v>42217</v>
          </cell>
          <cell r="BV690">
            <v>42180</v>
          </cell>
          <cell r="BW690" t="str">
            <v>94.59545</v>
          </cell>
          <cell r="BX690" t="str">
            <v>21.668038</v>
          </cell>
          <cell r="BY690" t="str">
            <v>C1</v>
          </cell>
          <cell r="BZ690" t="str">
            <v>Thayet Kan Village,Thayet Kan Track,Pouk o w Mnashgiwp,ay Division.</v>
          </cell>
          <cell r="CA690" t="str">
            <v>KO KO AUNG;(U Win Maung;9798982101)</v>
          </cell>
          <cell r="CB690" t="str">
            <v>27Jun: SAR approved 3rd Apr</v>
          </cell>
          <cell r="CC690" t="str">
            <v>Village</v>
          </cell>
          <cell r="CE690">
            <v>0</v>
          </cell>
          <cell r="CF690">
            <v>42218</v>
          </cell>
          <cell r="CG690">
            <v>42182</v>
          </cell>
          <cell r="CH690">
            <v>42220</v>
          </cell>
          <cell r="CJ690">
            <v>42192</v>
          </cell>
          <cell r="CK690" t="str">
            <v>45</v>
          </cell>
          <cell r="CL690" t="str">
            <v>47</v>
          </cell>
          <cell r="CM690" t="str">
            <v>50</v>
          </cell>
          <cell r="CN690">
            <v>0</v>
          </cell>
          <cell r="CO690">
            <v>42223</v>
          </cell>
          <cell r="CP690">
            <v>42194</v>
          </cell>
          <cell r="CQ690" t="str">
            <v>M4: solar + DG + battery</v>
          </cell>
          <cell r="CR690">
            <v>0</v>
          </cell>
          <cell r="CS690">
            <v>42224</v>
          </cell>
          <cell r="CT690">
            <v>42195</v>
          </cell>
          <cell r="CU690" t="str">
            <v>YN0319</v>
          </cell>
          <cell r="DH690">
            <v>0</v>
          </cell>
          <cell r="DI690">
            <v>42234</v>
          </cell>
          <cell r="DK690">
            <v>42231</v>
          </cell>
          <cell r="DL690">
            <v>42201</v>
          </cell>
          <cell r="DM690">
            <v>42235</v>
          </cell>
          <cell r="DO690">
            <v>0</v>
          </cell>
          <cell r="DP690">
            <v>42234</v>
          </cell>
          <cell r="DR690" t="str">
            <v>YCDC</v>
          </cell>
          <cell r="DS690" t="str">
            <v>Daw Tin Moe Shwe (Executive Engineer)
(Contact: 056-21793)
U Sein Win (Assistant Engineer)
(Contact: 09-5405958)
Daw Tin Zar Moe (Junior Clerk)
(Contact: 056-21793)</v>
          </cell>
          <cell r="DT690">
            <v>0</v>
          </cell>
          <cell r="DU690">
            <v>42249</v>
          </cell>
          <cell r="DW690">
            <v>0</v>
          </cell>
          <cell r="DY690">
            <v>42235</v>
          </cell>
          <cell r="EA690" t="str">
            <v>Leadcom</v>
          </cell>
          <cell r="EJ690">
            <v>0</v>
          </cell>
          <cell r="EK690">
            <v>42250</v>
          </cell>
          <cell r="EM690">
            <v>42251</v>
          </cell>
          <cell r="EQ690">
            <v>42258</v>
          </cell>
          <cell r="EW690">
            <v>0</v>
          </cell>
          <cell r="EX690">
            <v>42222</v>
          </cell>
          <cell r="EZ690">
            <v>42268</v>
          </cell>
          <cell r="FB690">
            <v>42270</v>
          </cell>
          <cell r="FD690">
            <v>41934</v>
          </cell>
          <cell r="FF690">
            <v>41941</v>
          </cell>
          <cell r="FG690">
            <v>42026</v>
          </cell>
          <cell r="FH690">
            <v>41943</v>
          </cell>
          <cell r="FJ690">
            <v>41946</v>
          </cell>
          <cell r="FN690">
            <v>41950</v>
          </cell>
          <cell r="FP690">
            <v>41952</v>
          </cell>
          <cell r="FR690">
            <v>41966</v>
          </cell>
          <cell r="FU690">
            <v>42272</v>
          </cell>
          <cell r="FW690">
            <v>42272</v>
          </cell>
          <cell r="GI690">
            <v>42048</v>
          </cell>
          <cell r="GJ690">
            <v>0</v>
          </cell>
          <cell r="GN690" t="str">
            <v>ERICSSON</v>
          </cell>
          <cell r="GS690" t="str">
            <v>4/4/4</v>
          </cell>
          <cell r="GU690" t="str">
            <v xml:space="preserve">		</v>
          </cell>
          <cell r="HD690">
            <v>1</v>
          </cell>
        </row>
        <row r="691">
          <cell r="A691" t="str">
            <v>YN0933</v>
          </cell>
          <cell r="B691" t="str">
            <v>AYYN_0154</v>
          </cell>
          <cell r="C691" t="str">
            <v>Apollo</v>
          </cell>
          <cell r="D691" t="str">
            <v>Emilio Ruiz</v>
          </cell>
          <cell r="F691" t="str">
            <v>Myat Thura Leo</v>
          </cell>
          <cell r="G691" t="str">
            <v>Han Soe Aung</v>
          </cell>
          <cell r="H691" t="str">
            <v>RED</v>
          </cell>
          <cell r="I691" t="str">
            <v>South</v>
          </cell>
          <cell r="J691" t="str">
            <v>96.137499</v>
          </cell>
          <cell r="K691" t="str">
            <v>16.765297</v>
          </cell>
          <cell r="L691" t="str">
            <v>Urban</v>
          </cell>
          <cell r="M691" t="str">
            <v>Yangon South</v>
          </cell>
          <cell r="N691" t="str">
            <v>Dala</v>
          </cell>
          <cell r="O691" t="str">
            <v>Dala</v>
          </cell>
          <cell r="P691" t="str">
            <v>Yangon 3</v>
          </cell>
          <cell r="Q691" t="str">
            <v>17</v>
          </cell>
          <cell r="R691" t="str">
            <v>Dala</v>
          </cell>
          <cell r="S691" t="str">
            <v>226</v>
          </cell>
          <cell r="T691" t="str">
            <v>GSM+UMTS</v>
          </cell>
          <cell r="U691" t="str">
            <v>YAN-N031</v>
          </cell>
          <cell r="V691" t="str">
            <v>1</v>
          </cell>
          <cell r="W691" t="str">
            <v>Ph2-Priority</v>
          </cell>
          <cell r="X691" t="str">
            <v>30</v>
          </cell>
          <cell r="Y691" t="str">
            <v>30</v>
          </cell>
          <cell r="Z691" t="str">
            <v>GBT</v>
          </cell>
          <cell r="AA691" t="str">
            <v>100</v>
          </cell>
          <cell r="AB691" t="str">
            <v>Access</v>
          </cell>
          <cell r="AC691" t="str">
            <v>Class B</v>
          </cell>
          <cell r="AD691" t="str">
            <v>1210.77</v>
          </cell>
          <cell r="AE691" t="str">
            <v>1836.84</v>
          </cell>
          <cell r="AF691" t="str">
            <v>1</v>
          </cell>
          <cell r="AG691" t="str">
            <v>YN0989</v>
          </cell>
          <cell r="AH691" t="str">
            <v>YN0919</v>
          </cell>
          <cell r="AI691" t="str">
            <v>YN1036</v>
          </cell>
          <cell r="BC691" t="str">
            <v>YN0919</v>
          </cell>
          <cell r="BE691" t="str">
            <v>Insert in Yangon Ring 3</v>
          </cell>
          <cell r="BF691">
            <v>42034</v>
          </cell>
          <cell r="BG691">
            <v>42077</v>
          </cell>
          <cell r="BH691" t="str">
            <v>Aster-DEG</v>
          </cell>
          <cell r="BJ691">
            <v>42128</v>
          </cell>
          <cell r="BK691">
            <v>42128</v>
          </cell>
          <cell r="BL691">
            <v>42133</v>
          </cell>
          <cell r="BT691">
            <v>105</v>
          </cell>
          <cell r="BU691">
            <v>42139</v>
          </cell>
          <cell r="BV691">
            <v>42227</v>
          </cell>
          <cell r="BW691" t="str">
            <v>97.61252</v>
          </cell>
          <cell r="BX691" t="str">
            <v>16.52673</v>
          </cell>
          <cell r="BY691" t="str">
            <v>C2</v>
          </cell>
          <cell r="CB691" t="str">
            <v>29Jan15: C4 date cleared. was pending due to port authority approval. 13 Jan 15 : C4 TSSR approved(  RND Approved with 30m/35m GBT.This site is 150m far from the nominal point); 9 Jan 15 : C4 SAR Approved; 8 Jan 15 : C4 SAR Submitted; 28 Nov 14 : C3 SAR approved as an option 3(: RND approved C03 with 30m/35m GBT as it is 200m far from nominal coordinates); 27Nov14: C3 SAR Sub, prev C2 SAR app; 30Oct14: C2 SAR Sub, prev C1 Reject; 20Jun14: Candidate 1 is rejected as it is 345m far from nominal and outside the search ring.</v>
          </cell>
          <cell r="CC691" t="str">
            <v>WASTE LAND</v>
          </cell>
          <cell r="CE691">
            <v>0</v>
          </cell>
          <cell r="CF691">
            <v>42140</v>
          </cell>
          <cell r="CG691">
            <v>42228</v>
          </cell>
          <cell r="CH691">
            <v>42142</v>
          </cell>
          <cell r="CN691">
            <v>0</v>
          </cell>
          <cell r="CO691">
            <v>42145</v>
          </cell>
          <cell r="CQ691" t="str">
            <v>M1: grid power + battery</v>
          </cell>
          <cell r="CR691">
            <v>0</v>
          </cell>
          <cell r="CS691">
            <v>42146</v>
          </cell>
          <cell r="CU691" t="str">
            <v>YN0933</v>
          </cell>
          <cell r="DH691">
            <v>0</v>
          </cell>
          <cell r="DI691">
            <v>42159</v>
          </cell>
          <cell r="DK691">
            <v>42156</v>
          </cell>
          <cell r="DM691">
            <v>42160</v>
          </cell>
          <cell r="DO691">
            <v>0</v>
          </cell>
          <cell r="DP691">
            <v>42159</v>
          </cell>
          <cell r="DR691" t="str">
            <v>YCDC</v>
          </cell>
          <cell r="DS691" t="str">
            <v>Daw Tin Moe Shwe (Executive Engineer)
(Contact: 056-21793)
U Sein Win (Assistant Engineer)
(Contact: 09-5405958)
Daw Tin Zar Moe (Junior Clerk)
(Contact: 056-21793)</v>
          </cell>
          <cell r="DT691">
            <v>0</v>
          </cell>
          <cell r="DU691">
            <v>42174</v>
          </cell>
          <cell r="DW691">
            <v>0</v>
          </cell>
          <cell r="DY691">
            <v>42160</v>
          </cell>
          <cell r="EA691" t="str">
            <v>Leadcom</v>
          </cell>
          <cell r="EJ691">
            <v>0</v>
          </cell>
          <cell r="EK691">
            <v>42168</v>
          </cell>
          <cell r="EM691">
            <v>42169</v>
          </cell>
          <cell r="EQ691">
            <v>42174</v>
          </cell>
          <cell r="EW691">
            <v>0</v>
          </cell>
          <cell r="EX691">
            <v>42185</v>
          </cell>
          <cell r="EZ691">
            <v>42181</v>
          </cell>
          <cell r="FB691">
            <v>42183</v>
          </cell>
          <cell r="FD691">
            <v>41934</v>
          </cell>
          <cell r="FF691">
            <v>41941</v>
          </cell>
          <cell r="FH691">
            <v>41943</v>
          </cell>
          <cell r="FJ691">
            <v>41946</v>
          </cell>
          <cell r="FN691">
            <v>41950</v>
          </cell>
          <cell r="FP691">
            <v>41952</v>
          </cell>
          <cell r="FR691">
            <v>41966</v>
          </cell>
          <cell r="FU691">
            <v>42185</v>
          </cell>
          <cell r="FW691">
            <v>42185</v>
          </cell>
          <cell r="GJ691">
            <v>0</v>
          </cell>
          <cell r="GN691" t="str">
            <v>ERICSSON</v>
          </cell>
          <cell r="GS691" t="str">
            <v>4/4/4</v>
          </cell>
          <cell r="GU691" t="str">
            <v xml:space="preserve">		</v>
          </cell>
          <cell r="HD691">
            <v>1</v>
          </cell>
        </row>
        <row r="692">
          <cell r="A692" t="str">
            <v>YN0942</v>
          </cell>
          <cell r="B692" t="str">
            <v>AYYN_0156</v>
          </cell>
          <cell r="C692" t="str">
            <v>Apollo</v>
          </cell>
          <cell r="D692" t="str">
            <v>Emilio Ruiz</v>
          </cell>
          <cell r="F692" t="str">
            <v>Myat Thura Leo</v>
          </cell>
          <cell r="G692" t="str">
            <v>Han Soe Aung</v>
          </cell>
          <cell r="H692" t="str">
            <v>RED</v>
          </cell>
          <cell r="I692" t="str">
            <v>South</v>
          </cell>
          <cell r="J692" t="str">
            <v>96.2663834</v>
          </cell>
          <cell r="K692" t="str">
            <v>16.7741768</v>
          </cell>
          <cell r="L692" t="str">
            <v>Rural</v>
          </cell>
          <cell r="M692" t="str">
            <v>Yangon South</v>
          </cell>
          <cell r="N692" t="str">
            <v>Thanlyin</v>
          </cell>
          <cell r="O692" t="str">
            <v>Thanlyin</v>
          </cell>
          <cell r="P692" t="str">
            <v>Yangon 3</v>
          </cell>
          <cell r="Q692" t="str">
            <v>17</v>
          </cell>
          <cell r="R692" t="str">
            <v>Thanlyin</v>
          </cell>
          <cell r="S692" t="str">
            <v>219</v>
          </cell>
          <cell r="T692" t="str">
            <v>GSM+UMTS</v>
          </cell>
          <cell r="U692" t="str">
            <v>YAN-N036</v>
          </cell>
          <cell r="V692" t="str">
            <v>1</v>
          </cell>
          <cell r="W692" t="str">
            <v>Ph2-Priority</v>
          </cell>
          <cell r="X692" t="str">
            <v>45</v>
          </cell>
          <cell r="Y692" t="str">
            <v>47</v>
          </cell>
          <cell r="Z692" t="str">
            <v>GBT</v>
          </cell>
          <cell r="AA692" t="str">
            <v>250</v>
          </cell>
          <cell r="AB692" t="str">
            <v>Access</v>
          </cell>
          <cell r="AC692" t="str">
            <v>Class C</v>
          </cell>
          <cell r="AD692" t="str">
            <v>644.77</v>
          </cell>
          <cell r="AE692" t="str">
            <v>907.54</v>
          </cell>
          <cell r="AF692" t="str">
            <v>1</v>
          </cell>
          <cell r="AG692" t="str">
            <v>YN0961</v>
          </cell>
          <cell r="AH692" t="str">
            <v>YN1003</v>
          </cell>
          <cell r="AI692" t="str">
            <v>YN0802</v>
          </cell>
          <cell r="BC692" t="str">
            <v>YN0802</v>
          </cell>
          <cell r="BE692" t="str">
            <v>Yangon Ring 3</v>
          </cell>
          <cell r="BF692">
            <v>41760</v>
          </cell>
          <cell r="BG692">
            <v>42049</v>
          </cell>
          <cell r="BH692" t="str">
            <v>Camusat</v>
          </cell>
          <cell r="BJ692">
            <v>42162</v>
          </cell>
          <cell r="BK692">
            <v>41747</v>
          </cell>
          <cell r="BL692">
            <v>42167</v>
          </cell>
          <cell r="BM692">
            <v>42176</v>
          </cell>
          <cell r="BT692">
            <v>486</v>
          </cell>
          <cell r="BU692">
            <v>42191</v>
          </cell>
          <cell r="BV692">
            <v>42227</v>
          </cell>
          <cell r="BW692" t="str">
            <v>97.25602</v>
          </cell>
          <cell r="BX692" t="str">
            <v>16.98028</v>
          </cell>
          <cell r="BY692" t="str">
            <v>C4</v>
          </cell>
          <cell r="BZ692" t="str">
            <v>Field No(596),U PY no(51/1),Tha Yat Taw ward,Ma Yan Kone village group,Kyite Hto Tsp,Mon State</v>
          </cell>
          <cell r="CA692" t="str">
            <v>U Soe Tint,09-791834485</v>
          </cell>
          <cell r="CB692" t="str">
            <v>20Mar15 : C4 45m GBT TSSR HOLD due to Owner rejected the site and point out another lot, for SAR submission (C5 with the same owner). 5 Feb 15 : C4 SAR approved as an option 4(RND approved with 45m / 47m GBT as priority 4. This site is 80m far from the nominal point within the search ring.);2Feb15: C4 SAR Sub. C3 owner backout. 27Jun: SAR approved 8 May</v>
          </cell>
          <cell r="CC692" t="str">
            <v>GARDEN LAND</v>
          </cell>
          <cell r="CE692">
            <v>0</v>
          </cell>
          <cell r="CF692">
            <v>42192</v>
          </cell>
          <cell r="CG692">
            <v>42228</v>
          </cell>
          <cell r="CH692">
            <v>42194</v>
          </cell>
          <cell r="CJ692">
            <v>42232</v>
          </cell>
          <cell r="CN692">
            <v>0</v>
          </cell>
          <cell r="CO692">
            <v>42197</v>
          </cell>
          <cell r="CP692">
            <v>42234</v>
          </cell>
          <cell r="CQ692" t="str">
            <v>M1: grid power + battery</v>
          </cell>
          <cell r="CR692">
            <v>0</v>
          </cell>
          <cell r="CS692">
            <v>42198</v>
          </cell>
          <cell r="CU692" t="str">
            <v>YN0942</v>
          </cell>
          <cell r="DH692">
            <v>0</v>
          </cell>
          <cell r="DI692">
            <v>42208</v>
          </cell>
          <cell r="DK692">
            <v>42205</v>
          </cell>
          <cell r="DM692">
            <v>42209</v>
          </cell>
          <cell r="DO692">
            <v>0</v>
          </cell>
          <cell r="DP692">
            <v>42208</v>
          </cell>
          <cell r="DR692" t="str">
            <v>Thanlyin CDC</v>
          </cell>
          <cell r="DS692" t="str">
            <v>Daw Tin Moe Shwe (Executive Engineer)
(Contact: 056-21793)
U Sein Win (Assistant Engineer)
(Contact: 09-5405958)
Daw Tin Zar Moe (Junior Clerk)
(Contact: 056-21793)</v>
          </cell>
          <cell r="DT692">
            <v>0</v>
          </cell>
          <cell r="DU692">
            <v>42223</v>
          </cell>
          <cell r="DW692">
            <v>0</v>
          </cell>
          <cell r="DY692">
            <v>42209</v>
          </cell>
          <cell r="EA692" t="str">
            <v>Camusat</v>
          </cell>
          <cell r="EJ692">
            <v>0</v>
          </cell>
          <cell r="EK692">
            <v>42226</v>
          </cell>
          <cell r="EM692">
            <v>42227</v>
          </cell>
          <cell r="EQ692">
            <v>42236</v>
          </cell>
          <cell r="EW692">
            <v>0</v>
          </cell>
          <cell r="EX692">
            <v>42257</v>
          </cell>
          <cell r="EZ692">
            <v>42246</v>
          </cell>
          <cell r="FB692">
            <v>42248</v>
          </cell>
          <cell r="FD692">
            <v>41932</v>
          </cell>
          <cell r="FF692">
            <v>41939</v>
          </cell>
          <cell r="FG692">
            <v>42026</v>
          </cell>
          <cell r="FH692">
            <v>41941</v>
          </cell>
          <cell r="FJ692">
            <v>41944</v>
          </cell>
          <cell r="FN692">
            <v>41948</v>
          </cell>
          <cell r="FP692">
            <v>41950</v>
          </cell>
          <cell r="FR692">
            <v>41964</v>
          </cell>
          <cell r="FU692">
            <v>42250</v>
          </cell>
          <cell r="FW692">
            <v>42250</v>
          </cell>
          <cell r="GJ692">
            <v>0</v>
          </cell>
          <cell r="GN692" t="str">
            <v>ERICSSON</v>
          </cell>
          <cell r="GS692" t="str">
            <v>4/4/4</v>
          </cell>
          <cell r="GU692" t="str">
            <v xml:space="preserve">		</v>
          </cell>
          <cell r="HD692">
            <v>1</v>
          </cell>
        </row>
        <row r="693">
          <cell r="A693" t="str">
            <v>YN0991</v>
          </cell>
          <cell r="B693" t="str">
            <v>AYYN_0160</v>
          </cell>
          <cell r="C693" t="str">
            <v>Apollo</v>
          </cell>
          <cell r="D693" t="str">
            <v>Emilio Ruiz</v>
          </cell>
          <cell r="F693" t="str">
            <v>Myat Thura Leo</v>
          </cell>
          <cell r="G693" t="str">
            <v>Han Soe Aung</v>
          </cell>
          <cell r="H693" t="str">
            <v>RED</v>
          </cell>
          <cell r="I693" t="str">
            <v>South</v>
          </cell>
          <cell r="J693" t="str">
            <v>96.222353</v>
          </cell>
          <cell r="K693" t="str">
            <v>16.759886</v>
          </cell>
          <cell r="L693" t="str">
            <v>Urban</v>
          </cell>
          <cell r="M693" t="str">
            <v>Yangon South</v>
          </cell>
          <cell r="N693" t="str">
            <v>Thanlyin</v>
          </cell>
          <cell r="O693" t="str">
            <v>Thanlyin</v>
          </cell>
          <cell r="P693" t="str">
            <v>Yangon 3</v>
          </cell>
          <cell r="Q693" t="str">
            <v>17</v>
          </cell>
          <cell r="R693" t="str">
            <v>Thanlyin</v>
          </cell>
          <cell r="S693" t="str">
            <v>219</v>
          </cell>
          <cell r="T693" t="str">
            <v>GSM+UMTS</v>
          </cell>
          <cell r="U693" t="str">
            <v>YAN-N035</v>
          </cell>
          <cell r="V693" t="str">
            <v>1</v>
          </cell>
          <cell r="W693" t="str">
            <v>Ph2-Priority</v>
          </cell>
          <cell r="X693" t="str">
            <v>30</v>
          </cell>
          <cell r="Y693" t="str">
            <v>30</v>
          </cell>
          <cell r="Z693" t="str">
            <v>GBT</v>
          </cell>
          <cell r="AA693" t="str">
            <v>250</v>
          </cell>
          <cell r="AB693" t="str">
            <v>Access</v>
          </cell>
          <cell r="AC693" t="str">
            <v>Class B</v>
          </cell>
          <cell r="AD693" t="str">
            <v>1210.77</v>
          </cell>
          <cell r="AE693" t="str">
            <v>1836.84</v>
          </cell>
          <cell r="AF693" t="str">
            <v>1</v>
          </cell>
          <cell r="AG693" t="str">
            <v>YN0964</v>
          </cell>
          <cell r="AH693" t="str">
            <v>YN0981</v>
          </cell>
          <cell r="AI693" t="str">
            <v>YN1036</v>
          </cell>
          <cell r="BC693" t="str">
            <v>YN1036</v>
          </cell>
          <cell r="BE693" t="str">
            <v>Yangon Ring 4</v>
          </cell>
          <cell r="BF693">
            <v>42124</v>
          </cell>
          <cell r="BG693">
            <v>41942</v>
          </cell>
          <cell r="BH693" t="str">
            <v>Dragon</v>
          </cell>
          <cell r="BJ693">
            <v>42152</v>
          </cell>
          <cell r="BK693">
            <v>41766</v>
          </cell>
          <cell r="BL693">
            <v>42157</v>
          </cell>
          <cell r="BT693">
            <v>467</v>
          </cell>
          <cell r="BU693">
            <v>42191</v>
          </cell>
          <cell r="BV693">
            <v>42234</v>
          </cell>
          <cell r="BY693" t="str">
            <v>Reject</v>
          </cell>
          <cell r="CB693" t="str">
            <v>11 Aug 15 : C1 SAR reject( RND rejected because this site is 1.72km far from the nominal point and then 338m away from the on air site (YN1011). Please find the new candidate within the search ring.);6 Aug 15 : C1 SAR sub(SR FALLS IN MIN OF ENERGY)</v>
          </cell>
          <cell r="CC693" t="str">
            <v>GARDEN LAND</v>
          </cell>
          <cell r="CE693">
            <v>0</v>
          </cell>
          <cell r="CF693">
            <v>42192</v>
          </cell>
          <cell r="CH693">
            <v>42194</v>
          </cell>
          <cell r="CN693">
            <v>0</v>
          </cell>
          <cell r="CO693">
            <v>42197</v>
          </cell>
          <cell r="CQ693" t="str">
            <v>M4: solar + DG + battery</v>
          </cell>
          <cell r="CR693">
            <v>0</v>
          </cell>
          <cell r="CS693">
            <v>42198</v>
          </cell>
          <cell r="CU693" t="str">
            <v>YN0991</v>
          </cell>
          <cell r="DH693">
            <v>0</v>
          </cell>
          <cell r="DI693">
            <v>42208</v>
          </cell>
          <cell r="DK693">
            <v>42205</v>
          </cell>
          <cell r="DM693">
            <v>42209</v>
          </cell>
          <cell r="DO693">
            <v>0</v>
          </cell>
          <cell r="DP693">
            <v>42208</v>
          </cell>
          <cell r="DR693" t="str">
            <v>Thanlyin CDC</v>
          </cell>
          <cell r="DS693" t="str">
            <v>Daw Tin Moe Shwe (Executive Engineer)
(Contact: 056-21793)
U Sein Win (Assistant Engineer)
(Contact: 09-5405958)
Daw Tin Zar Moe (Junior Clerk)
(Contact: 056-21793)</v>
          </cell>
          <cell r="DT693">
            <v>0</v>
          </cell>
          <cell r="DU693">
            <v>42223</v>
          </cell>
          <cell r="DW693">
            <v>0</v>
          </cell>
          <cell r="DY693">
            <v>42209</v>
          </cell>
          <cell r="EA693" t="str">
            <v>Leadcom</v>
          </cell>
          <cell r="EJ693">
            <v>0</v>
          </cell>
          <cell r="EK693">
            <v>42224</v>
          </cell>
          <cell r="EM693">
            <v>42225</v>
          </cell>
          <cell r="EQ693">
            <v>42232</v>
          </cell>
          <cell r="EW693">
            <v>0</v>
          </cell>
          <cell r="EX693">
            <v>42212</v>
          </cell>
          <cell r="EZ693">
            <v>42242</v>
          </cell>
          <cell r="FB693">
            <v>42244</v>
          </cell>
          <cell r="FD693">
            <v>41933</v>
          </cell>
          <cell r="FF693">
            <v>41940</v>
          </cell>
          <cell r="FH693">
            <v>41942</v>
          </cell>
          <cell r="FJ693">
            <v>41945</v>
          </cell>
          <cell r="FN693">
            <v>41949</v>
          </cell>
          <cell r="FP693">
            <v>41951</v>
          </cell>
          <cell r="FR693">
            <v>41965</v>
          </cell>
          <cell r="FU693">
            <v>42246</v>
          </cell>
          <cell r="FW693">
            <v>42246</v>
          </cell>
          <cell r="GJ693">
            <v>0</v>
          </cell>
          <cell r="GN693" t="str">
            <v>ERICSSON</v>
          </cell>
          <cell r="GU693" t="str">
            <v xml:space="preserve">		</v>
          </cell>
          <cell r="HD693">
            <v>1</v>
          </cell>
        </row>
        <row r="694">
          <cell r="A694" t="str">
            <v>YN1065</v>
          </cell>
          <cell r="B694" t="str">
            <v>AYYN_0014</v>
          </cell>
          <cell r="C694" t="str">
            <v>Apollo</v>
          </cell>
          <cell r="D694" t="str">
            <v>Emilio Ruiz</v>
          </cell>
          <cell r="F694" t="str">
            <v>Myat Thura Leo</v>
          </cell>
          <cell r="G694" t="str">
            <v>Han Soe Aung</v>
          </cell>
          <cell r="H694" t="str">
            <v>RED</v>
          </cell>
          <cell r="I694" t="str">
            <v>South</v>
          </cell>
          <cell r="J694" t="str">
            <v>96.23948</v>
          </cell>
          <cell r="K694" t="str">
            <v>16.708416</v>
          </cell>
          <cell r="L694" t="str">
            <v>SubUrban</v>
          </cell>
          <cell r="M694" t="str">
            <v>Yangon South</v>
          </cell>
          <cell r="N694" t="str">
            <v>Thanlyin</v>
          </cell>
          <cell r="O694" t="str">
            <v>Thanlyin</v>
          </cell>
          <cell r="P694" t="str">
            <v>Yangon 3</v>
          </cell>
          <cell r="Q694" t="str">
            <v>17</v>
          </cell>
          <cell r="R694" t="str">
            <v>Thanlyin</v>
          </cell>
          <cell r="S694" t="str">
            <v>219</v>
          </cell>
          <cell r="T694" t="str">
            <v>GSM+UMTS</v>
          </cell>
          <cell r="U694" t="str">
            <v>YAN-N033</v>
          </cell>
          <cell r="V694">
            <v>1</v>
          </cell>
          <cell r="W694" t="str">
            <v>Ph2-Priority</v>
          </cell>
          <cell r="X694" t="str">
            <v>35</v>
          </cell>
          <cell r="Y694" t="str">
            <v>35</v>
          </cell>
          <cell r="AA694" t="str">
            <v>250</v>
          </cell>
          <cell r="AB694" t="str">
            <v>Access</v>
          </cell>
          <cell r="AC694" t="str">
            <v>Class B</v>
          </cell>
          <cell r="AD694">
            <v>644.77</v>
          </cell>
          <cell r="AE694">
            <v>907.54</v>
          </cell>
          <cell r="AF694">
            <v>2</v>
          </cell>
          <cell r="AG694" t="str">
            <v>YN1173</v>
          </cell>
          <cell r="AH694" t="str">
            <v>YN1167</v>
          </cell>
          <cell r="BC694" t="str">
            <v>YN1167</v>
          </cell>
          <cell r="BE694" t="str">
            <v>Yangon Ring 4</v>
          </cell>
          <cell r="BF694">
            <v>42154</v>
          </cell>
          <cell r="BG694">
            <v>41935</v>
          </cell>
          <cell r="BH694" t="str">
            <v>Aster-DEG</v>
          </cell>
          <cell r="BJ694">
            <v>42152</v>
          </cell>
          <cell r="BK694">
            <v>42130</v>
          </cell>
          <cell r="BL694">
            <v>42157</v>
          </cell>
          <cell r="BM694">
            <v>42178</v>
          </cell>
          <cell r="BT694">
            <v>103</v>
          </cell>
          <cell r="BU694">
            <v>42183</v>
          </cell>
          <cell r="CB694" t="str">
            <v>27Jun: SAR approved 9 May</v>
          </cell>
          <cell r="CE694">
            <v>0</v>
          </cell>
          <cell r="CF694">
            <v>42184</v>
          </cell>
          <cell r="CH694">
            <v>42186</v>
          </cell>
          <cell r="CN694">
            <v>0</v>
          </cell>
          <cell r="CO694">
            <v>42189</v>
          </cell>
          <cell r="CR694">
            <v>0</v>
          </cell>
          <cell r="CS694">
            <v>42190</v>
          </cell>
          <cell r="CU694" t="str">
            <v>YN1065</v>
          </cell>
          <cell r="DH694">
            <v>0</v>
          </cell>
          <cell r="DI694">
            <v>42200</v>
          </cell>
          <cell r="DK694">
            <v>42197</v>
          </cell>
          <cell r="DM694">
            <v>42201</v>
          </cell>
          <cell r="DO694">
            <v>0</v>
          </cell>
          <cell r="DP694">
            <v>42200</v>
          </cell>
          <cell r="DR694" t="str">
            <v>YCDC</v>
          </cell>
          <cell r="DT694">
            <v>0</v>
          </cell>
          <cell r="DU694">
            <v>42215</v>
          </cell>
          <cell r="DW694">
            <v>0</v>
          </cell>
          <cell r="DY694">
            <v>42201</v>
          </cell>
          <cell r="EA694" t="str">
            <v>Leadcom</v>
          </cell>
          <cell r="EJ694">
            <v>0</v>
          </cell>
          <cell r="EK694">
            <v>42216</v>
          </cell>
          <cell r="EM694">
            <v>42217</v>
          </cell>
          <cell r="EQ694">
            <v>42224</v>
          </cell>
          <cell r="EW694">
            <v>0</v>
          </cell>
          <cell r="EX694">
            <v>42212</v>
          </cell>
          <cell r="EZ694">
            <v>42234</v>
          </cell>
          <cell r="FB694">
            <v>42236</v>
          </cell>
          <cell r="FD694">
            <v>41939</v>
          </cell>
          <cell r="FF694">
            <v>41946</v>
          </cell>
          <cell r="FH694">
            <v>41948</v>
          </cell>
          <cell r="FJ694">
            <v>41951</v>
          </cell>
          <cell r="FN694">
            <v>41955</v>
          </cell>
          <cell r="FP694">
            <v>41957</v>
          </cell>
          <cell r="FR694">
            <v>41971</v>
          </cell>
          <cell r="FU694">
            <v>42238</v>
          </cell>
          <cell r="FW694">
            <v>42238</v>
          </cell>
          <cell r="GJ694">
            <v>0</v>
          </cell>
          <cell r="GN694" t="str">
            <v>ERICSSON</v>
          </cell>
          <cell r="GS694" t="str">
            <v>4/4/4</v>
          </cell>
          <cell r="GU694" t="str">
            <v xml:space="preserve">		</v>
          </cell>
          <cell r="HD694">
            <v>1</v>
          </cell>
        </row>
        <row r="695">
          <cell r="A695" t="str">
            <v>YN1088</v>
          </cell>
          <cell r="B695" t="str">
            <v>AYYN_0015</v>
          </cell>
          <cell r="C695" t="str">
            <v>Apollo</v>
          </cell>
          <cell r="D695" t="str">
            <v>Emilio Ruiz</v>
          </cell>
          <cell r="F695" t="str">
            <v>Myat Thura Leo</v>
          </cell>
          <cell r="G695" t="str">
            <v>Han Soe Aung</v>
          </cell>
          <cell r="H695" t="str">
            <v>RED</v>
          </cell>
          <cell r="I695" t="str">
            <v>South</v>
          </cell>
          <cell r="J695" t="str">
            <v>96.25198</v>
          </cell>
          <cell r="K695" t="str">
            <v>16.670104</v>
          </cell>
          <cell r="L695" t="str">
            <v>SubUrban</v>
          </cell>
          <cell r="M695" t="str">
            <v>Yangon South</v>
          </cell>
          <cell r="N695" t="str">
            <v>Kyauktan</v>
          </cell>
          <cell r="O695" t="str">
            <v>Kyauktan</v>
          </cell>
          <cell r="P695" t="str">
            <v>Yangon 3</v>
          </cell>
          <cell r="Q695" t="str">
            <v>17</v>
          </cell>
          <cell r="R695" t="str">
            <v>Kyauktan</v>
          </cell>
          <cell r="S695" t="str">
            <v>220</v>
          </cell>
          <cell r="T695" t="str">
            <v>GSM+UMTS</v>
          </cell>
          <cell r="W695" t="str">
            <v>Ph2-Priority</v>
          </cell>
          <cell r="X695" t="str">
            <v>35</v>
          </cell>
          <cell r="Y695" t="str">
            <v>35</v>
          </cell>
          <cell r="Z695" t="str">
            <v>GBT</v>
          </cell>
          <cell r="AA695" t="str">
            <v>250</v>
          </cell>
          <cell r="AB695" t="str">
            <v>Access</v>
          </cell>
          <cell r="AC695" t="str">
            <v>Class B</v>
          </cell>
          <cell r="BE695" t="str">
            <v>Yangon Ring 4</v>
          </cell>
          <cell r="BH695" t="str">
            <v>Aster-DEG</v>
          </cell>
          <cell r="BJ695">
            <v>42153</v>
          </cell>
          <cell r="BK695">
            <v>42130</v>
          </cell>
          <cell r="BL695">
            <v>42158</v>
          </cell>
          <cell r="BM695">
            <v>42151</v>
          </cell>
          <cell r="BT695">
            <v>103</v>
          </cell>
          <cell r="BU695">
            <v>42158</v>
          </cell>
          <cell r="BV695">
            <v>42161</v>
          </cell>
          <cell r="BW695" t="str">
            <v>96.1417</v>
          </cell>
          <cell r="BX695" t="str">
            <v>20.19943</v>
          </cell>
          <cell r="BY695" t="str">
            <v>C1</v>
          </cell>
          <cell r="BZ695" t="str">
            <v>KYAUNG YWAR VILLAGE,KYAE CHAUNG GROUP,TAT KONE TOWNSHIP,NAYPYITAW.</v>
          </cell>
          <cell r="CA695" t="str">
            <v>U Sein Maung;Kyaung Ywar Village, Kyae Chaung Group, Tat Kone Township, Nay Pyi Taw;0996166293, 0936061283</v>
          </cell>
          <cell r="CB695" t="str">
            <v>6Jun15: C1 SAR Sub</v>
          </cell>
          <cell r="CE695">
            <v>0</v>
          </cell>
          <cell r="CF695">
            <v>42159</v>
          </cell>
          <cell r="CG695">
            <v>42163</v>
          </cell>
          <cell r="CH695">
            <v>42161</v>
          </cell>
          <cell r="CJ695">
            <v>42168</v>
          </cell>
          <cell r="CK695" t="str">
            <v>45</v>
          </cell>
          <cell r="CL695" t="str">
            <v>47</v>
          </cell>
          <cell r="CM695" t="str">
            <v>50</v>
          </cell>
          <cell r="CN695">
            <v>0</v>
          </cell>
          <cell r="CO695">
            <v>42164</v>
          </cell>
          <cell r="CP695">
            <v>42170</v>
          </cell>
          <cell r="CQ695" t="str">
            <v>M4: solar + DG + battery</v>
          </cell>
          <cell r="CR695">
            <v>0</v>
          </cell>
          <cell r="CS695">
            <v>42165</v>
          </cell>
          <cell r="CT695">
            <v>42171</v>
          </cell>
          <cell r="CU695" t="str">
            <v>YN1088</v>
          </cell>
          <cell r="DH695">
            <v>0</v>
          </cell>
          <cell r="DI695">
            <v>42175</v>
          </cell>
          <cell r="DK695">
            <v>42172</v>
          </cell>
          <cell r="DL695">
            <v>42199</v>
          </cell>
          <cell r="DM695">
            <v>42176</v>
          </cell>
          <cell r="DN695">
            <v>42199</v>
          </cell>
          <cell r="DO695">
            <v>0</v>
          </cell>
          <cell r="DP695">
            <v>42175</v>
          </cell>
          <cell r="DT695">
            <v>0</v>
          </cell>
          <cell r="DU695">
            <v>42190</v>
          </cell>
          <cell r="DW695">
            <v>0</v>
          </cell>
          <cell r="DY695">
            <v>42176</v>
          </cell>
          <cell r="DZ695">
            <v>42205</v>
          </cell>
          <cell r="EA695" t="str">
            <v>Leadcom</v>
          </cell>
          <cell r="ED695" t="str">
            <v xml:space="preserve">13Aug15 :KaungHtet: Lean concrete casting is done. Rebar work preparation for columns and foundation slab is ongoing.
</v>
          </cell>
          <cell r="EJ695">
            <v>0</v>
          </cell>
          <cell r="EK695">
            <v>42191</v>
          </cell>
          <cell r="EM695">
            <v>42192</v>
          </cell>
          <cell r="EQ695">
            <v>42199</v>
          </cell>
          <cell r="EW695">
            <v>0</v>
          </cell>
          <cell r="EX695">
            <v>42213</v>
          </cell>
          <cell r="EZ695">
            <v>42209</v>
          </cell>
          <cell r="FB695">
            <v>42211</v>
          </cell>
          <cell r="FU695">
            <v>42213</v>
          </cell>
          <cell r="FW695">
            <v>42213</v>
          </cell>
          <cell r="GJ695">
            <v>0</v>
          </cell>
          <cell r="GN695" t="str">
            <v>ERICSSON</v>
          </cell>
          <cell r="GS695" t="str">
            <v>4/4/4</v>
          </cell>
          <cell r="GU695" t="str">
            <v xml:space="preserve">		</v>
          </cell>
          <cell r="HD695">
            <v>1</v>
          </cell>
        </row>
        <row r="696">
          <cell r="A696" t="str">
            <v>YN1159</v>
          </cell>
          <cell r="B696" t="str">
            <v>AYYN_0191</v>
          </cell>
          <cell r="C696" t="str">
            <v>Apollo</v>
          </cell>
          <cell r="D696" t="str">
            <v>Emilio Ruiz</v>
          </cell>
          <cell r="F696" t="str">
            <v>Myat Thura Leo</v>
          </cell>
          <cell r="G696" t="str">
            <v>Han Soe Aung</v>
          </cell>
          <cell r="H696" t="str">
            <v>RED</v>
          </cell>
          <cell r="I696" t="str">
            <v>South</v>
          </cell>
          <cell r="J696" t="str">
            <v>95.85072</v>
          </cell>
          <cell r="K696" t="str">
            <v>16.481593</v>
          </cell>
          <cell r="L696" t="str">
            <v>Rural</v>
          </cell>
          <cell r="M696" t="str">
            <v>Yangon South</v>
          </cell>
          <cell r="N696" t="str">
            <v>Kawhmu</v>
          </cell>
          <cell r="O696" t="str">
            <v>Kawhmu</v>
          </cell>
          <cell r="P696" t="str">
            <v>Yangon 3</v>
          </cell>
          <cell r="Q696" t="str">
            <v>17</v>
          </cell>
          <cell r="R696" t="str">
            <v>Kawhmu</v>
          </cell>
          <cell r="S696" t="str">
            <v>224</v>
          </cell>
          <cell r="T696" t="str">
            <v>GSM+UMTS</v>
          </cell>
          <cell r="U696" t="str">
            <v>YAN-N033</v>
          </cell>
          <cell r="V696" t="str">
            <v>1</v>
          </cell>
          <cell r="W696" t="str">
            <v>Ph2-Priority</v>
          </cell>
          <cell r="X696" t="str">
            <v>45</v>
          </cell>
          <cell r="Y696" t="str">
            <v>47</v>
          </cell>
          <cell r="Z696" t="str">
            <v>GBT</v>
          </cell>
          <cell r="AA696" t="str">
            <v>500</v>
          </cell>
          <cell r="AB696" t="str">
            <v>Access</v>
          </cell>
          <cell r="AC696" t="str">
            <v>Class C</v>
          </cell>
          <cell r="AD696" t="str">
            <v>644.77</v>
          </cell>
          <cell r="AE696" t="str">
            <v>907.54</v>
          </cell>
          <cell r="AF696" t="str">
            <v>2</v>
          </cell>
          <cell r="AG696" t="str">
            <v>YN1173</v>
          </cell>
          <cell r="AH696" t="str">
            <v>YN1167</v>
          </cell>
          <cell r="BC696" t="str">
            <v>YN1167</v>
          </cell>
          <cell r="BE696" t="str">
            <v>Yangon South</v>
          </cell>
          <cell r="BF696">
            <v>42154</v>
          </cell>
          <cell r="BG696">
            <v>41935</v>
          </cell>
          <cell r="BH696" t="str">
            <v>Leadcom</v>
          </cell>
          <cell r="BJ696">
            <v>42162</v>
          </cell>
          <cell r="BK696">
            <v>41766</v>
          </cell>
          <cell r="BL696">
            <v>42167</v>
          </cell>
          <cell r="BT696">
            <v>467</v>
          </cell>
          <cell r="BU696">
            <v>42251</v>
          </cell>
          <cell r="BV696">
            <v>42236</v>
          </cell>
          <cell r="BW696" t="str">
            <v>95.84982</v>
          </cell>
          <cell r="BX696" t="str">
            <v>16.48173</v>
          </cell>
          <cell r="BY696" t="str">
            <v>C2</v>
          </cell>
          <cell r="BZ696" t="str">
            <v>Uto Village,Kawt Muu Tsp,Yangon</v>
          </cell>
          <cell r="CA696" t="str">
            <v>U Soe Myint Thein, 09-795976433,09-979199265</v>
          </cell>
          <cell r="CB696" t="str">
            <v>20 Aug 15 : C2 SAR sub;C1 -CW team rejected during TSS due access;27Jun: SAR approved 9 May</v>
          </cell>
          <cell r="CC696" t="str">
            <v>GARDEN LAND</v>
          </cell>
          <cell r="CE696">
            <v>0</v>
          </cell>
          <cell r="CF696">
            <v>42252</v>
          </cell>
          <cell r="CG696">
            <v>42240</v>
          </cell>
          <cell r="CH696">
            <v>42254</v>
          </cell>
          <cell r="CJ696">
            <v>42246</v>
          </cell>
          <cell r="CK696" t="str">
            <v>45</v>
          </cell>
          <cell r="CL696" t="str">
            <v>47</v>
          </cell>
          <cell r="CM696" t="str">
            <v>50</v>
          </cell>
          <cell r="CN696">
            <v>0</v>
          </cell>
          <cell r="CO696">
            <v>42257</v>
          </cell>
          <cell r="CP696">
            <v>42248</v>
          </cell>
          <cell r="CQ696" t="str">
            <v>M4: solar + DG + battery</v>
          </cell>
          <cell r="CR696">
            <v>0</v>
          </cell>
          <cell r="CS696">
            <v>42258</v>
          </cell>
          <cell r="CT696">
            <v>42250</v>
          </cell>
          <cell r="CU696" t="str">
            <v>YN1159</v>
          </cell>
          <cell r="DH696">
            <v>0</v>
          </cell>
          <cell r="DI696">
            <v>42268</v>
          </cell>
          <cell r="DK696">
            <v>42265</v>
          </cell>
          <cell r="DM696">
            <v>42269</v>
          </cell>
          <cell r="DO696">
            <v>0</v>
          </cell>
          <cell r="DP696">
            <v>42268</v>
          </cell>
          <cell r="DR696" t="str">
            <v>YCDC</v>
          </cell>
          <cell r="DT696">
            <v>0</v>
          </cell>
          <cell r="DU696">
            <v>42283</v>
          </cell>
          <cell r="DW696">
            <v>0</v>
          </cell>
          <cell r="DY696">
            <v>42269</v>
          </cell>
          <cell r="EA696" t="str">
            <v>Leadcom</v>
          </cell>
          <cell r="EJ696">
            <v>0</v>
          </cell>
          <cell r="EK696">
            <v>42286</v>
          </cell>
          <cell r="EM696">
            <v>42287</v>
          </cell>
          <cell r="EQ696">
            <v>42296</v>
          </cell>
          <cell r="EW696">
            <v>0</v>
          </cell>
          <cell r="EX696">
            <v>42310</v>
          </cell>
          <cell r="EZ696">
            <v>42306</v>
          </cell>
          <cell r="FB696">
            <v>42308</v>
          </cell>
          <cell r="FD696">
            <v>41939</v>
          </cell>
          <cell r="FF696">
            <v>41946</v>
          </cell>
          <cell r="FH696">
            <v>41948</v>
          </cell>
          <cell r="FJ696">
            <v>41951</v>
          </cell>
          <cell r="FN696">
            <v>41955</v>
          </cell>
          <cell r="FP696">
            <v>41957</v>
          </cell>
          <cell r="FR696">
            <v>41971</v>
          </cell>
          <cell r="FU696">
            <v>42310</v>
          </cell>
          <cell r="FW696">
            <v>42310</v>
          </cell>
          <cell r="GJ696">
            <v>0</v>
          </cell>
          <cell r="GN696" t="str">
            <v>ERICSSON</v>
          </cell>
          <cell r="GS696" t="str">
            <v>4/4/4</v>
          </cell>
          <cell r="GU696" t="str">
            <v xml:space="preserve">		</v>
          </cell>
          <cell r="HD696">
            <v>1</v>
          </cell>
        </row>
        <row r="697">
          <cell r="A697" t="str">
            <v>YN1198</v>
          </cell>
          <cell r="B697" t="str">
            <v>AYYN_0034</v>
          </cell>
          <cell r="C697" t="str">
            <v>Apollo</v>
          </cell>
          <cell r="D697" t="str">
            <v>Emilio Ruiz</v>
          </cell>
          <cell r="F697" t="str">
            <v>Myat Thura Leo</v>
          </cell>
          <cell r="G697" t="str">
            <v>Han Soe Aung</v>
          </cell>
          <cell r="H697" t="str">
            <v>YELLOW</v>
          </cell>
          <cell r="I697" t="str">
            <v>South</v>
          </cell>
          <cell r="J697" t="str">
            <v>96.4937172868389</v>
          </cell>
          <cell r="K697" t="str">
            <v>16.7890641605633</v>
          </cell>
          <cell r="L697" t="str">
            <v>Rural</v>
          </cell>
          <cell r="M697" t="str">
            <v>Yangon South</v>
          </cell>
          <cell r="N697" t="str">
            <v>Thongwa</v>
          </cell>
          <cell r="O697" t="str">
            <v>Thongwa</v>
          </cell>
          <cell r="P697" t="str">
            <v>Yangon 3</v>
          </cell>
          <cell r="Q697" t="str">
            <v>17</v>
          </cell>
          <cell r="R697" t="str">
            <v>Thongwa</v>
          </cell>
          <cell r="S697" t="str">
            <v>221</v>
          </cell>
          <cell r="T697" t="str">
            <v>GSM+UMTS</v>
          </cell>
          <cell r="W697" t="str">
            <v>Ph2-Priority</v>
          </cell>
          <cell r="X697" t="str">
            <v>45</v>
          </cell>
          <cell r="Y697" t="str">
            <v>47</v>
          </cell>
          <cell r="Z697" t="str">
            <v>GBT</v>
          </cell>
          <cell r="AA697" t="str">
            <v>500</v>
          </cell>
          <cell r="AB697" t="str">
            <v>Access</v>
          </cell>
          <cell r="AC697" t="str">
            <v>Class C</v>
          </cell>
          <cell r="BE697" t="str">
            <v>Yangon Ring 4</v>
          </cell>
          <cell r="BH697" t="str">
            <v>Camusat</v>
          </cell>
          <cell r="BJ697">
            <v>42167</v>
          </cell>
          <cell r="BK697">
            <v>42161</v>
          </cell>
          <cell r="BL697">
            <v>42172</v>
          </cell>
          <cell r="BM697">
            <v>42161</v>
          </cell>
          <cell r="BT697">
            <v>10</v>
          </cell>
          <cell r="BU697">
            <v>42219</v>
          </cell>
          <cell r="BV697">
            <v>42171</v>
          </cell>
          <cell r="BW697" t="str">
            <v>96.49468</v>
          </cell>
          <cell r="BX697" t="str">
            <v>16.79576</v>
          </cell>
          <cell r="BY697" t="str">
            <v>C4</v>
          </cell>
          <cell r="BZ697" t="str">
            <v>No. 74, Tha Kook Kone Village, Thongwa Township,Yangon Division.</v>
          </cell>
          <cell r="CA697" t="str">
            <v>U Toe;09-36635040, 09-420038392</v>
          </cell>
          <cell r="CB697" t="str">
            <v>16Jun15: C4 SAR Submitted to TN. C1,C2,C3 REJECTED Apollo tower due to FARMLAND</v>
          </cell>
          <cell r="CC697" t="str">
            <v>Residential</v>
          </cell>
          <cell r="CE697">
            <v>1</v>
          </cell>
          <cell r="CF697">
            <v>42220</v>
          </cell>
          <cell r="CG697">
            <v>42172</v>
          </cell>
          <cell r="CH697">
            <v>42222</v>
          </cell>
          <cell r="CJ697">
            <v>42179</v>
          </cell>
          <cell r="CK697" t="str">
            <v>45</v>
          </cell>
          <cell r="CL697" t="str">
            <v>47</v>
          </cell>
          <cell r="CM697" t="str">
            <v>50</v>
          </cell>
          <cell r="CN697">
            <v>9</v>
          </cell>
          <cell r="CO697">
            <v>42225</v>
          </cell>
          <cell r="CP697">
            <v>42181</v>
          </cell>
          <cell r="CQ697" t="str">
            <v>M4: solar + DG + battery</v>
          </cell>
          <cell r="CR697">
            <v>3</v>
          </cell>
          <cell r="CS697">
            <v>42226</v>
          </cell>
          <cell r="CT697">
            <v>42184</v>
          </cell>
          <cell r="CU697" t="str">
            <v>YN1198</v>
          </cell>
          <cell r="DH697">
            <v>17</v>
          </cell>
          <cell r="DI697">
            <v>42236</v>
          </cell>
          <cell r="DJ697">
            <v>42201</v>
          </cell>
          <cell r="DK697">
            <v>42233</v>
          </cell>
          <cell r="DL697">
            <v>42195</v>
          </cell>
          <cell r="DM697">
            <v>42237</v>
          </cell>
          <cell r="DN697">
            <v>42195</v>
          </cell>
          <cell r="DO697">
            <v>0</v>
          </cell>
          <cell r="DP697">
            <v>42236</v>
          </cell>
          <cell r="DQ697">
            <v>42201</v>
          </cell>
          <cell r="DT697">
            <v>32</v>
          </cell>
          <cell r="DU697">
            <v>42251</v>
          </cell>
          <cell r="DW697">
            <v>0</v>
          </cell>
          <cell r="DY697">
            <v>42237</v>
          </cell>
          <cell r="DZ697">
            <v>42195</v>
          </cell>
          <cell r="EA697" t="str">
            <v>Camusat</v>
          </cell>
          <cell r="EB697">
            <v>42217</v>
          </cell>
          <cell r="ED697" t="str">
            <v xml:space="preserve">29Jul15 :zinwin.htun: Lean cncrt cst finish.Rebar installation ongoing.Footing formwork making finish.Footing cst will start on 29-Jul-2015.
</v>
          </cell>
          <cell r="EE697" t="str">
            <v xml:space="preserve">10 Aug 15:Rain affected_Progress affected; 4-Aug-15:Site is affected by heavy rain								</v>
          </cell>
          <cell r="EJ697">
            <v>30</v>
          </cell>
          <cell r="EK697">
            <v>42254</v>
          </cell>
          <cell r="EL697">
            <v>42225</v>
          </cell>
          <cell r="EM697">
            <v>42255</v>
          </cell>
          <cell r="EN697">
            <v>42249</v>
          </cell>
          <cell r="EQ697">
            <v>42264</v>
          </cell>
          <cell r="ES697">
            <v>42244</v>
          </cell>
          <cell r="EW697">
            <v>38</v>
          </cell>
          <cell r="EX697">
            <v>42278</v>
          </cell>
          <cell r="EZ697">
            <v>42274</v>
          </cell>
          <cell r="FB697">
            <v>42276</v>
          </cell>
          <cell r="FU697">
            <v>42278</v>
          </cell>
          <cell r="FW697">
            <v>42278</v>
          </cell>
          <cell r="FY697" t="str">
            <v>TN</v>
          </cell>
          <cell r="FZ697">
            <v>42250</v>
          </cell>
          <cell r="GI697">
            <v>42307</v>
          </cell>
          <cell r="GJ697" t="str">
            <v>44-2015</v>
          </cell>
          <cell r="GL697" t="str">
            <v>SMR Required ::</v>
          </cell>
          <cell r="GN697" t="str">
            <v xml:space="preserve">ERICSSON </v>
          </cell>
          <cell r="GQ697" t="str">
            <v xml:space="preserve">SMR Pending; </v>
          </cell>
          <cell r="GS697" t="str">
            <v>4/4/4</v>
          </cell>
          <cell r="GU697" t="str">
            <v xml:space="preserve">		</v>
          </cell>
          <cell r="HD697">
            <v>1</v>
          </cell>
        </row>
        <row r="698">
          <cell r="A698" t="str">
            <v>YN1200</v>
          </cell>
          <cell r="B698" t="str">
            <v>AYYN_0035</v>
          </cell>
          <cell r="C698" t="str">
            <v>Apollo</v>
          </cell>
          <cell r="D698" t="str">
            <v>Emilio Ruiz</v>
          </cell>
          <cell r="F698" t="str">
            <v>Myat Thura Leo</v>
          </cell>
          <cell r="G698" t="str">
            <v>Han Soe Aung</v>
          </cell>
          <cell r="H698" t="str">
            <v>RED</v>
          </cell>
          <cell r="I698" t="str">
            <v>South</v>
          </cell>
          <cell r="J698" t="str">
            <v>95.9259</v>
          </cell>
          <cell r="K698" t="str">
            <v>16.712</v>
          </cell>
          <cell r="L698" t="str">
            <v>SubUrban</v>
          </cell>
          <cell r="M698" t="str">
            <v>Yangon South</v>
          </cell>
          <cell r="N698" t="str">
            <v>Twantay</v>
          </cell>
          <cell r="O698" t="str">
            <v>Twantay</v>
          </cell>
          <cell r="P698" t="str">
            <v>Yangon 3</v>
          </cell>
          <cell r="Q698" t="str">
            <v>17</v>
          </cell>
          <cell r="R698" t="str">
            <v>Twantay</v>
          </cell>
          <cell r="S698" t="str">
            <v>223</v>
          </cell>
          <cell r="T698" t="str">
            <v>GSM+UMTS</v>
          </cell>
          <cell r="W698" t="str">
            <v>Ph2-Priority</v>
          </cell>
          <cell r="X698" t="str">
            <v>35</v>
          </cell>
          <cell r="Y698" t="str">
            <v>35</v>
          </cell>
          <cell r="Z698" t="str">
            <v>RTP</v>
          </cell>
          <cell r="AA698" t="str">
            <v>100</v>
          </cell>
          <cell r="AB698" t="str">
            <v>Access</v>
          </cell>
          <cell r="AC698" t="str">
            <v>Class B</v>
          </cell>
          <cell r="BE698" t="str">
            <v>Yangon South</v>
          </cell>
          <cell r="BH698" t="str">
            <v>Aster-DEG</v>
          </cell>
          <cell r="BJ698">
            <v>42153</v>
          </cell>
          <cell r="BK698">
            <v>42130</v>
          </cell>
          <cell r="BL698">
            <v>42158</v>
          </cell>
          <cell r="BT698">
            <v>103</v>
          </cell>
          <cell r="BU698">
            <v>42158</v>
          </cell>
          <cell r="BV698">
            <v>42249</v>
          </cell>
          <cell r="BW698" t="str">
            <v>96.02323</v>
          </cell>
          <cell r="BX698" t="str">
            <v>19.92286</v>
          </cell>
          <cell r="BY698" t="str">
            <v>C1</v>
          </cell>
          <cell r="CB698" t="str">
            <v>16 Aug 15 : C3 SAR sub( C01 NOC issue, C02 Rejected during TSSR as it is near the river);12 Aug 15 : C2 SAR app;10 Aug 15 : C2 SAR sub(C1 cancelled - NOC Issue);10 Jul 15 : C1 TSSR app;9 Jul 15 : C1 TSSR sub;29 Jun 15 : C1 SAR app;26 Jun 15 : C1 SAR sub</v>
          </cell>
          <cell r="CC698" t="str">
            <v>Residential</v>
          </cell>
          <cell r="CE698">
            <v>0</v>
          </cell>
          <cell r="CF698">
            <v>42159</v>
          </cell>
          <cell r="CH698">
            <v>42161</v>
          </cell>
          <cell r="CN698">
            <v>0</v>
          </cell>
          <cell r="CO698">
            <v>42164</v>
          </cell>
          <cell r="CQ698" t="str">
            <v>M4: solar + DG + battery</v>
          </cell>
          <cell r="CR698">
            <v>0</v>
          </cell>
          <cell r="CS698">
            <v>42165</v>
          </cell>
          <cell r="CU698" t="str">
            <v>YN1200</v>
          </cell>
          <cell r="DH698">
            <v>0</v>
          </cell>
          <cell r="DI698">
            <v>42175</v>
          </cell>
          <cell r="DK698">
            <v>42172</v>
          </cell>
          <cell r="DM698">
            <v>42176</v>
          </cell>
          <cell r="DO698">
            <v>0</v>
          </cell>
          <cell r="DP698">
            <v>42175</v>
          </cell>
          <cell r="DT698">
            <v>0</v>
          </cell>
          <cell r="DU698">
            <v>42190</v>
          </cell>
          <cell r="DW698">
            <v>0</v>
          </cell>
          <cell r="DY698">
            <v>42176</v>
          </cell>
          <cell r="EA698" t="str">
            <v>Leadcom</v>
          </cell>
          <cell r="EJ698">
            <v>0</v>
          </cell>
          <cell r="EK698">
            <v>42191</v>
          </cell>
          <cell r="EM698">
            <v>42192</v>
          </cell>
          <cell r="EQ698">
            <v>42199</v>
          </cell>
          <cell r="EW698">
            <v>0</v>
          </cell>
          <cell r="EX698">
            <v>42213</v>
          </cell>
          <cell r="EZ698">
            <v>42209</v>
          </cell>
          <cell r="FB698">
            <v>42211</v>
          </cell>
          <cell r="FU698">
            <v>42213</v>
          </cell>
          <cell r="FW698">
            <v>42213</v>
          </cell>
          <cell r="GI698">
            <v>42215</v>
          </cell>
          <cell r="GJ698">
            <v>0</v>
          </cell>
          <cell r="GN698" t="str">
            <v>ERICSSON</v>
          </cell>
          <cell r="GS698" t="str">
            <v>4/4/4</v>
          </cell>
          <cell r="GU698" t="str">
            <v xml:space="preserve">		</v>
          </cell>
          <cell r="HD698">
            <v>1</v>
          </cell>
        </row>
        <row r="699">
          <cell r="A699" t="str">
            <v>YN1201</v>
          </cell>
          <cell r="B699" t="str">
            <v>AYYN_0036</v>
          </cell>
          <cell r="C699" t="str">
            <v>Apollo</v>
          </cell>
          <cell r="D699" t="str">
            <v>Emilio Ruiz</v>
          </cell>
          <cell r="F699" t="str">
            <v>Myat Thura Leo</v>
          </cell>
          <cell r="G699" t="str">
            <v>Han Soe Aung</v>
          </cell>
          <cell r="H699" t="str">
            <v>WHITE</v>
          </cell>
          <cell r="I699" t="str">
            <v>South</v>
          </cell>
          <cell r="J699" t="str">
            <v>95.9263</v>
          </cell>
          <cell r="K699" t="str">
            <v>16.6828</v>
          </cell>
          <cell r="L699" t="str">
            <v>SubUrban</v>
          </cell>
          <cell r="M699" t="str">
            <v>Yangon South</v>
          </cell>
          <cell r="N699" t="str">
            <v>Twantay</v>
          </cell>
          <cell r="O699" t="str">
            <v>Twantay</v>
          </cell>
          <cell r="P699" t="str">
            <v>Yangon 3</v>
          </cell>
          <cell r="Q699" t="str">
            <v>17</v>
          </cell>
          <cell r="R699" t="str">
            <v>Twantay</v>
          </cell>
          <cell r="S699" t="str">
            <v>223</v>
          </cell>
          <cell r="T699" t="str">
            <v>GSM+UMTS</v>
          </cell>
          <cell r="W699" t="str">
            <v>Ph2-Priority</v>
          </cell>
          <cell r="X699" t="str">
            <v>35</v>
          </cell>
          <cell r="Y699" t="str">
            <v>35</v>
          </cell>
          <cell r="Z699" t="str">
            <v>GBT</v>
          </cell>
          <cell r="AA699" t="str">
            <v>250</v>
          </cell>
          <cell r="AB699" t="str">
            <v>Access</v>
          </cell>
          <cell r="AC699" t="str">
            <v>Class B</v>
          </cell>
          <cell r="BE699" t="str">
            <v>Yangon South</v>
          </cell>
          <cell r="BH699" t="str">
            <v>Aster-DEG</v>
          </cell>
          <cell r="BJ699">
            <v>42153</v>
          </cell>
          <cell r="BK699">
            <v>42130</v>
          </cell>
          <cell r="BL699">
            <v>42158</v>
          </cell>
          <cell r="BM699">
            <v>42148</v>
          </cell>
          <cell r="BT699">
            <v>28</v>
          </cell>
          <cell r="BU699">
            <v>42158</v>
          </cell>
          <cell r="BV699">
            <v>42158</v>
          </cell>
          <cell r="BW699" t="str">
            <v>95.92545</v>
          </cell>
          <cell r="BX699" t="str">
            <v>16.6827</v>
          </cell>
          <cell r="BY699" t="str">
            <v>C1</v>
          </cell>
          <cell r="BZ699" t="str">
            <v>SHAN SU LAY VILLAGE,KHA LOTE VILLAGE GROUP,TWANTAY TSP.</v>
          </cell>
          <cell r="CA699" t="str">
            <v>U KYI SOE;Shan Su Lay Village, Kha Lote Village Group, Twan Tay Township;09-428044682</v>
          </cell>
          <cell r="CB699" t="str">
            <v>3June15: C1 SAR Sub</v>
          </cell>
          <cell r="CC699" t="str">
            <v>Garden land</v>
          </cell>
          <cell r="CE699">
            <v>0</v>
          </cell>
          <cell r="CF699">
            <v>42159</v>
          </cell>
          <cell r="CG699">
            <v>42158</v>
          </cell>
          <cell r="CH699">
            <v>42165</v>
          </cell>
          <cell r="CJ699">
            <v>42161</v>
          </cell>
          <cell r="CK699" t="str">
            <v>35</v>
          </cell>
          <cell r="CL699" t="str">
            <v>37</v>
          </cell>
          <cell r="CM699" t="str">
            <v>35</v>
          </cell>
          <cell r="CN699">
            <v>5</v>
          </cell>
          <cell r="CO699">
            <v>42168</v>
          </cell>
          <cell r="CP699">
            <v>42163</v>
          </cell>
          <cell r="CQ699" t="str">
            <v>M4: solar + DG + battery</v>
          </cell>
          <cell r="CR699">
            <v>4</v>
          </cell>
          <cell r="CS699">
            <v>42169</v>
          </cell>
          <cell r="CT699">
            <v>42167</v>
          </cell>
          <cell r="CU699" t="str">
            <v>YN1201</v>
          </cell>
          <cell r="DH699">
            <v>8</v>
          </cell>
          <cell r="DI699">
            <v>42179</v>
          </cell>
          <cell r="DJ699">
            <v>42175</v>
          </cell>
          <cell r="DK699">
            <v>42176</v>
          </cell>
          <cell r="DL699">
            <v>42180</v>
          </cell>
          <cell r="DM699">
            <v>42180</v>
          </cell>
          <cell r="DN699">
            <v>42180</v>
          </cell>
          <cell r="DO699">
            <v>0</v>
          </cell>
          <cell r="DP699">
            <v>42179</v>
          </cell>
          <cell r="DQ699">
            <v>42175</v>
          </cell>
          <cell r="DT699">
            <v>58</v>
          </cell>
          <cell r="DU699">
            <v>42194</v>
          </cell>
          <cell r="DW699">
            <v>0</v>
          </cell>
          <cell r="DY699">
            <v>42180</v>
          </cell>
          <cell r="DZ699">
            <v>42180</v>
          </cell>
          <cell r="EA699" t="str">
            <v>Leadcom</v>
          </cell>
          <cell r="EI699" t="str">
            <v>M7: 2DG + battery      </v>
          </cell>
          <cell r="EJ699">
            <v>11</v>
          </cell>
          <cell r="EK699">
            <v>42195</v>
          </cell>
          <cell r="EL699">
            <v>42191</v>
          </cell>
          <cell r="EM699">
            <v>42196</v>
          </cell>
          <cell r="EN699">
            <v>42191</v>
          </cell>
          <cell r="EQ699">
            <v>42203</v>
          </cell>
          <cell r="ER699">
            <v>42195</v>
          </cell>
          <cell r="ES699">
            <v>42194</v>
          </cell>
          <cell r="ET699">
            <v>42198</v>
          </cell>
          <cell r="EU699">
            <v>42198</v>
          </cell>
          <cell r="EW699">
            <v>53</v>
          </cell>
          <cell r="EX699">
            <v>42213</v>
          </cell>
          <cell r="EZ699">
            <v>42213</v>
          </cell>
          <cell r="FA699">
            <v>42201</v>
          </cell>
          <cell r="FB699">
            <v>42215</v>
          </cell>
          <cell r="FC699">
            <v>42205</v>
          </cell>
          <cell r="FE699">
            <v>42193</v>
          </cell>
          <cell r="FU699">
            <v>42217</v>
          </cell>
          <cell r="FV699">
            <v>42212</v>
          </cell>
          <cell r="FW699">
            <v>42217</v>
          </cell>
          <cell r="FX699">
            <v>42205</v>
          </cell>
          <cell r="FY699" t="str">
            <v>TN</v>
          </cell>
          <cell r="FZ699">
            <v>42193</v>
          </cell>
          <cell r="GA699">
            <v>42195</v>
          </cell>
          <cell r="GB699">
            <v>42197</v>
          </cell>
          <cell r="GC699">
            <v>42197</v>
          </cell>
          <cell r="GD699">
            <v>42197</v>
          </cell>
          <cell r="GE699">
            <v>42202</v>
          </cell>
          <cell r="GF699">
            <v>42202</v>
          </cell>
          <cell r="GG699">
            <v>42206</v>
          </cell>
          <cell r="GH699">
            <v>42206</v>
          </cell>
          <cell r="GI699">
            <v>42216</v>
          </cell>
          <cell r="GJ699" t="str">
            <v>30-2015</v>
          </cell>
          <cell r="GK699">
            <v>42206</v>
          </cell>
          <cell r="GN699" t="str">
            <v>ERICSSON</v>
          </cell>
          <cell r="GS699" t="str">
            <v>4/4/4</v>
          </cell>
          <cell r="GT699" t="str">
            <v>Triple Carrier</v>
          </cell>
          <cell r="GU699" t="str">
            <v xml:space="preserve">		</v>
          </cell>
          <cell r="HD699">
            <v>1</v>
          </cell>
        </row>
        <row r="700">
          <cell r="A700" t="str">
            <v>YN1202</v>
          </cell>
          <cell r="B700" t="str">
            <v>AYYN_0037</v>
          </cell>
          <cell r="C700" t="str">
            <v>Apollo</v>
          </cell>
          <cell r="D700" t="str">
            <v>Emilio Ruiz</v>
          </cell>
          <cell r="F700" t="str">
            <v>Myat Thura Leo</v>
          </cell>
          <cell r="G700" t="str">
            <v>Han Soe Aung</v>
          </cell>
          <cell r="H700" t="str">
            <v>RED</v>
          </cell>
          <cell r="I700" t="str">
            <v>South</v>
          </cell>
          <cell r="J700" t="str">
            <v>95.9441</v>
          </cell>
          <cell r="K700" t="str">
            <v>16.6892</v>
          </cell>
          <cell r="L700" t="str">
            <v>SubUrban</v>
          </cell>
          <cell r="M700" t="str">
            <v>Yangon South</v>
          </cell>
          <cell r="N700" t="str">
            <v>Twantay</v>
          </cell>
          <cell r="O700" t="str">
            <v>Twantay</v>
          </cell>
          <cell r="P700" t="str">
            <v>Yangon 3</v>
          </cell>
          <cell r="Q700" t="str">
            <v>17</v>
          </cell>
          <cell r="R700" t="str">
            <v>Twantay</v>
          </cell>
          <cell r="S700" t="str">
            <v>223</v>
          </cell>
          <cell r="T700" t="str">
            <v>GSM+UMTS</v>
          </cell>
          <cell r="W700" t="str">
            <v>Ph2-Priority</v>
          </cell>
          <cell r="X700" t="str">
            <v>35</v>
          </cell>
          <cell r="Y700" t="str">
            <v>35</v>
          </cell>
          <cell r="Z700" t="str">
            <v>GBT</v>
          </cell>
          <cell r="AA700" t="str">
            <v>250</v>
          </cell>
          <cell r="AB700" t="str">
            <v>Access</v>
          </cell>
          <cell r="AC700" t="str">
            <v>Class B</v>
          </cell>
          <cell r="BE700" t="str">
            <v>Yangon South</v>
          </cell>
          <cell r="BH700" t="str">
            <v>Aster-DEG</v>
          </cell>
          <cell r="BJ700">
            <v>42153</v>
          </cell>
          <cell r="BK700">
            <v>42130</v>
          </cell>
          <cell r="BL700">
            <v>42158</v>
          </cell>
          <cell r="BM700">
            <v>42174</v>
          </cell>
          <cell r="BT700">
            <v>103</v>
          </cell>
          <cell r="BU700">
            <v>42158</v>
          </cell>
          <cell r="BV700">
            <v>42185</v>
          </cell>
          <cell r="BW700" t="str">
            <v>92.53104</v>
          </cell>
          <cell r="BX700" t="str">
            <v>20.87997</v>
          </cell>
          <cell r="BY700" t="str">
            <v>C1</v>
          </cell>
          <cell r="BZ700" t="str">
            <v>No(3) Quarter, Min Bar Gyi Street, Bu Thi Taung Township, Rakhine State.</v>
          </cell>
          <cell r="CA700" t="str">
            <v>U Aung Than Htun</v>
          </cell>
          <cell r="CC700" t="str">
            <v>Village</v>
          </cell>
          <cell r="CE700">
            <v>0</v>
          </cell>
          <cell r="CF700">
            <v>42159</v>
          </cell>
          <cell r="CG700">
            <v>42187</v>
          </cell>
          <cell r="CH700">
            <v>42161</v>
          </cell>
          <cell r="CJ700">
            <v>42203</v>
          </cell>
          <cell r="CK700" t="str">
            <v>35</v>
          </cell>
          <cell r="CL700" t="str">
            <v>37</v>
          </cell>
          <cell r="CM700" t="str">
            <v>40</v>
          </cell>
          <cell r="CN700">
            <v>0</v>
          </cell>
          <cell r="CO700">
            <v>42164</v>
          </cell>
          <cell r="CP700">
            <v>42205</v>
          </cell>
          <cell r="CQ700" t="str">
            <v>M1: grid power + battery</v>
          </cell>
          <cell r="CR700">
            <v>0</v>
          </cell>
          <cell r="CS700">
            <v>42165</v>
          </cell>
          <cell r="CT700">
            <v>42207</v>
          </cell>
          <cell r="CU700" t="str">
            <v>YN1202</v>
          </cell>
          <cell r="DH700">
            <v>0</v>
          </cell>
          <cell r="DI700">
            <v>42175</v>
          </cell>
          <cell r="DK700">
            <v>42172</v>
          </cell>
          <cell r="DM700">
            <v>42176</v>
          </cell>
          <cell r="DO700">
            <v>0</v>
          </cell>
          <cell r="DP700">
            <v>42175</v>
          </cell>
          <cell r="DT700">
            <v>0</v>
          </cell>
          <cell r="DU700">
            <v>42190</v>
          </cell>
          <cell r="DW700">
            <v>0</v>
          </cell>
          <cell r="DY700">
            <v>42176</v>
          </cell>
          <cell r="EA700" t="str">
            <v>Leadcom</v>
          </cell>
          <cell r="EJ700">
            <v>0</v>
          </cell>
          <cell r="EK700">
            <v>42191</v>
          </cell>
          <cell r="EM700">
            <v>42192</v>
          </cell>
          <cell r="EQ700">
            <v>42199</v>
          </cell>
          <cell r="EW700">
            <v>0</v>
          </cell>
          <cell r="EX700">
            <v>42213</v>
          </cell>
          <cell r="EZ700">
            <v>42209</v>
          </cell>
          <cell r="FB700">
            <v>42211</v>
          </cell>
          <cell r="FU700">
            <v>42213</v>
          </cell>
          <cell r="FW700">
            <v>42213</v>
          </cell>
          <cell r="GI700">
            <v>41981</v>
          </cell>
          <cell r="GJ700">
            <v>0</v>
          </cell>
          <cell r="GN700" t="str">
            <v>ERICSSON</v>
          </cell>
          <cell r="GS700" t="str">
            <v>4/4/4</v>
          </cell>
          <cell r="GU700" t="str">
            <v xml:space="preserve">		</v>
          </cell>
          <cell r="HD700">
            <v>1</v>
          </cell>
        </row>
        <row r="701">
          <cell r="A701" t="str">
            <v>YN1203</v>
          </cell>
          <cell r="B701" t="str">
            <v>AYYN_0038</v>
          </cell>
          <cell r="C701" t="str">
            <v>Apollo</v>
          </cell>
          <cell r="D701" t="str">
            <v>Emilio Ruiz</v>
          </cell>
          <cell r="F701" t="str">
            <v>Myat Thura Leo</v>
          </cell>
          <cell r="G701" t="str">
            <v>Han Soe Aung</v>
          </cell>
          <cell r="H701" t="str">
            <v>RED</v>
          </cell>
          <cell r="I701" t="str">
            <v>South</v>
          </cell>
          <cell r="J701" t="str">
            <v>96.0135</v>
          </cell>
          <cell r="K701" t="str">
            <v>16.7055</v>
          </cell>
          <cell r="L701" t="str">
            <v>Rural</v>
          </cell>
          <cell r="M701" t="str">
            <v>Yangon South</v>
          </cell>
          <cell r="N701" t="str">
            <v>Twantay</v>
          </cell>
          <cell r="O701" t="str">
            <v>Twantay</v>
          </cell>
          <cell r="P701" t="str">
            <v>Yangon 3</v>
          </cell>
          <cell r="Q701" t="str">
            <v>17</v>
          </cell>
          <cell r="R701" t="str">
            <v>Twantay</v>
          </cell>
          <cell r="S701" t="str">
            <v>223</v>
          </cell>
          <cell r="T701" t="str">
            <v>GSM+UMTS</v>
          </cell>
          <cell r="W701" t="str">
            <v>Ph2-Priority</v>
          </cell>
          <cell r="X701" t="str">
            <v>45</v>
          </cell>
          <cell r="Y701" t="str">
            <v>47</v>
          </cell>
          <cell r="Z701" t="str">
            <v>GBT</v>
          </cell>
          <cell r="AA701" t="str">
            <v>250</v>
          </cell>
          <cell r="AB701" t="str">
            <v>Access</v>
          </cell>
          <cell r="AC701" t="str">
            <v>Class C</v>
          </cell>
          <cell r="BE701" t="str">
            <v>Yangon South</v>
          </cell>
          <cell r="BH701" t="str">
            <v>Leadcom</v>
          </cell>
          <cell r="BJ701">
            <v>42155</v>
          </cell>
          <cell r="BK701">
            <v>42130</v>
          </cell>
          <cell r="BL701">
            <v>42160</v>
          </cell>
          <cell r="BM701">
            <v>42138</v>
          </cell>
          <cell r="BT701">
            <v>18</v>
          </cell>
          <cell r="BU701">
            <v>42255</v>
          </cell>
          <cell r="BV701">
            <v>42235</v>
          </cell>
          <cell r="BW701" t="str">
            <v>96.01275</v>
          </cell>
          <cell r="BX701" t="str">
            <v>16.70529</v>
          </cell>
          <cell r="BY701" t="str">
            <v>C1</v>
          </cell>
          <cell r="BZ701" t="str">
            <v>Field No.112/Tha Pin Field/U Paing No.(19/BA)/3,Khapin Village, Kanbe</v>
          </cell>
          <cell r="CA701" t="str">
            <v>Daw Thaung Tin, 09 796 378 639</v>
          </cell>
          <cell r="CB701" t="str">
            <v>19 Aug 15 : C1 SAR sub</v>
          </cell>
          <cell r="CC701" t="str">
            <v>GARDEN LAND</v>
          </cell>
          <cell r="CE701">
            <v>0</v>
          </cell>
          <cell r="CF701">
            <v>42256</v>
          </cell>
          <cell r="CG701">
            <v>42236</v>
          </cell>
          <cell r="CH701">
            <v>42258</v>
          </cell>
          <cell r="CJ701">
            <v>42241</v>
          </cell>
          <cell r="CK701" t="str">
            <v>45</v>
          </cell>
          <cell r="CL701" t="str">
            <v>47</v>
          </cell>
          <cell r="CM701" t="str">
            <v>50</v>
          </cell>
          <cell r="CN701">
            <v>0</v>
          </cell>
          <cell r="CO701">
            <v>42261</v>
          </cell>
          <cell r="CP701">
            <v>42243</v>
          </cell>
          <cell r="CQ701" t="str">
            <v>M1: grid power + battery</v>
          </cell>
          <cell r="CR701">
            <v>0</v>
          </cell>
          <cell r="CS701">
            <v>42262</v>
          </cell>
          <cell r="CT701">
            <v>42244</v>
          </cell>
          <cell r="CU701" t="str">
            <v>YN1203</v>
          </cell>
          <cell r="DH701">
            <v>0</v>
          </cell>
          <cell r="DI701">
            <v>42272</v>
          </cell>
          <cell r="DJ701">
            <v>42171</v>
          </cell>
          <cell r="DK701">
            <v>42269</v>
          </cell>
          <cell r="DL701">
            <v>42168</v>
          </cell>
          <cell r="DM701">
            <v>42273</v>
          </cell>
          <cell r="DN701">
            <v>42175</v>
          </cell>
          <cell r="DO701">
            <v>0</v>
          </cell>
          <cell r="DP701">
            <v>42272</v>
          </cell>
          <cell r="DQ701">
            <v>42171</v>
          </cell>
          <cell r="DT701">
            <v>0</v>
          </cell>
          <cell r="DU701">
            <v>42287</v>
          </cell>
          <cell r="DV701">
            <v>42181</v>
          </cell>
          <cell r="DW701">
            <v>0</v>
          </cell>
          <cell r="DY701">
            <v>42273</v>
          </cell>
          <cell r="DZ701">
            <v>42175</v>
          </cell>
          <cell r="EA701" t="str">
            <v>Leadcom</v>
          </cell>
          <cell r="ED701" t="str">
            <v xml:space="preserve">30Jun15 :KyawZay.Yar: Excavation done.Footing done.Rebar for column not started yet.No rebar on site(waiting for rebar).
</v>
          </cell>
          <cell r="EJ701">
            <v>0</v>
          </cell>
          <cell r="EK701">
            <v>42290</v>
          </cell>
          <cell r="EL701">
            <v>42199</v>
          </cell>
          <cell r="EM701">
            <v>42291</v>
          </cell>
          <cell r="EQ701">
            <v>42300</v>
          </cell>
          <cell r="EW701">
            <v>0</v>
          </cell>
          <cell r="EX701">
            <v>42287</v>
          </cell>
          <cell r="EZ701">
            <v>42310</v>
          </cell>
          <cell r="FB701">
            <v>42312</v>
          </cell>
          <cell r="FU701">
            <v>42314</v>
          </cell>
          <cell r="FW701">
            <v>42314</v>
          </cell>
          <cell r="GF701">
            <v>42117</v>
          </cell>
          <cell r="GJ701">
            <v>0</v>
          </cell>
          <cell r="GN701" t="str">
            <v>ERICSSON</v>
          </cell>
          <cell r="GS701" t="str">
            <v>4/4/4</v>
          </cell>
          <cell r="GU701" t="str">
            <v xml:space="preserve">		</v>
          </cell>
          <cell r="HD701">
            <v>1</v>
          </cell>
        </row>
        <row r="702">
          <cell r="A702" t="str">
            <v>YN1209</v>
          </cell>
          <cell r="B702" t="str">
            <v>AYYN_0042</v>
          </cell>
          <cell r="C702" t="str">
            <v>Apollo</v>
          </cell>
          <cell r="D702" t="str">
            <v>Emilio Ruiz</v>
          </cell>
          <cell r="F702" t="str">
            <v>Myat Thura Leo</v>
          </cell>
          <cell r="G702" t="str">
            <v>Zin Win Htun</v>
          </cell>
          <cell r="H702" t="str">
            <v>RED</v>
          </cell>
          <cell r="I702" t="str">
            <v>South</v>
          </cell>
          <cell r="J702" t="str">
            <v>95.9942</v>
          </cell>
          <cell r="K702" t="str">
            <v>17.1611</v>
          </cell>
          <cell r="L702" t="str">
            <v>Rural</v>
          </cell>
          <cell r="M702" t="str">
            <v>Yangon North</v>
          </cell>
          <cell r="N702" t="str">
            <v>Hmawbi</v>
          </cell>
          <cell r="O702" t="str">
            <v>Hmawbi</v>
          </cell>
          <cell r="P702" t="str">
            <v>Yangon 2</v>
          </cell>
          <cell r="Q702" t="str">
            <v>16</v>
          </cell>
          <cell r="R702" t="str">
            <v>Hmawbi</v>
          </cell>
          <cell r="S702" t="str">
            <v>199</v>
          </cell>
          <cell r="T702" t="str">
            <v>GSM+UMTS</v>
          </cell>
          <cell r="W702" t="str">
            <v>Ph2-Priority</v>
          </cell>
          <cell r="X702" t="str">
            <v>45</v>
          </cell>
          <cell r="Y702" t="str">
            <v>47</v>
          </cell>
          <cell r="Z702" t="str">
            <v>GBT</v>
          </cell>
          <cell r="AA702" t="str">
            <v>500</v>
          </cell>
          <cell r="AB702" t="str">
            <v>Access</v>
          </cell>
          <cell r="AC702" t="str">
            <v>Class C</v>
          </cell>
          <cell r="BE702" t="str">
            <v>Route 1 Yangon - Mandalay</v>
          </cell>
          <cell r="BH702" t="str">
            <v>Leadcom</v>
          </cell>
          <cell r="BJ702">
            <v>42155</v>
          </cell>
          <cell r="BK702">
            <v>42171</v>
          </cell>
          <cell r="BL702">
            <v>42160</v>
          </cell>
          <cell r="BM702">
            <v>42178</v>
          </cell>
          <cell r="BT702">
            <v>27</v>
          </cell>
          <cell r="BU702">
            <v>42202</v>
          </cell>
          <cell r="BV702">
            <v>42235</v>
          </cell>
          <cell r="BW702" t="str">
            <v>95.996253</v>
          </cell>
          <cell r="BX702" t="str">
            <v>17.169525</v>
          </cell>
          <cell r="BY702" t="str">
            <v>C1</v>
          </cell>
          <cell r="BZ702" t="str">
            <v>May Kha Kyat Chan Street,Kalar Kone Village,Mawbi Tsp,Yangon</v>
          </cell>
          <cell r="CA702" t="str">
            <v>U Aye Myint Htun, 09-254444530,09-254444363</v>
          </cell>
          <cell r="CB702" t="str">
            <v>19 Aug 15 : C1 SAR sub(Given nominal fall in Paddy land)</v>
          </cell>
          <cell r="CC702" t="str">
            <v>Cultivated Land</v>
          </cell>
          <cell r="CE702">
            <v>0</v>
          </cell>
          <cell r="CF702">
            <v>42203</v>
          </cell>
          <cell r="CG702">
            <v>42236</v>
          </cell>
          <cell r="CH702">
            <v>42205</v>
          </cell>
          <cell r="CJ702">
            <v>42241</v>
          </cell>
          <cell r="CK702" t="str">
            <v>45</v>
          </cell>
          <cell r="CL702" t="str">
            <v>47</v>
          </cell>
          <cell r="CM702" t="str">
            <v>50</v>
          </cell>
          <cell r="CN702">
            <v>0</v>
          </cell>
          <cell r="CO702">
            <v>42208</v>
          </cell>
          <cell r="CP702">
            <v>42243</v>
          </cell>
          <cell r="CQ702" t="str">
            <v>M1: grid power + battery</v>
          </cell>
          <cell r="CR702">
            <v>0</v>
          </cell>
          <cell r="CS702">
            <v>42209</v>
          </cell>
          <cell r="CT702">
            <v>42244</v>
          </cell>
          <cell r="CU702" t="str">
            <v>YN1209</v>
          </cell>
          <cell r="DH702">
            <v>0</v>
          </cell>
          <cell r="DI702">
            <v>42219</v>
          </cell>
          <cell r="DK702">
            <v>42216</v>
          </cell>
          <cell r="DL702">
            <v>42172</v>
          </cell>
          <cell r="DM702">
            <v>42220</v>
          </cell>
          <cell r="DO702">
            <v>0</v>
          </cell>
          <cell r="DP702">
            <v>42219</v>
          </cell>
          <cell r="DT702">
            <v>0</v>
          </cell>
          <cell r="DU702">
            <v>42234</v>
          </cell>
          <cell r="DW702">
            <v>0</v>
          </cell>
          <cell r="DY702">
            <v>42220</v>
          </cell>
          <cell r="EA702" t="str">
            <v>Leadcom</v>
          </cell>
          <cell r="EJ702">
            <v>0</v>
          </cell>
          <cell r="EK702">
            <v>42237</v>
          </cell>
          <cell r="EM702">
            <v>42238</v>
          </cell>
          <cell r="EQ702">
            <v>42247</v>
          </cell>
          <cell r="EW702">
            <v>0</v>
          </cell>
          <cell r="EX702">
            <v>42261</v>
          </cell>
          <cell r="EZ702">
            <v>42257</v>
          </cell>
          <cell r="FB702">
            <v>42259</v>
          </cell>
          <cell r="FU702">
            <v>42261</v>
          </cell>
          <cell r="FW702">
            <v>42261</v>
          </cell>
          <cell r="GI702">
            <v>42117</v>
          </cell>
          <cell r="GJ702">
            <v>0</v>
          </cell>
          <cell r="GN702" t="str">
            <v>ERICSSON</v>
          </cell>
          <cell r="GS702" t="str">
            <v>4/4/4</v>
          </cell>
          <cell r="GU702" t="str">
            <v xml:space="preserve">		</v>
          </cell>
          <cell r="HD702">
            <v>1</v>
          </cell>
        </row>
        <row r="703">
          <cell r="A703" t="str">
            <v>YN1241</v>
          </cell>
          <cell r="B703" t="str">
            <v>AYYN_0046</v>
          </cell>
          <cell r="C703" t="str">
            <v>Apollo</v>
          </cell>
          <cell r="D703" t="str">
            <v>Emilio Ruiz</v>
          </cell>
          <cell r="F703" t="str">
            <v>Myat Thura Leo</v>
          </cell>
          <cell r="G703" t="str">
            <v>May Myat Noe</v>
          </cell>
          <cell r="H703" t="str">
            <v>RED</v>
          </cell>
          <cell r="I703" t="str">
            <v>South</v>
          </cell>
          <cell r="J703" t="str">
            <v>96.206649</v>
          </cell>
          <cell r="K703" t="str">
            <v>16.896741</v>
          </cell>
          <cell r="L703" t="str">
            <v>Urban</v>
          </cell>
          <cell r="M703" t="str">
            <v>Yangon East</v>
          </cell>
          <cell r="N703" t="str">
            <v>Dagon Myothit (East)</v>
          </cell>
          <cell r="O703" t="str">
            <v>Dagon Myothit (East)</v>
          </cell>
          <cell r="P703" t="str">
            <v>Yangon 1</v>
          </cell>
          <cell r="Q703" t="str">
            <v>15</v>
          </cell>
          <cell r="R703" t="str">
            <v>Dagon Myothit (East)</v>
          </cell>
          <cell r="S703" t="str">
            <v>216</v>
          </cell>
          <cell r="T703" t="str">
            <v>GSM+UMTS</v>
          </cell>
          <cell r="W703" t="str">
            <v>Ph2-Priority</v>
          </cell>
          <cell r="X703" t="str">
            <v>30</v>
          </cell>
          <cell r="Y703" t="str">
            <v>30</v>
          </cell>
          <cell r="Z703" t="str">
            <v>RTP</v>
          </cell>
          <cell r="AA703" t="str">
            <v>100</v>
          </cell>
          <cell r="AB703" t="str">
            <v>Access</v>
          </cell>
          <cell r="AC703" t="str">
            <v>Class B</v>
          </cell>
          <cell r="BE703" t="str">
            <v>Spur from Yangon Ring 1 (2km)</v>
          </cell>
          <cell r="BH703" t="str">
            <v>Aster-DEG</v>
          </cell>
          <cell r="BJ703">
            <v>42167</v>
          </cell>
          <cell r="BK703">
            <v>42130</v>
          </cell>
          <cell r="BL703">
            <v>42172</v>
          </cell>
          <cell r="BM703">
            <v>42138</v>
          </cell>
          <cell r="BT703">
            <v>98</v>
          </cell>
          <cell r="BU703">
            <v>42184</v>
          </cell>
          <cell r="BV703">
            <v>42228</v>
          </cell>
          <cell r="BW703" t="str">
            <v>96.20691</v>
          </cell>
          <cell r="BX703" t="str">
            <v>16.89614</v>
          </cell>
          <cell r="BY703" t="str">
            <v>C1</v>
          </cell>
          <cell r="BZ703" t="str">
            <v>No(128/A),YarZarDirit Street, (8)Ward , DagonMyothit(East)Township</v>
          </cell>
          <cell r="CA703" t="str">
            <v>U Kyi Hlaing, 95096547</v>
          </cell>
          <cell r="CB703" t="str">
            <v>17 Aug 15 : C1 SAR rev 1 approved as an option 1; 12 Aug 15 : C1 SAR sub, G+2 (10M)</v>
          </cell>
          <cell r="CD703" t="str">
            <v>10</v>
          </cell>
          <cell r="CE703">
            <v>5</v>
          </cell>
          <cell r="CF703">
            <v>42185</v>
          </cell>
          <cell r="CG703">
            <v>42233</v>
          </cell>
          <cell r="CH703">
            <v>42187</v>
          </cell>
          <cell r="CJ703">
            <v>42234</v>
          </cell>
          <cell r="CK703" t="str">
            <v>15</v>
          </cell>
          <cell r="CL703" t="str">
            <v>6</v>
          </cell>
          <cell r="CM703" t="str">
            <v>6</v>
          </cell>
          <cell r="CN703">
            <v>0</v>
          </cell>
          <cell r="CO703">
            <v>42190</v>
          </cell>
          <cell r="CP703">
            <v>42236</v>
          </cell>
          <cell r="CQ703" t="str">
            <v>M1: grid power + battery</v>
          </cell>
          <cell r="CR703">
            <v>0</v>
          </cell>
          <cell r="CS703">
            <v>42191</v>
          </cell>
          <cell r="CT703">
            <v>42241</v>
          </cell>
          <cell r="CU703" t="str">
            <v>YN1241</v>
          </cell>
          <cell r="DH703">
            <v>0</v>
          </cell>
          <cell r="DI703">
            <v>42201</v>
          </cell>
          <cell r="DJ703">
            <v>42186</v>
          </cell>
          <cell r="DK703">
            <v>42198</v>
          </cell>
          <cell r="DL703">
            <v>42168</v>
          </cell>
          <cell r="DM703">
            <v>42202</v>
          </cell>
          <cell r="DN703">
            <v>42188</v>
          </cell>
          <cell r="DO703">
            <v>0</v>
          </cell>
          <cell r="DP703">
            <v>42201</v>
          </cell>
          <cell r="DQ703">
            <v>42187</v>
          </cell>
          <cell r="DT703">
            <v>0</v>
          </cell>
          <cell r="DU703">
            <v>42216</v>
          </cell>
          <cell r="DW703">
            <v>0</v>
          </cell>
          <cell r="DY703">
            <v>42202</v>
          </cell>
          <cell r="DZ703">
            <v>42249</v>
          </cell>
          <cell r="EA703" t="str">
            <v>Leadcom</v>
          </cell>
          <cell r="EB703">
            <v>42191</v>
          </cell>
          <cell r="EE703" t="str">
            <v xml:space="preserve">10 Aug 15:Flood affected_Hold-No access; 6-Jul-15: Flooded access or site is flooded_ we canÆt proceed to this site. For now								</v>
          </cell>
          <cell r="EJ703">
            <v>0</v>
          </cell>
          <cell r="EK703">
            <v>42217</v>
          </cell>
          <cell r="EM703">
            <v>42218</v>
          </cell>
          <cell r="EQ703">
            <v>42225</v>
          </cell>
          <cell r="EW703">
            <v>0</v>
          </cell>
          <cell r="EX703">
            <v>42211</v>
          </cell>
          <cell r="EZ703">
            <v>42235</v>
          </cell>
          <cell r="FB703">
            <v>42237</v>
          </cell>
          <cell r="FU703">
            <v>42239</v>
          </cell>
          <cell r="FW703">
            <v>42239</v>
          </cell>
          <cell r="GJ703">
            <v>0</v>
          </cell>
          <cell r="GN703" t="str">
            <v>ERICSSON</v>
          </cell>
          <cell r="GS703" t="str">
            <v>4/4/4</v>
          </cell>
          <cell r="GU703" t="str">
            <v xml:space="preserve">		</v>
          </cell>
          <cell r="HD703">
            <v>1</v>
          </cell>
        </row>
        <row r="704">
          <cell r="A704" t="str">
            <v>YN1266</v>
          </cell>
          <cell r="B704" t="str">
            <v>AYYN_0047</v>
          </cell>
          <cell r="C704" t="str">
            <v>Apollo</v>
          </cell>
          <cell r="D704" t="str">
            <v>Emilio Ruiz</v>
          </cell>
          <cell r="F704" t="str">
            <v>Myat Thura Leo</v>
          </cell>
          <cell r="G704" t="str">
            <v>Han Soe Aung</v>
          </cell>
          <cell r="H704" t="str">
            <v>WHITE</v>
          </cell>
          <cell r="I704" t="str">
            <v>South</v>
          </cell>
          <cell r="J704" t="str">
            <v>96.3071</v>
          </cell>
          <cell r="K704" t="str">
            <v>16.6807</v>
          </cell>
          <cell r="L704" t="str">
            <v>SubUrban</v>
          </cell>
          <cell r="M704" t="str">
            <v>Yangon South</v>
          </cell>
          <cell r="N704" t="str">
            <v>Kyauktan</v>
          </cell>
          <cell r="O704" t="str">
            <v>Kyauktan</v>
          </cell>
          <cell r="P704" t="str">
            <v>Yangon 3</v>
          </cell>
          <cell r="Q704" t="str">
            <v>17</v>
          </cell>
          <cell r="R704" t="str">
            <v>Kyauktan</v>
          </cell>
          <cell r="S704" t="str">
            <v>220</v>
          </cell>
          <cell r="T704" t="str">
            <v>GSM+UMTS</v>
          </cell>
          <cell r="W704" t="str">
            <v>Ph2-Priority</v>
          </cell>
          <cell r="X704" t="str">
            <v>35</v>
          </cell>
          <cell r="Y704" t="str">
            <v>35</v>
          </cell>
          <cell r="Z704" t="str">
            <v>GBT</v>
          </cell>
          <cell r="AA704" t="str">
            <v>250</v>
          </cell>
          <cell r="AB704" t="str">
            <v>Access</v>
          </cell>
          <cell r="AC704" t="str">
            <v>Class B</v>
          </cell>
          <cell r="BE704" t="str">
            <v>Yangon Ring 4</v>
          </cell>
          <cell r="BH704" t="str">
            <v>Aster-DEG</v>
          </cell>
          <cell r="BJ704">
            <v>42165</v>
          </cell>
          <cell r="BK704">
            <v>42130</v>
          </cell>
          <cell r="BL704">
            <v>42170</v>
          </cell>
          <cell r="BM704">
            <v>42148</v>
          </cell>
          <cell r="BT704">
            <v>28</v>
          </cell>
          <cell r="BU704">
            <v>42170</v>
          </cell>
          <cell r="BV704">
            <v>42158</v>
          </cell>
          <cell r="BW704" t="str">
            <v>96.30752</v>
          </cell>
          <cell r="BX704" t="str">
            <v>16.68095</v>
          </cell>
          <cell r="BY704" t="str">
            <v>C1</v>
          </cell>
          <cell r="BZ704" t="str">
            <v>Ywar Lal Street,Banbwegon Village,Kyauk Tan Township.</v>
          </cell>
          <cell r="CA704" t="str">
            <v>U Mya Ham;Ywar Lal Street,Banbwegon Village,Kyauk Tan Township;09-73228114</v>
          </cell>
          <cell r="CB704" t="str">
            <v>3Jun15: C1 SAR Sub</v>
          </cell>
          <cell r="CC704" t="str">
            <v>Garden land</v>
          </cell>
          <cell r="CE704">
            <v>1</v>
          </cell>
          <cell r="CF704">
            <v>42171</v>
          </cell>
          <cell r="CG704">
            <v>42159</v>
          </cell>
          <cell r="CH704">
            <v>42173</v>
          </cell>
          <cell r="CJ704">
            <v>42175</v>
          </cell>
          <cell r="CK704" t="str">
            <v>35</v>
          </cell>
          <cell r="CL704" t="str">
            <v>37</v>
          </cell>
          <cell r="CM704" t="str">
            <v>35</v>
          </cell>
          <cell r="CN704">
            <v>18</v>
          </cell>
          <cell r="CO704">
            <v>42176</v>
          </cell>
          <cell r="CP704">
            <v>42177</v>
          </cell>
          <cell r="CQ704" t="str">
            <v>M1: grid power + battery</v>
          </cell>
          <cell r="CR704">
            <v>2</v>
          </cell>
          <cell r="CS704">
            <v>42177</v>
          </cell>
          <cell r="CT704">
            <v>42179</v>
          </cell>
          <cell r="CU704" t="str">
            <v>YN1266</v>
          </cell>
          <cell r="DH704">
            <v>6</v>
          </cell>
          <cell r="DI704">
            <v>42187</v>
          </cell>
          <cell r="DJ704">
            <v>42185</v>
          </cell>
          <cell r="DK704">
            <v>42184</v>
          </cell>
          <cell r="DL704">
            <v>42192</v>
          </cell>
          <cell r="DM704">
            <v>42188</v>
          </cell>
          <cell r="DN704">
            <v>42192</v>
          </cell>
          <cell r="DO704">
            <v>1</v>
          </cell>
          <cell r="DP704">
            <v>42187</v>
          </cell>
          <cell r="DQ704">
            <v>42186</v>
          </cell>
          <cell r="DT704">
            <v>47</v>
          </cell>
          <cell r="DU704">
            <v>42202</v>
          </cell>
          <cell r="DW704">
            <v>0</v>
          </cell>
          <cell r="DY704">
            <v>42188</v>
          </cell>
          <cell r="DZ704">
            <v>42193</v>
          </cell>
          <cell r="EA704" t="str">
            <v>Leadcom</v>
          </cell>
          <cell r="EB704">
            <v>42219</v>
          </cell>
          <cell r="ED704" t="str">
            <v xml:space="preserve">29Jul15 :HanSoe.Aung: Tower erection done with pole mounts.Equipment slab ongoing and now footing casting finished.
</v>
          </cell>
          <cell r="EE704" t="str">
            <v xml:space="preserve">10 Aug 15:Flood affected_Hold-No access; 3-Aug-15: muddy access road -slow progress								</v>
          </cell>
          <cell r="EJ704">
            <v>8</v>
          </cell>
          <cell r="EK704">
            <v>42203</v>
          </cell>
          <cell r="EL704">
            <v>42201</v>
          </cell>
          <cell r="EM704">
            <v>42204</v>
          </cell>
          <cell r="EN704">
            <v>42202</v>
          </cell>
          <cell r="EQ704">
            <v>42211</v>
          </cell>
          <cell r="ER704">
            <v>42210</v>
          </cell>
          <cell r="ES704">
            <v>42218</v>
          </cell>
          <cell r="ET704">
            <v>42218</v>
          </cell>
          <cell r="EU704">
            <v>42218</v>
          </cell>
          <cell r="EW704">
            <v>40</v>
          </cell>
          <cell r="EX704">
            <v>42225</v>
          </cell>
          <cell r="EZ704">
            <v>42221</v>
          </cell>
          <cell r="FA704">
            <v>42226</v>
          </cell>
          <cell r="FB704">
            <v>42223</v>
          </cell>
          <cell r="FC704">
            <v>42227</v>
          </cell>
          <cell r="FU704">
            <v>42225</v>
          </cell>
          <cell r="FW704">
            <v>42225</v>
          </cell>
          <cell r="FX704">
            <v>42229</v>
          </cell>
          <cell r="FY704" t="str">
            <v>TN</v>
          </cell>
          <cell r="FZ704">
            <v>42205</v>
          </cell>
          <cell r="GA704">
            <v>42206</v>
          </cell>
          <cell r="GB704">
            <v>42208</v>
          </cell>
          <cell r="GC704">
            <v>42219</v>
          </cell>
          <cell r="GD704">
            <v>42220</v>
          </cell>
          <cell r="GE704">
            <v>42208</v>
          </cell>
          <cell r="GF704">
            <v>42229</v>
          </cell>
          <cell r="GG704">
            <v>42229</v>
          </cell>
          <cell r="GH704">
            <v>42229</v>
          </cell>
          <cell r="GI704">
            <v>42246</v>
          </cell>
          <cell r="GJ704" t="str">
            <v>36-2015</v>
          </cell>
          <cell r="GK704">
            <v>42229</v>
          </cell>
          <cell r="GN704" t="str">
            <v>ERICSSON</v>
          </cell>
          <cell r="GU704" t="str">
            <v xml:space="preserve">		</v>
          </cell>
          <cell r="HD704">
            <v>1</v>
          </cell>
        </row>
        <row r="705">
          <cell r="A705" t="str">
            <v>YN1267</v>
          </cell>
          <cell r="B705" t="str">
            <v>AYYN_0016</v>
          </cell>
          <cell r="C705" t="str">
            <v>Apollo</v>
          </cell>
          <cell r="D705" t="str">
            <v>Emilio Ruiz</v>
          </cell>
          <cell r="F705" t="str">
            <v>Myat Thura Leo</v>
          </cell>
          <cell r="G705" t="str">
            <v>Han Soe Aung</v>
          </cell>
          <cell r="H705" t="str">
            <v>RED</v>
          </cell>
          <cell r="I705" t="str">
            <v>South</v>
          </cell>
          <cell r="J705" t="str">
            <v>96.323928</v>
          </cell>
          <cell r="K705" t="str">
            <v>16.637681</v>
          </cell>
          <cell r="L705" t="str">
            <v>Urban</v>
          </cell>
          <cell r="M705" t="str">
            <v>Yangon South</v>
          </cell>
          <cell r="N705" t="str">
            <v>Kyauktan</v>
          </cell>
          <cell r="O705" t="str">
            <v>Kyauktan</v>
          </cell>
          <cell r="P705" t="str">
            <v>Yangon 3</v>
          </cell>
          <cell r="Q705" t="str">
            <v>17</v>
          </cell>
          <cell r="R705" t="str">
            <v>Kyauktan</v>
          </cell>
          <cell r="S705" t="str">
            <v>220</v>
          </cell>
          <cell r="T705" t="str">
            <v>GSM+UMTS</v>
          </cell>
          <cell r="W705" t="str">
            <v>Ph2-Priority</v>
          </cell>
          <cell r="X705" t="str">
            <v>30</v>
          </cell>
          <cell r="Y705" t="str">
            <v>32</v>
          </cell>
          <cell r="Z705" t="str">
            <v>GBT</v>
          </cell>
          <cell r="AA705" t="str">
            <v>100</v>
          </cell>
          <cell r="AB705" t="str">
            <v>Access</v>
          </cell>
          <cell r="AC705" t="str">
            <v>Class B</v>
          </cell>
          <cell r="BE705" t="str">
            <v>Yangon Ring 4</v>
          </cell>
          <cell r="BH705" t="str">
            <v>Aster-DEG</v>
          </cell>
          <cell r="BJ705">
            <v>42165</v>
          </cell>
          <cell r="BK705">
            <v>42130</v>
          </cell>
          <cell r="BL705">
            <v>42170</v>
          </cell>
          <cell r="BM705">
            <v>42177</v>
          </cell>
          <cell r="BT705">
            <v>103</v>
          </cell>
          <cell r="BU705">
            <v>42187</v>
          </cell>
          <cell r="BV705">
            <v>42152</v>
          </cell>
          <cell r="BW705" t="str">
            <v>94.30762</v>
          </cell>
          <cell r="BX705" t="str">
            <v>24.21154</v>
          </cell>
          <cell r="BY705" t="str">
            <v>Reject</v>
          </cell>
          <cell r="BZ705" t="str">
            <v>Saw Bwar (1) Quarter, Tamu Township, Sagaing.</v>
          </cell>
          <cell r="CA705" t="str">
            <v>Daw Date Kho Nate Lan;Saw Bwar (1), Tamu Township, Sagaing;09-400536897</v>
          </cell>
          <cell r="CB705" t="str">
            <v>23 June 15 : C1 SAR rejected(RND rejected as it si 320m far from nominal and 200m close to on air site.Please find the candidate within search ring.);22 Jun 15 : C1 SAR sub</v>
          </cell>
          <cell r="CE705">
            <v>0</v>
          </cell>
          <cell r="CF705">
            <v>42188</v>
          </cell>
          <cell r="CG705">
            <v>42153</v>
          </cell>
          <cell r="CH705">
            <v>42190</v>
          </cell>
          <cell r="CJ705">
            <v>42164</v>
          </cell>
          <cell r="CK705" t="str">
            <v>35</v>
          </cell>
          <cell r="CL705" t="str">
            <v>37</v>
          </cell>
          <cell r="CM705" t="str">
            <v>40</v>
          </cell>
          <cell r="CN705">
            <v>0</v>
          </cell>
          <cell r="CO705">
            <v>42193</v>
          </cell>
          <cell r="CP705">
            <v>42166</v>
          </cell>
          <cell r="CQ705" t="str">
            <v>M4: solar + DG + battery</v>
          </cell>
          <cell r="CR705">
            <v>0</v>
          </cell>
          <cell r="CS705">
            <v>42194</v>
          </cell>
          <cell r="CT705">
            <v>42167</v>
          </cell>
          <cell r="CU705" t="str">
            <v>YN1267</v>
          </cell>
          <cell r="DH705">
            <v>0</v>
          </cell>
          <cell r="DI705">
            <v>42204</v>
          </cell>
          <cell r="DJ705">
            <v>42179</v>
          </cell>
          <cell r="DK705">
            <v>42201</v>
          </cell>
          <cell r="DL705">
            <v>42168</v>
          </cell>
          <cell r="DM705">
            <v>42205</v>
          </cell>
          <cell r="DO705">
            <v>0</v>
          </cell>
          <cell r="DP705">
            <v>42204</v>
          </cell>
          <cell r="DQ705">
            <v>42179</v>
          </cell>
          <cell r="DT705">
            <v>0</v>
          </cell>
          <cell r="DU705">
            <v>42219</v>
          </cell>
          <cell r="DW705">
            <v>0</v>
          </cell>
          <cell r="DY705">
            <v>42205</v>
          </cell>
          <cell r="EA705" t="str">
            <v>Leadcom</v>
          </cell>
          <cell r="EB705">
            <v>42220</v>
          </cell>
          <cell r="EE705" t="str">
            <v xml:space="preserve">10 Aug 15:Flood affected_Hold-No access; 4-Aug-15:As per lessor, site is not flooded but 5 bridges from Kale to Tamu were damaged. Not accessible. It might take months to access these sites								</v>
          </cell>
          <cell r="EJ705">
            <v>0</v>
          </cell>
          <cell r="EK705">
            <v>42220</v>
          </cell>
          <cell r="EM705">
            <v>42221</v>
          </cell>
          <cell r="EQ705">
            <v>42228</v>
          </cell>
          <cell r="EW705">
            <v>0</v>
          </cell>
          <cell r="EX705">
            <v>42211</v>
          </cell>
          <cell r="EZ705">
            <v>42238</v>
          </cell>
          <cell r="FB705">
            <v>42240</v>
          </cell>
          <cell r="FU705">
            <v>42242</v>
          </cell>
          <cell r="FW705">
            <v>42242</v>
          </cell>
          <cell r="GJ705">
            <v>0</v>
          </cell>
          <cell r="GN705" t="str">
            <v>ERICSSON</v>
          </cell>
          <cell r="GU705" t="str">
            <v xml:space="preserve">		</v>
          </cell>
          <cell r="HD705">
            <v>1</v>
          </cell>
        </row>
        <row r="706">
          <cell r="A706" t="str">
            <v>YN1272</v>
          </cell>
          <cell r="B706" t="str">
            <v>AYYN_0048</v>
          </cell>
          <cell r="C706" t="str">
            <v>Apollo</v>
          </cell>
          <cell r="D706" t="str">
            <v>Emilio Ruiz</v>
          </cell>
          <cell r="F706" t="str">
            <v>Myat Thura Leo</v>
          </cell>
          <cell r="G706" t="str">
            <v>Zin Win Htun</v>
          </cell>
          <cell r="H706" t="str">
            <v>RED</v>
          </cell>
          <cell r="I706" t="str">
            <v>South</v>
          </cell>
          <cell r="J706" t="str">
            <v>95.9781</v>
          </cell>
          <cell r="K706" t="str">
            <v>17.0016</v>
          </cell>
          <cell r="L706" t="str">
            <v>Rural</v>
          </cell>
          <cell r="M706" t="str">
            <v>Yangon North</v>
          </cell>
          <cell r="N706" t="str">
            <v>Htantabin</v>
          </cell>
          <cell r="O706" t="str">
            <v>Htantabin</v>
          </cell>
          <cell r="P706" t="str">
            <v>Yangon 2</v>
          </cell>
          <cell r="Q706" t="str">
            <v>16</v>
          </cell>
          <cell r="R706" t="str">
            <v>Htantabin</v>
          </cell>
          <cell r="S706" t="str">
            <v>202</v>
          </cell>
          <cell r="T706" t="str">
            <v>GSM+UMTS</v>
          </cell>
          <cell r="W706" t="str">
            <v>Ph2-Priority</v>
          </cell>
          <cell r="X706" t="str">
            <v>45</v>
          </cell>
          <cell r="Y706" t="str">
            <v>47</v>
          </cell>
          <cell r="Z706" t="str">
            <v>GBT</v>
          </cell>
          <cell r="AA706" t="str">
            <v>250</v>
          </cell>
          <cell r="AB706" t="str">
            <v>Access</v>
          </cell>
          <cell r="AC706" t="str">
            <v>Class C</v>
          </cell>
          <cell r="BE706" t="str">
            <v>Yangon Ring 1</v>
          </cell>
          <cell r="BH706" t="str">
            <v>Leadcom</v>
          </cell>
          <cell r="BJ706">
            <v>42155</v>
          </cell>
          <cell r="BK706">
            <v>42130</v>
          </cell>
          <cell r="BL706">
            <v>42160</v>
          </cell>
          <cell r="BM706">
            <v>42141</v>
          </cell>
          <cell r="BT706">
            <v>21</v>
          </cell>
          <cell r="BU706">
            <v>42255</v>
          </cell>
          <cell r="BV706">
            <v>42151</v>
          </cell>
          <cell r="BW706" t="str">
            <v>95.32483</v>
          </cell>
          <cell r="BX706" t="str">
            <v>22.00909</v>
          </cell>
          <cell r="BY706" t="str">
            <v>C1</v>
          </cell>
          <cell r="BZ706" t="str">
            <v>Nwae Khway  Village, Chaung Oo.</v>
          </cell>
          <cell r="CA706" t="str">
            <v>(Owner Name- U Myint in TSSR pdf);U Maung Myint;New Gwe Village, Chaung Oo Township, Sagaing Division;09-33094643</v>
          </cell>
          <cell r="CB706" t="str">
            <v>10 Aug 15 :Deleted the date of  Actual power Equipment at site  because unable to deliver due to flooded access;9 June 15 : C1 TSSR app;5 June 15 : C1 TSSR sub;28 May 15 : C1 SAR app;27May15: C1 SAR Sub</v>
          </cell>
          <cell r="CE706">
            <v>0</v>
          </cell>
          <cell r="CF706">
            <v>42256</v>
          </cell>
          <cell r="CG706">
            <v>42152</v>
          </cell>
          <cell r="CH706">
            <v>42258</v>
          </cell>
          <cell r="CJ706">
            <v>42160</v>
          </cell>
          <cell r="CK706" t="str">
            <v>45</v>
          </cell>
          <cell r="CL706" t="str">
            <v>47</v>
          </cell>
          <cell r="CM706" t="str">
            <v>50</v>
          </cell>
          <cell r="CN706">
            <v>0</v>
          </cell>
          <cell r="CO706">
            <v>42261</v>
          </cell>
          <cell r="CP706">
            <v>42160</v>
          </cell>
          <cell r="CQ706" t="str">
            <v>M4: solar + DG + battery</v>
          </cell>
          <cell r="CR706">
            <v>0</v>
          </cell>
          <cell r="CS706">
            <v>42262</v>
          </cell>
          <cell r="CT706">
            <v>42164</v>
          </cell>
          <cell r="CU706" t="str">
            <v>YN1272</v>
          </cell>
          <cell r="DH706">
            <v>0</v>
          </cell>
          <cell r="DI706">
            <v>42272</v>
          </cell>
          <cell r="DJ706">
            <v>42170</v>
          </cell>
          <cell r="DK706">
            <v>42269</v>
          </cell>
          <cell r="DL706">
            <v>42168</v>
          </cell>
          <cell r="DM706">
            <v>42273</v>
          </cell>
          <cell r="DN706">
            <v>42174</v>
          </cell>
          <cell r="DO706">
            <v>0</v>
          </cell>
          <cell r="DP706">
            <v>42272</v>
          </cell>
          <cell r="DQ706">
            <v>42170</v>
          </cell>
          <cell r="DT706">
            <v>0</v>
          </cell>
          <cell r="DU706">
            <v>42287</v>
          </cell>
          <cell r="DV706">
            <v>42173</v>
          </cell>
          <cell r="DW706">
            <v>0</v>
          </cell>
          <cell r="DY706">
            <v>42273</v>
          </cell>
          <cell r="DZ706">
            <v>42174</v>
          </cell>
          <cell r="EA706" t="str">
            <v>Leadcom</v>
          </cell>
          <cell r="EB706">
            <v>42217</v>
          </cell>
          <cell r="ED706" t="str">
            <v xml:space="preserve">25Jul15 :KyawZay.Yar: Erection ongoing.Equip; PAD ongoing.
</v>
          </cell>
          <cell r="EE706" t="str">
            <v xml:space="preserve">10 Aug 15:Flood affected_Hold-No access; 4-Aug-  As per Jimmy suggetion materials for SG0462 delivered SG0361
1-Aug-15: Flooded access or site is flooded_ we canÆt proceed to this site. CW RFI ,Power equipment to deliver
2 miles of road is very muddy and vehicles cannot go there, unless rain stops and flood water clear than only materials can be sent to site.
Condition is witnessed by Mr. Jimmy of Apollo
								</v>
          </cell>
          <cell r="EI706" t="str">
            <v>M5: grid power + DG + battery      </v>
          </cell>
          <cell r="EJ706">
            <v>0</v>
          </cell>
          <cell r="EK706">
            <v>42290</v>
          </cell>
          <cell r="EL706">
            <v>42201</v>
          </cell>
          <cell r="EM706">
            <v>42291</v>
          </cell>
          <cell r="EN706">
            <v>42204</v>
          </cell>
          <cell r="EQ706">
            <v>42300</v>
          </cell>
          <cell r="ER706">
            <v>42216</v>
          </cell>
          <cell r="ES706">
            <v>42208</v>
          </cell>
          <cell r="ET706">
            <v>42216</v>
          </cell>
          <cell r="EU706">
            <v>42216</v>
          </cell>
          <cell r="EW706">
            <v>0</v>
          </cell>
          <cell r="EX706">
            <v>42287</v>
          </cell>
          <cell r="EZ706">
            <v>42310</v>
          </cell>
          <cell r="FA706">
            <v>42229</v>
          </cell>
          <cell r="FB706">
            <v>42312</v>
          </cell>
          <cell r="FC706">
            <v>42229</v>
          </cell>
          <cell r="FU706">
            <v>42314</v>
          </cell>
          <cell r="FW706">
            <v>42314</v>
          </cell>
          <cell r="FX706">
            <v>42230</v>
          </cell>
          <cell r="FY706" t="str">
            <v>EM</v>
          </cell>
          <cell r="FZ706">
            <v>42217</v>
          </cell>
          <cell r="GA706">
            <v>42228</v>
          </cell>
          <cell r="GB706">
            <v>42229</v>
          </cell>
          <cell r="GC706">
            <v>42229</v>
          </cell>
          <cell r="GD706">
            <v>42229</v>
          </cell>
          <cell r="GE706">
            <v>42230</v>
          </cell>
          <cell r="GF706">
            <v>42231</v>
          </cell>
          <cell r="GG706">
            <v>42231</v>
          </cell>
          <cell r="GH706">
            <v>42231</v>
          </cell>
          <cell r="GJ706">
            <v>0</v>
          </cell>
          <cell r="GK706">
            <v>42231</v>
          </cell>
          <cell r="GN706" t="str">
            <v>ERICSSON</v>
          </cell>
          <cell r="GU706" t="str">
            <v xml:space="preserve">		</v>
          </cell>
          <cell r="HD706">
            <v>1</v>
          </cell>
        </row>
        <row r="707">
          <cell r="A707" t="str">
            <v>YN1273</v>
          </cell>
          <cell r="B707" t="str">
            <v>AYYN_0049</v>
          </cell>
          <cell r="C707" t="str">
            <v>Apollo</v>
          </cell>
          <cell r="D707" t="str">
            <v>Emilio Ruiz</v>
          </cell>
          <cell r="F707" t="str">
            <v>Myat Thura Leo</v>
          </cell>
          <cell r="G707" t="str">
            <v>Han Soe Aung</v>
          </cell>
          <cell r="H707" t="str">
            <v>AMBER</v>
          </cell>
          <cell r="I707" t="str">
            <v>South</v>
          </cell>
          <cell r="J707" t="str">
            <v>96.3398</v>
          </cell>
          <cell r="K707" t="str">
            <v>16.7812</v>
          </cell>
          <cell r="L707" t="str">
            <v>Rural</v>
          </cell>
          <cell r="M707" t="str">
            <v>Yangon South</v>
          </cell>
          <cell r="N707" t="str">
            <v>Thanlyin</v>
          </cell>
          <cell r="O707" t="str">
            <v>Thanlyin</v>
          </cell>
          <cell r="P707" t="str">
            <v>Yangon 3</v>
          </cell>
          <cell r="Q707" t="str">
            <v>17</v>
          </cell>
          <cell r="R707" t="str">
            <v>Thanlyin</v>
          </cell>
          <cell r="S707" t="str">
            <v>219</v>
          </cell>
          <cell r="T707" t="str">
            <v>GSM+UMTS</v>
          </cell>
          <cell r="W707" t="str">
            <v>Ph2-Priority</v>
          </cell>
          <cell r="X707" t="str">
            <v>45</v>
          </cell>
          <cell r="Y707" t="str">
            <v>47</v>
          </cell>
          <cell r="Z707" t="str">
            <v>GBT</v>
          </cell>
          <cell r="AA707" t="str">
            <v>500</v>
          </cell>
          <cell r="AB707" t="str">
            <v>Access</v>
          </cell>
          <cell r="AC707" t="str">
            <v>Class C</v>
          </cell>
          <cell r="BE707" t="str">
            <v>Yangon Ring 5</v>
          </cell>
          <cell r="BH707" t="str">
            <v>Camusat</v>
          </cell>
          <cell r="BJ707">
            <v>42165</v>
          </cell>
          <cell r="BK707">
            <v>42136</v>
          </cell>
          <cell r="BL707">
            <v>42170</v>
          </cell>
          <cell r="BM707">
            <v>42143</v>
          </cell>
          <cell r="BT707">
            <v>17</v>
          </cell>
          <cell r="BU707">
            <v>42197</v>
          </cell>
          <cell r="BV707">
            <v>42153</v>
          </cell>
          <cell r="BW707" t="str">
            <v>96.33822</v>
          </cell>
          <cell r="BX707" t="str">
            <v>16.78026</v>
          </cell>
          <cell r="BY707" t="str">
            <v>C1</v>
          </cell>
          <cell r="BZ707" t="str">
            <v>Bolt Thapyay kone village,Thanlyin Township,Yangon Division.</v>
          </cell>
          <cell r="CA707" t="str">
            <v>U Aye Lwin;No.246, Tusday Street, Bolt Thapyay KoneVillage, Thanlyin Township, Yangon Division;09-799460397, 09-793440131</v>
          </cell>
          <cell r="CB707" t="str">
            <v>29May15: C1 SAR Sub</v>
          </cell>
          <cell r="CE707">
            <v>3</v>
          </cell>
          <cell r="CF707">
            <v>42198</v>
          </cell>
          <cell r="CG707">
            <v>42156</v>
          </cell>
          <cell r="CH707">
            <v>42200</v>
          </cell>
          <cell r="CJ707">
            <v>42158</v>
          </cell>
          <cell r="CK707" t="str">
            <v>45</v>
          </cell>
          <cell r="CL707" t="str">
            <v>47</v>
          </cell>
          <cell r="CM707" t="str">
            <v>45</v>
          </cell>
          <cell r="CN707">
            <v>4</v>
          </cell>
          <cell r="CO707">
            <v>42203</v>
          </cell>
          <cell r="CP707">
            <v>42160</v>
          </cell>
          <cell r="CQ707" t="str">
            <v>M1: grid power + battery</v>
          </cell>
          <cell r="CR707">
            <v>5</v>
          </cell>
          <cell r="CS707">
            <v>42204</v>
          </cell>
          <cell r="CT707">
            <v>42165</v>
          </cell>
          <cell r="CU707" t="str">
            <v>YN1273</v>
          </cell>
          <cell r="DH707">
            <v>1</v>
          </cell>
          <cell r="DI707">
            <v>42214</v>
          </cell>
          <cell r="DJ707">
            <v>42166</v>
          </cell>
          <cell r="DK707">
            <v>42211</v>
          </cell>
          <cell r="DL707">
            <v>42174</v>
          </cell>
          <cell r="DM707">
            <v>42215</v>
          </cell>
          <cell r="DN707">
            <v>42174</v>
          </cell>
          <cell r="DO707">
            <v>0</v>
          </cell>
          <cell r="DP707">
            <v>42214</v>
          </cell>
          <cell r="DQ707">
            <v>42166</v>
          </cell>
          <cell r="DT707">
            <v>67</v>
          </cell>
          <cell r="DU707">
            <v>42229</v>
          </cell>
          <cell r="DW707">
            <v>0</v>
          </cell>
          <cell r="DY707">
            <v>42215</v>
          </cell>
          <cell r="DZ707">
            <v>42181</v>
          </cell>
          <cell r="EA707" t="str">
            <v>Camusat</v>
          </cell>
          <cell r="ED707" t="str">
            <v xml:space="preserve">29Jul15 :HanSoe.Aung: Excavation work is ongoing and it facing with land slide due to heavy raining and need to do soil cleaning.For one column, footing casting done and rebars installation is ongoing.
</v>
          </cell>
          <cell r="EE707" t="str">
            <v xml:space="preserve">10 Aug 15:Rain affected_Progress affected; 4-Aug-15:Site is affected by heavy rain								</v>
          </cell>
          <cell r="EJ707">
            <v>52</v>
          </cell>
          <cell r="EK707">
            <v>42232</v>
          </cell>
          <cell r="EM707">
            <v>42233</v>
          </cell>
          <cell r="EQ707">
            <v>42242</v>
          </cell>
          <cell r="EW707">
            <v>52</v>
          </cell>
          <cell r="EX707">
            <v>42256</v>
          </cell>
          <cell r="EZ707">
            <v>42252</v>
          </cell>
          <cell r="FB707">
            <v>42254</v>
          </cell>
          <cell r="FE707">
            <v>42193</v>
          </cell>
          <cell r="FU707">
            <v>42256</v>
          </cell>
          <cell r="FW707">
            <v>42256</v>
          </cell>
          <cell r="GI707">
            <v>42277</v>
          </cell>
          <cell r="GJ707" t="str">
            <v>40-2015</v>
          </cell>
          <cell r="GN707" t="str">
            <v>ERICSSON</v>
          </cell>
          <cell r="GP707">
            <v>42205</v>
          </cell>
          <cell r="GU707" t="str">
            <v xml:space="preserve">		</v>
          </cell>
          <cell r="HD707">
            <v>1</v>
          </cell>
        </row>
        <row r="708">
          <cell r="A708" t="str">
            <v>YN1306</v>
          </cell>
          <cell r="B708" t="str">
            <v>AYYN_0059</v>
          </cell>
          <cell r="C708" t="str">
            <v>Apollo</v>
          </cell>
          <cell r="D708" t="str">
            <v>Emilio Ruiz</v>
          </cell>
          <cell r="F708" t="str">
            <v>Myat Thura Leo</v>
          </cell>
          <cell r="G708" t="str">
            <v>Han Soe Aung</v>
          </cell>
          <cell r="H708" t="str">
            <v>GREEN</v>
          </cell>
          <cell r="I708" t="str">
            <v>South</v>
          </cell>
          <cell r="J708" t="str">
            <v>96.5336</v>
          </cell>
          <cell r="K708" t="str">
            <v>16.7705</v>
          </cell>
          <cell r="L708" t="str">
            <v>SubUrban</v>
          </cell>
          <cell r="M708" t="str">
            <v>Yangon South</v>
          </cell>
          <cell r="N708" t="str">
            <v>Thongwa</v>
          </cell>
          <cell r="O708" t="str">
            <v>Thongwa</v>
          </cell>
          <cell r="P708" t="str">
            <v>Yangon 3</v>
          </cell>
          <cell r="Q708" t="str">
            <v>17</v>
          </cell>
          <cell r="R708" t="str">
            <v>Thongwa</v>
          </cell>
          <cell r="S708" t="str">
            <v>221</v>
          </cell>
          <cell r="T708" t="str">
            <v>GSM+UMTS</v>
          </cell>
          <cell r="W708" t="str">
            <v>Ph2-Priority</v>
          </cell>
          <cell r="X708" t="str">
            <v>35</v>
          </cell>
          <cell r="Y708" t="str">
            <v>35</v>
          </cell>
          <cell r="Z708" t="str">
            <v>GBT</v>
          </cell>
          <cell r="AA708" t="str">
            <v>250</v>
          </cell>
          <cell r="AB708" t="str">
            <v>Access</v>
          </cell>
          <cell r="AC708" t="str">
            <v>Class B</v>
          </cell>
          <cell r="BE708" t="str">
            <v>Yangon Ring 4</v>
          </cell>
          <cell r="BH708" t="str">
            <v>Aster-DEG</v>
          </cell>
          <cell r="BJ708">
            <v>42165</v>
          </cell>
          <cell r="BK708">
            <v>42130</v>
          </cell>
          <cell r="BL708">
            <v>42170</v>
          </cell>
          <cell r="BM708">
            <v>42148</v>
          </cell>
          <cell r="BT708">
            <v>28</v>
          </cell>
          <cell r="BU708">
            <v>42170</v>
          </cell>
          <cell r="BV708">
            <v>42158</v>
          </cell>
          <cell r="BW708" t="str">
            <v>96.53526</v>
          </cell>
          <cell r="BX708" t="str">
            <v>16.77199</v>
          </cell>
          <cell r="BY708" t="str">
            <v>C1</v>
          </cell>
          <cell r="BZ708" t="str">
            <v>No(42),Budar Yone St,(9)ward,Thongwa Township.</v>
          </cell>
          <cell r="CA708" t="str">
            <v>Daw A Mar Kyi;No(42),Budar Yone St,(9)ward,Thongwa Township;(Phone Number:None)</v>
          </cell>
          <cell r="CB708" t="str">
            <v>23 July 15 : C1 TSSR updated checklist given from E// because reroute links at TND 's end;19 June 15 : C1 TSSR app;3Jun15: C1 SAR Sub</v>
          </cell>
          <cell r="CC708" t="str">
            <v>Village</v>
          </cell>
          <cell r="CE708">
            <v>1</v>
          </cell>
          <cell r="CF708">
            <v>42171</v>
          </cell>
          <cell r="CG708">
            <v>42159</v>
          </cell>
          <cell r="CH708">
            <v>42173</v>
          </cell>
          <cell r="CJ708">
            <v>42172</v>
          </cell>
          <cell r="CK708" t="str">
            <v>35</v>
          </cell>
          <cell r="CL708" t="str">
            <v>37</v>
          </cell>
          <cell r="CM708" t="str">
            <v>35</v>
          </cell>
          <cell r="CN708">
            <v>15</v>
          </cell>
          <cell r="CO708">
            <v>42176</v>
          </cell>
          <cell r="CP708">
            <v>42174</v>
          </cell>
          <cell r="CQ708" t="str">
            <v>M1: grid power + battery</v>
          </cell>
          <cell r="CR708">
            <v>0</v>
          </cell>
          <cell r="CS708">
            <v>42177</v>
          </cell>
          <cell r="CT708">
            <v>42174</v>
          </cell>
          <cell r="CU708" t="str">
            <v>YN1306</v>
          </cell>
          <cell r="DH708">
            <v>1</v>
          </cell>
          <cell r="DI708">
            <v>42187</v>
          </cell>
          <cell r="DJ708">
            <v>42175</v>
          </cell>
          <cell r="DK708">
            <v>42184</v>
          </cell>
          <cell r="DL708">
            <v>42185</v>
          </cell>
          <cell r="DM708">
            <v>42188</v>
          </cell>
          <cell r="DN708">
            <v>42185</v>
          </cell>
          <cell r="DO708">
            <v>0</v>
          </cell>
          <cell r="DP708">
            <v>42187</v>
          </cell>
          <cell r="DQ708">
            <v>42175</v>
          </cell>
          <cell r="DT708">
            <v>58</v>
          </cell>
          <cell r="DU708">
            <v>42202</v>
          </cell>
          <cell r="DW708">
            <v>0</v>
          </cell>
          <cell r="DY708">
            <v>42188</v>
          </cell>
          <cell r="DZ708">
            <v>42186</v>
          </cell>
          <cell r="EA708" t="str">
            <v>Leadcom</v>
          </cell>
          <cell r="ED708" t="str">
            <v xml:space="preserve">29Jul15 :zinwin.htun: Foundation finish.Backfilling ongoing.Eq; Slab making ongoing.Fencing materials &amp; tower materials arrive to site.Fencing not start yet.Tower erection will start on 30-Jul-2015.
</v>
          </cell>
          <cell r="EE708" t="str">
            <v xml:space="preserve">10 Aug 15:Rain affected_Progress affected; 4-Aug-15: muddy access road -slow progress								</v>
          </cell>
          <cell r="EJ708">
            <v>21</v>
          </cell>
          <cell r="EK708">
            <v>42203</v>
          </cell>
          <cell r="EL708">
            <v>42207</v>
          </cell>
          <cell r="EM708">
            <v>42204</v>
          </cell>
          <cell r="EN708">
            <v>42213</v>
          </cell>
          <cell r="EQ708">
            <v>42211</v>
          </cell>
          <cell r="ER708">
            <v>42217</v>
          </cell>
          <cell r="ES708">
            <v>42221</v>
          </cell>
          <cell r="ET708">
            <v>42227</v>
          </cell>
          <cell r="EU708">
            <v>42227</v>
          </cell>
          <cell r="EW708">
            <v>47</v>
          </cell>
          <cell r="EX708">
            <v>42225</v>
          </cell>
          <cell r="EZ708">
            <v>42221</v>
          </cell>
          <cell r="FA708">
            <v>42226</v>
          </cell>
          <cell r="FB708">
            <v>42223</v>
          </cell>
          <cell r="FC708">
            <v>42234</v>
          </cell>
          <cell r="FU708">
            <v>42225</v>
          </cell>
          <cell r="FW708">
            <v>42225</v>
          </cell>
          <cell r="FX708">
            <v>42234</v>
          </cell>
          <cell r="FY708" t="str">
            <v>TN</v>
          </cell>
          <cell r="FZ708">
            <v>42214</v>
          </cell>
          <cell r="GA708">
            <v>42215</v>
          </cell>
          <cell r="GB708">
            <v>42228</v>
          </cell>
          <cell r="GC708">
            <v>42228</v>
          </cell>
          <cell r="GD708">
            <v>42230</v>
          </cell>
          <cell r="GE708">
            <v>42228</v>
          </cell>
          <cell r="GF708">
            <v>42235</v>
          </cell>
          <cell r="GG708">
            <v>42235</v>
          </cell>
          <cell r="GH708">
            <v>42235</v>
          </cell>
          <cell r="GI708">
            <v>42246</v>
          </cell>
          <cell r="GJ708" t="str">
            <v>36-2015</v>
          </cell>
          <cell r="GK708">
            <v>42235</v>
          </cell>
          <cell r="GN708" t="str">
            <v xml:space="preserve">ERICSSON </v>
          </cell>
          <cell r="GP708">
            <v>42201</v>
          </cell>
          <cell r="GS708" t="str">
            <v>4/4/4</v>
          </cell>
          <cell r="GU708" t="str">
            <v xml:space="preserve">		</v>
          </cell>
          <cell r="HD708">
            <v>1</v>
          </cell>
        </row>
        <row r="709">
          <cell r="A709" t="str">
            <v>YN1307</v>
          </cell>
          <cell r="B709" t="str">
            <v>AYYN_0060</v>
          </cell>
          <cell r="C709" t="str">
            <v>Apollo</v>
          </cell>
          <cell r="D709" t="str">
            <v>Emilio Ruiz</v>
          </cell>
          <cell r="F709" t="str">
            <v>Myat Thura Leo</v>
          </cell>
          <cell r="G709" t="str">
            <v>Han Soe Aung</v>
          </cell>
          <cell r="H709" t="str">
            <v>RED</v>
          </cell>
          <cell r="I709" t="str">
            <v>South</v>
          </cell>
          <cell r="J709" t="str">
            <v>96.5229</v>
          </cell>
          <cell r="K709" t="str">
            <v>16.7526</v>
          </cell>
          <cell r="L709" t="str">
            <v>SubUrban</v>
          </cell>
          <cell r="M709" t="str">
            <v>Yangon South</v>
          </cell>
          <cell r="N709" t="str">
            <v>Thongwa</v>
          </cell>
          <cell r="O709" t="str">
            <v>Thongwa</v>
          </cell>
          <cell r="P709" t="str">
            <v>Yangon 3</v>
          </cell>
          <cell r="Q709" t="str">
            <v>17</v>
          </cell>
          <cell r="R709" t="str">
            <v>Thongwa</v>
          </cell>
          <cell r="S709" t="str">
            <v>221</v>
          </cell>
          <cell r="T709" t="str">
            <v>GSM+UMTS</v>
          </cell>
          <cell r="W709" t="str">
            <v>Ph2-Priority</v>
          </cell>
          <cell r="X709" t="str">
            <v>35</v>
          </cell>
          <cell r="Y709" t="str">
            <v>35</v>
          </cell>
          <cell r="Z709" t="str">
            <v>GBT</v>
          </cell>
          <cell r="AA709" t="str">
            <v>250</v>
          </cell>
          <cell r="AB709" t="str">
            <v>Access</v>
          </cell>
          <cell r="AC709" t="str">
            <v>Class B</v>
          </cell>
          <cell r="BE709" t="str">
            <v>Yangon Ring 4</v>
          </cell>
          <cell r="BH709" t="str">
            <v>Aster-DEG</v>
          </cell>
          <cell r="BJ709">
            <v>42165</v>
          </cell>
          <cell r="BK709">
            <v>42130</v>
          </cell>
          <cell r="BL709">
            <v>42170</v>
          </cell>
          <cell r="BM709">
            <v>42166</v>
          </cell>
          <cell r="BT709">
            <v>103</v>
          </cell>
          <cell r="BU709">
            <v>42170</v>
          </cell>
          <cell r="BV709">
            <v>42176</v>
          </cell>
          <cell r="BW709" t="str">
            <v>100.087407</v>
          </cell>
          <cell r="BX709" t="str">
            <v>20.711079</v>
          </cell>
          <cell r="BY709" t="str">
            <v>Reject</v>
          </cell>
          <cell r="BZ709" t="str">
            <v>N0(54),Marga Street,Ward(1),Thonegwa Township.</v>
          </cell>
          <cell r="CA709" t="str">
            <v>Daw Khin Saw;N0(54),Marga Street,Ward(1),Thonegwa Township;09-799367377</v>
          </cell>
          <cell r="CB709" t="str">
            <v>13 Aug 15: C1 deactivate because of Rejected by CW, Flood at site; 5 Jun 15 : C1 SAR app;3Jun15: C1 SAR Sub</v>
          </cell>
          <cell r="CC709" t="str">
            <v>Residential_NP Falls inside Military Area</v>
          </cell>
          <cell r="CE709">
            <v>0</v>
          </cell>
          <cell r="CF709">
            <v>42171</v>
          </cell>
          <cell r="CG709">
            <v>42178</v>
          </cell>
          <cell r="CH709">
            <v>42173</v>
          </cell>
          <cell r="CN709">
            <v>0</v>
          </cell>
          <cell r="CO709">
            <v>42176</v>
          </cell>
          <cell r="CQ709" t="str">
            <v>M1: grid power + battery</v>
          </cell>
          <cell r="CR709">
            <v>0</v>
          </cell>
          <cell r="CS709">
            <v>42177</v>
          </cell>
          <cell r="CU709" t="str">
            <v>YN1307</v>
          </cell>
          <cell r="DH709">
            <v>0</v>
          </cell>
          <cell r="DI709">
            <v>42187</v>
          </cell>
          <cell r="DK709">
            <v>42184</v>
          </cell>
          <cell r="DM709">
            <v>42188</v>
          </cell>
          <cell r="DO709">
            <v>0</v>
          </cell>
          <cell r="DP709">
            <v>42187</v>
          </cell>
          <cell r="DT709">
            <v>0</v>
          </cell>
          <cell r="DU709">
            <v>42202</v>
          </cell>
          <cell r="DW709">
            <v>0</v>
          </cell>
          <cell r="DY709">
            <v>42188</v>
          </cell>
          <cell r="EA709" t="str">
            <v>Leadcom</v>
          </cell>
          <cell r="EJ709">
            <v>0</v>
          </cell>
          <cell r="EK709">
            <v>42203</v>
          </cell>
          <cell r="EM709">
            <v>42204</v>
          </cell>
          <cell r="EQ709">
            <v>42211</v>
          </cell>
          <cell r="EW709">
            <v>0</v>
          </cell>
          <cell r="EX709">
            <v>42225</v>
          </cell>
          <cell r="EZ709">
            <v>42221</v>
          </cell>
          <cell r="FB709">
            <v>42223</v>
          </cell>
          <cell r="FU709">
            <v>42225</v>
          </cell>
          <cell r="FW709">
            <v>42225</v>
          </cell>
          <cell r="GI709">
            <v>42159</v>
          </cell>
          <cell r="GJ709">
            <v>0</v>
          </cell>
          <cell r="GN709" t="str">
            <v>ERICSSON</v>
          </cell>
          <cell r="GS709" t="str">
            <v>4/4/4</v>
          </cell>
          <cell r="GU709" t="str">
            <v xml:space="preserve">		</v>
          </cell>
          <cell r="HD709">
            <v>1</v>
          </cell>
        </row>
        <row r="710">
          <cell r="A710" t="str">
            <v>YN1339</v>
          </cell>
          <cell r="B710" t="str">
            <v>AYYN_0017</v>
          </cell>
          <cell r="C710" t="str">
            <v>Apollo</v>
          </cell>
          <cell r="D710" t="str">
            <v>Emilio Ruiz</v>
          </cell>
          <cell r="F710" t="str">
            <v>Myat Thura Leo</v>
          </cell>
          <cell r="G710" t="str">
            <v>Han Soe Aung</v>
          </cell>
          <cell r="H710" t="str">
            <v>GREEN</v>
          </cell>
          <cell r="I710" t="str">
            <v>South</v>
          </cell>
          <cell r="J710" t="str">
            <v>95.924</v>
          </cell>
          <cell r="K710" t="str">
            <v>16.7635</v>
          </cell>
          <cell r="L710" t="str">
            <v>SubUrban</v>
          </cell>
          <cell r="M710" t="str">
            <v>Yangon South</v>
          </cell>
          <cell r="N710" t="str">
            <v>Twantay</v>
          </cell>
          <cell r="O710" t="str">
            <v>Twantay</v>
          </cell>
          <cell r="P710" t="str">
            <v>Yangon 3</v>
          </cell>
          <cell r="Q710" t="str">
            <v>17</v>
          </cell>
          <cell r="R710" t="str">
            <v>Twantay</v>
          </cell>
          <cell r="S710" t="str">
            <v>223</v>
          </cell>
          <cell r="T710" t="str">
            <v>GSM+UMTS</v>
          </cell>
          <cell r="W710" t="str">
            <v>Ph2-Priority</v>
          </cell>
          <cell r="X710" t="str">
            <v>35</v>
          </cell>
          <cell r="Y710" t="str">
            <v>35</v>
          </cell>
          <cell r="Z710" t="str">
            <v>GBT</v>
          </cell>
          <cell r="AA710" t="str">
            <v>250</v>
          </cell>
          <cell r="AB710" t="str">
            <v>Access</v>
          </cell>
          <cell r="AC710" t="str">
            <v>Class B</v>
          </cell>
          <cell r="BE710" t="str">
            <v>Route 4 Meiktila - Taunggyi</v>
          </cell>
          <cell r="BH710" t="str">
            <v>Aster-DEG</v>
          </cell>
          <cell r="BJ710">
            <v>42165</v>
          </cell>
          <cell r="BK710">
            <v>42130</v>
          </cell>
          <cell r="BL710">
            <v>42170</v>
          </cell>
          <cell r="BM710">
            <v>42148</v>
          </cell>
          <cell r="BT710">
            <v>28</v>
          </cell>
          <cell r="BU710">
            <v>42170</v>
          </cell>
          <cell r="BV710">
            <v>42158</v>
          </cell>
          <cell r="BW710" t="str">
            <v>95.92455</v>
          </cell>
          <cell r="BX710" t="str">
            <v>16.76308</v>
          </cell>
          <cell r="BY710" t="str">
            <v>C1</v>
          </cell>
          <cell r="BZ710" t="str">
            <v>Tha Won Taw Village Group,Kwel Tha Lin Village,Twentay Township.</v>
          </cell>
          <cell r="CA710" t="str">
            <v>U Than Htay;Tha Won Taw Village Group,Kwel Tha Lin Village,Twentay Township;09-790954966</v>
          </cell>
          <cell r="CB710" t="str">
            <v>3Jun15: C1 SAR Sub</v>
          </cell>
          <cell r="CC710" t="str">
            <v>VILLAGE LAND</v>
          </cell>
          <cell r="CE710">
            <v>1</v>
          </cell>
          <cell r="CF710">
            <v>42171</v>
          </cell>
          <cell r="CG710">
            <v>42159</v>
          </cell>
          <cell r="CH710">
            <v>42173</v>
          </cell>
          <cell r="CJ710">
            <v>42177</v>
          </cell>
          <cell r="CK710" t="str">
            <v>35</v>
          </cell>
          <cell r="CL710" t="str">
            <v>37</v>
          </cell>
          <cell r="CM710" t="str">
            <v>35</v>
          </cell>
          <cell r="CN710">
            <v>20</v>
          </cell>
          <cell r="CO710">
            <v>42176</v>
          </cell>
          <cell r="CP710">
            <v>42179</v>
          </cell>
          <cell r="CQ710" t="str">
            <v>M1: grid power + battery</v>
          </cell>
          <cell r="CR710">
            <v>1</v>
          </cell>
          <cell r="CS710">
            <v>42177</v>
          </cell>
          <cell r="CT710">
            <v>42180</v>
          </cell>
          <cell r="CU710" t="str">
            <v>YN1339</v>
          </cell>
          <cell r="DH710">
            <v>29</v>
          </cell>
          <cell r="DI710">
            <v>42187</v>
          </cell>
          <cell r="DJ710">
            <v>42209</v>
          </cell>
          <cell r="DK710">
            <v>42184</v>
          </cell>
          <cell r="DL710">
            <v>42199</v>
          </cell>
          <cell r="DM710">
            <v>42188</v>
          </cell>
          <cell r="DN710">
            <v>42199</v>
          </cell>
          <cell r="DO710">
            <v>0</v>
          </cell>
          <cell r="DP710">
            <v>42187</v>
          </cell>
          <cell r="DQ710">
            <v>42209</v>
          </cell>
          <cell r="DT710">
            <v>24</v>
          </cell>
          <cell r="DU710">
            <v>42202</v>
          </cell>
          <cell r="DW710">
            <v>0</v>
          </cell>
          <cell r="DY710">
            <v>42188</v>
          </cell>
          <cell r="DZ710">
            <v>42194</v>
          </cell>
          <cell r="EA710" t="str">
            <v>Leadcom</v>
          </cell>
          <cell r="EB710">
            <v>42216</v>
          </cell>
          <cell r="EE710" t="str">
            <v xml:space="preserve">10 Aug 15:Flood affected_Hold-No access; 31-Jul-15:Site is full of water								</v>
          </cell>
          <cell r="EJ710">
            <v>11</v>
          </cell>
          <cell r="EK710">
            <v>42203</v>
          </cell>
          <cell r="EL710">
            <v>42205</v>
          </cell>
          <cell r="EM710">
            <v>42204</v>
          </cell>
          <cell r="EN710">
            <v>42205</v>
          </cell>
          <cell r="EQ710">
            <v>42211</v>
          </cell>
          <cell r="ER710">
            <v>42209</v>
          </cell>
          <cell r="ES710">
            <v>42222</v>
          </cell>
          <cell r="ET710">
            <v>42224</v>
          </cell>
          <cell r="EU710">
            <v>42224</v>
          </cell>
          <cell r="EW710">
            <v>39</v>
          </cell>
          <cell r="EX710">
            <v>42225</v>
          </cell>
          <cell r="EZ710">
            <v>42221</v>
          </cell>
          <cell r="FA710">
            <v>42226</v>
          </cell>
          <cell r="FB710">
            <v>42223</v>
          </cell>
          <cell r="FC710">
            <v>42231</v>
          </cell>
          <cell r="FU710">
            <v>42225</v>
          </cell>
          <cell r="FW710">
            <v>42225</v>
          </cell>
          <cell r="FX710">
            <v>42232</v>
          </cell>
          <cell r="FY710" t="str">
            <v>TN</v>
          </cell>
          <cell r="FZ710">
            <v>42207</v>
          </cell>
          <cell r="GA710">
            <v>42209</v>
          </cell>
          <cell r="GB710">
            <v>42220</v>
          </cell>
          <cell r="GC710">
            <v>42227</v>
          </cell>
          <cell r="GD710">
            <v>42227</v>
          </cell>
          <cell r="GE710">
            <v>42220</v>
          </cell>
          <cell r="GF710">
            <v>42233</v>
          </cell>
          <cell r="GG710">
            <v>42233</v>
          </cell>
          <cell r="GH710">
            <v>42233</v>
          </cell>
          <cell r="GI710">
            <v>42246</v>
          </cell>
          <cell r="GJ710" t="str">
            <v>36-2015</v>
          </cell>
          <cell r="GK710">
            <v>42233</v>
          </cell>
          <cell r="GN710" t="str">
            <v xml:space="preserve">ERICSSON </v>
          </cell>
          <cell r="GS710" t="str">
            <v>4/4/4</v>
          </cell>
          <cell r="GU710" t="str">
            <v xml:space="preserve">		</v>
          </cell>
          <cell r="HD710">
            <v>1</v>
          </cell>
        </row>
        <row r="711">
          <cell r="A711" t="str">
            <v>YN1340</v>
          </cell>
          <cell r="B711" t="str">
            <v>AYYN_0018</v>
          </cell>
          <cell r="C711" t="str">
            <v>Apollo</v>
          </cell>
          <cell r="D711" t="str">
            <v>Emilio Ruiz</v>
          </cell>
          <cell r="F711" t="str">
            <v>Myat Thura Leo</v>
          </cell>
          <cell r="G711" t="str">
            <v>Han Soe Aung</v>
          </cell>
          <cell r="H711" t="str">
            <v>RED</v>
          </cell>
          <cell r="I711" t="str">
            <v>South</v>
          </cell>
          <cell r="J711" t="str">
            <v>95.8832</v>
          </cell>
          <cell r="K711" t="str">
            <v>16.6284</v>
          </cell>
          <cell r="L711" t="str">
            <v>Rural</v>
          </cell>
          <cell r="M711" t="str">
            <v>Yangon South</v>
          </cell>
          <cell r="N711" t="str">
            <v>Twantay</v>
          </cell>
          <cell r="O711" t="str">
            <v>Twantay</v>
          </cell>
          <cell r="P711" t="str">
            <v>Yangon 3</v>
          </cell>
          <cell r="Q711" t="str">
            <v>17</v>
          </cell>
          <cell r="R711" t="str">
            <v>Twantay</v>
          </cell>
          <cell r="S711" t="str">
            <v>223</v>
          </cell>
          <cell r="T711" t="str">
            <v>GSM+UMTS</v>
          </cell>
          <cell r="W711" t="str">
            <v>Ph2-Priority</v>
          </cell>
          <cell r="X711" t="str">
            <v>45</v>
          </cell>
          <cell r="Y711" t="str">
            <v>47</v>
          </cell>
          <cell r="Z711" t="str">
            <v>GBT</v>
          </cell>
          <cell r="AA711" t="str">
            <v>500</v>
          </cell>
          <cell r="AB711" t="str">
            <v>Access</v>
          </cell>
          <cell r="AC711" t="str">
            <v>Class C</v>
          </cell>
          <cell r="BE711" t="str">
            <v>Route 15 Taunggyi - Tachileik</v>
          </cell>
          <cell r="BH711" t="str">
            <v>Leadcom</v>
          </cell>
          <cell r="BJ711">
            <v>42155</v>
          </cell>
          <cell r="BK711">
            <v>42168</v>
          </cell>
          <cell r="BL711">
            <v>42160</v>
          </cell>
          <cell r="BM711">
            <v>42175</v>
          </cell>
          <cell r="BT711">
            <v>24</v>
          </cell>
          <cell r="BU711">
            <v>42255</v>
          </cell>
          <cell r="BV711">
            <v>42192</v>
          </cell>
          <cell r="BW711" t="str">
            <v>97.16675</v>
          </cell>
          <cell r="BX711" t="str">
            <v>20.7882</v>
          </cell>
          <cell r="BY711" t="str">
            <v>C1</v>
          </cell>
          <cell r="BZ711" t="str">
            <v>art(3),WonHtan Ward,Ho Pone Tsp,Taunggyi District,Shan State.</v>
          </cell>
          <cell r="CA711" t="str">
            <v>Daw Nan Own Tin</v>
          </cell>
          <cell r="CB711" t="str">
            <v>`</v>
          </cell>
          <cell r="CC711" t="str">
            <v>Residential</v>
          </cell>
          <cell r="CE711">
            <v>0</v>
          </cell>
          <cell r="CF711">
            <v>42256</v>
          </cell>
          <cell r="CG711">
            <v>42193</v>
          </cell>
          <cell r="CH711">
            <v>42258</v>
          </cell>
          <cell r="CJ711">
            <v>42224</v>
          </cell>
          <cell r="CK711" t="str">
            <v>35</v>
          </cell>
          <cell r="CL711" t="str">
            <v>37</v>
          </cell>
          <cell r="CM711" t="str">
            <v>40</v>
          </cell>
          <cell r="CN711">
            <v>0</v>
          </cell>
          <cell r="CO711">
            <v>42261</v>
          </cell>
          <cell r="CP711">
            <v>42226</v>
          </cell>
          <cell r="CQ711" t="str">
            <v>M4: solar + DG + battery</v>
          </cell>
          <cell r="CR711">
            <v>0</v>
          </cell>
          <cell r="CS711">
            <v>42262</v>
          </cell>
          <cell r="CT711">
            <v>42228</v>
          </cell>
          <cell r="CU711" t="str">
            <v>YN1340</v>
          </cell>
          <cell r="DH711">
            <v>0</v>
          </cell>
          <cell r="DI711">
            <v>42272</v>
          </cell>
          <cell r="DK711">
            <v>42269</v>
          </cell>
          <cell r="DM711">
            <v>42273</v>
          </cell>
          <cell r="DO711">
            <v>0</v>
          </cell>
          <cell r="DP711">
            <v>42272</v>
          </cell>
          <cell r="DT711">
            <v>0</v>
          </cell>
          <cell r="DU711">
            <v>42287</v>
          </cell>
          <cell r="DW711">
            <v>0</v>
          </cell>
          <cell r="DY711">
            <v>42273</v>
          </cell>
          <cell r="EA711" t="str">
            <v>Leadcom</v>
          </cell>
          <cell r="EJ711">
            <v>0</v>
          </cell>
          <cell r="EK711">
            <v>42290</v>
          </cell>
          <cell r="EM711">
            <v>42291</v>
          </cell>
          <cell r="EQ711">
            <v>42300</v>
          </cell>
          <cell r="EW711">
            <v>0</v>
          </cell>
          <cell r="EX711">
            <v>42287</v>
          </cell>
          <cell r="EZ711">
            <v>42310</v>
          </cell>
          <cell r="FB711">
            <v>42312</v>
          </cell>
          <cell r="FU711">
            <v>42314</v>
          </cell>
          <cell r="FW711">
            <v>42314</v>
          </cell>
          <cell r="GJ711">
            <v>0</v>
          </cell>
          <cell r="GN711" t="str">
            <v>ERICSSON</v>
          </cell>
          <cell r="GS711" t="str">
            <v>4/4/4</v>
          </cell>
          <cell r="GU711" t="str">
            <v xml:space="preserve">		</v>
          </cell>
          <cell r="HD711">
            <v>1</v>
          </cell>
        </row>
        <row r="712">
          <cell r="A712" t="str">
            <v>YN1345</v>
          </cell>
          <cell r="B712" t="str">
            <v>AYYN_0019</v>
          </cell>
          <cell r="C712" t="str">
            <v>Apollo</v>
          </cell>
          <cell r="D712" t="str">
            <v>Emilio Ruiz</v>
          </cell>
          <cell r="F712" t="str">
            <v>Myat Thura Leo</v>
          </cell>
          <cell r="G712" t="str">
            <v>Han Soe Aung</v>
          </cell>
          <cell r="H712" t="str">
            <v>GREEN</v>
          </cell>
          <cell r="I712" t="str">
            <v>South</v>
          </cell>
          <cell r="J712" t="str">
            <v>96.4125</v>
          </cell>
          <cell r="K712" t="str">
            <v>16.549</v>
          </cell>
          <cell r="L712" t="str">
            <v>SubUrban</v>
          </cell>
          <cell r="M712" t="str">
            <v>Yangon South</v>
          </cell>
          <cell r="N712" t="str">
            <v>Kyauktan</v>
          </cell>
          <cell r="O712" t="str">
            <v>Kyauktan</v>
          </cell>
          <cell r="P712" t="str">
            <v>Yangon 3</v>
          </cell>
          <cell r="Q712" t="str">
            <v>17</v>
          </cell>
          <cell r="R712" t="str">
            <v>Kyauktan</v>
          </cell>
          <cell r="S712" t="str">
            <v>220</v>
          </cell>
          <cell r="T712" t="str">
            <v>GSM+UMTS</v>
          </cell>
          <cell r="W712" t="str">
            <v>Ph2-Priority</v>
          </cell>
          <cell r="X712" t="str">
            <v>35</v>
          </cell>
          <cell r="Y712" t="str">
            <v>35</v>
          </cell>
          <cell r="Z712" t="str">
            <v>GBT</v>
          </cell>
          <cell r="AA712" t="str">
            <v>250</v>
          </cell>
          <cell r="AB712" t="str">
            <v>Access</v>
          </cell>
          <cell r="AC712" t="str">
            <v>Class B</v>
          </cell>
          <cell r="BE712" t="str">
            <v>Route 9 Mandalay - Muse</v>
          </cell>
          <cell r="BH712" t="str">
            <v>Aster-DEG</v>
          </cell>
          <cell r="BJ712">
            <v>42165</v>
          </cell>
          <cell r="BK712">
            <v>42130</v>
          </cell>
          <cell r="BL712">
            <v>42170</v>
          </cell>
          <cell r="BM712">
            <v>42148</v>
          </cell>
          <cell r="BT712">
            <v>28</v>
          </cell>
          <cell r="BU712">
            <v>42170</v>
          </cell>
          <cell r="BV712">
            <v>42158</v>
          </cell>
          <cell r="BW712" t="str">
            <v>96.41166</v>
          </cell>
          <cell r="BX712" t="str">
            <v>16.54835</v>
          </cell>
          <cell r="BY712" t="str">
            <v>C1 Rev 2</v>
          </cell>
          <cell r="BZ712" t="str">
            <v>No(686),MaGyiTan Street,Ka Mar Ka Loat(WEST) Village,Kyauk Tan Township.</v>
          </cell>
          <cell r="CA712" t="str">
            <v>Daw Win Win Htay;No(686),MaGyiTan Street,Ka Mar Ka Loat(WEST) Village,Kyauk Tan Township;09-253320021,09-73233225</v>
          </cell>
          <cell r="CB712" t="str">
            <v>6 Aug 15 : C1 Rev2 TSSR app;5 Aug 15 : C1 rev 2 TSSR sub( Due to NOC issue land owner changed his land location to little back from 26M far from old coordinates);29 June 15 :C1  rev1 TSSR app;26 June 15 : C1 rev TSSR sub(YN1345_C1 for Slim tower type;space is not enough for 35m tower actual verification, Apollo can support 30m);25 June 15 : C1 TSSR app;4 June 15 : C1 SAR app;3Jun15: C1 SAR Sub</v>
          </cell>
          <cell r="CC712" t="str">
            <v>VILLAGE LAND</v>
          </cell>
          <cell r="CE712">
            <v>1</v>
          </cell>
          <cell r="CF712">
            <v>42171</v>
          </cell>
          <cell r="CG712">
            <v>42159</v>
          </cell>
          <cell r="CH712">
            <v>42173</v>
          </cell>
          <cell r="CJ712">
            <v>42219</v>
          </cell>
          <cell r="CK712" t="str">
            <v>30</v>
          </cell>
          <cell r="CL712" t="str">
            <v>32</v>
          </cell>
          <cell r="CM712" t="str">
            <v>30</v>
          </cell>
          <cell r="CN712">
            <v>62</v>
          </cell>
          <cell r="CO712">
            <v>42176</v>
          </cell>
          <cell r="CP712">
            <v>42221</v>
          </cell>
          <cell r="CQ712" t="str">
            <v>M1: grid power + battery</v>
          </cell>
          <cell r="CR712">
            <v>1</v>
          </cell>
          <cell r="CS712">
            <v>42177</v>
          </cell>
          <cell r="CT712">
            <v>42222</v>
          </cell>
          <cell r="CU712" t="str">
            <v>YN1345</v>
          </cell>
          <cell r="DH712">
            <v>11</v>
          </cell>
          <cell r="DI712">
            <v>42187</v>
          </cell>
          <cell r="DK712">
            <v>42184</v>
          </cell>
          <cell r="DL712">
            <v>42205</v>
          </cell>
          <cell r="DM712">
            <v>42188</v>
          </cell>
          <cell r="DO712">
            <v>0</v>
          </cell>
          <cell r="DP712">
            <v>42187</v>
          </cell>
          <cell r="DT712">
            <v>0</v>
          </cell>
          <cell r="DU712">
            <v>42202</v>
          </cell>
          <cell r="DW712">
            <v>0</v>
          </cell>
          <cell r="DY712">
            <v>42188</v>
          </cell>
          <cell r="DZ712">
            <v>42203</v>
          </cell>
          <cell r="EA712" t="str">
            <v>Leadcom</v>
          </cell>
          <cell r="EJ712">
            <v>16</v>
          </cell>
          <cell r="EK712">
            <v>42203</v>
          </cell>
          <cell r="EL712">
            <v>42219</v>
          </cell>
          <cell r="EM712">
            <v>42204</v>
          </cell>
          <cell r="EN712">
            <v>42219</v>
          </cell>
          <cell r="EQ712">
            <v>42211</v>
          </cell>
          <cell r="ER712">
            <v>42224</v>
          </cell>
          <cell r="ES712">
            <v>42228</v>
          </cell>
          <cell r="ET712">
            <v>42229</v>
          </cell>
          <cell r="EU712">
            <v>42229</v>
          </cell>
          <cell r="EW712">
            <v>30</v>
          </cell>
          <cell r="EX712">
            <v>42225</v>
          </cell>
          <cell r="EZ712">
            <v>42221</v>
          </cell>
          <cell r="FA712">
            <v>42233</v>
          </cell>
          <cell r="FB712">
            <v>42223</v>
          </cell>
          <cell r="FC712">
            <v>42238</v>
          </cell>
          <cell r="FU712">
            <v>42225</v>
          </cell>
          <cell r="FW712">
            <v>42225</v>
          </cell>
          <cell r="FX712">
            <v>42238</v>
          </cell>
          <cell r="FY712" t="str">
            <v>EM</v>
          </cell>
          <cell r="FZ712">
            <v>42222</v>
          </cell>
          <cell r="GA712">
            <v>42225</v>
          </cell>
          <cell r="GB712">
            <v>42225</v>
          </cell>
          <cell r="GC712">
            <v>42231</v>
          </cell>
          <cell r="GD712">
            <v>42231</v>
          </cell>
          <cell r="GE712">
            <v>42243</v>
          </cell>
          <cell r="GF712">
            <v>42243</v>
          </cell>
          <cell r="GG712">
            <v>42244</v>
          </cell>
          <cell r="GH712">
            <v>42244</v>
          </cell>
          <cell r="GI712">
            <v>42246</v>
          </cell>
          <cell r="GJ712" t="str">
            <v>44-2015</v>
          </cell>
          <cell r="GK712">
            <v>42245</v>
          </cell>
          <cell r="GL712" t="str">
            <v>Upstream Dependency :: YN1349 Tower not ready yet</v>
          </cell>
          <cell r="GN712" t="str">
            <v xml:space="preserve">ERICSSON </v>
          </cell>
          <cell r="GS712" t="str">
            <v>4/4/4</v>
          </cell>
          <cell r="GU712" t="str">
            <v xml:space="preserve">		</v>
          </cell>
          <cell r="HD712">
            <v>1</v>
          </cell>
        </row>
        <row r="713">
          <cell r="A713" t="str">
            <v>YN1346</v>
          </cell>
          <cell r="B713" t="str">
            <v>AYYN_0020</v>
          </cell>
          <cell r="C713" t="str">
            <v>Apollo</v>
          </cell>
          <cell r="D713" t="str">
            <v>Emilio Ruiz</v>
          </cell>
          <cell r="F713" t="str">
            <v>Myat Thura Leo</v>
          </cell>
          <cell r="G713" t="str">
            <v>Han Soe Aung</v>
          </cell>
          <cell r="H713" t="str">
            <v>YELLOW</v>
          </cell>
          <cell r="I713" t="str">
            <v>South</v>
          </cell>
          <cell r="J713" t="str">
            <v>96.3584</v>
          </cell>
          <cell r="K713" t="str">
            <v>16.5317</v>
          </cell>
          <cell r="L713" t="str">
            <v>Rural</v>
          </cell>
          <cell r="M713" t="str">
            <v>Yangon South</v>
          </cell>
          <cell r="N713" t="str">
            <v>Kyauktan</v>
          </cell>
          <cell r="O713" t="str">
            <v>Kyauktan</v>
          </cell>
          <cell r="P713" t="str">
            <v>Yangon 3</v>
          </cell>
          <cell r="Q713" t="str">
            <v>17</v>
          </cell>
          <cell r="R713" t="str">
            <v>Kyauktan</v>
          </cell>
          <cell r="S713" t="str">
            <v>220</v>
          </cell>
          <cell r="T713" t="str">
            <v>GSM+UMTS</v>
          </cell>
          <cell r="W713" t="str">
            <v>Ph2-Priority</v>
          </cell>
          <cell r="X713" t="str">
            <v>45</v>
          </cell>
          <cell r="Y713" t="str">
            <v>47</v>
          </cell>
          <cell r="Z713" t="str">
            <v>GBT</v>
          </cell>
          <cell r="AA713" t="str">
            <v>500</v>
          </cell>
          <cell r="AB713" t="str">
            <v>Access</v>
          </cell>
          <cell r="AC713" t="str">
            <v>Class C</v>
          </cell>
          <cell r="BE713" t="str">
            <v>Route 13 Mawlamyine-Dawei</v>
          </cell>
          <cell r="BH713" t="str">
            <v>Camusat</v>
          </cell>
          <cell r="BJ713">
            <v>42165</v>
          </cell>
          <cell r="BK713">
            <v>42136</v>
          </cell>
          <cell r="BL713">
            <v>42170</v>
          </cell>
          <cell r="BM713">
            <v>42143</v>
          </cell>
          <cell r="BT713">
            <v>17</v>
          </cell>
          <cell r="BU713">
            <v>42197</v>
          </cell>
          <cell r="BV713">
            <v>42153</v>
          </cell>
          <cell r="BW713" t="str">
            <v>96.35953</v>
          </cell>
          <cell r="BX713" t="str">
            <v>16.53344</v>
          </cell>
          <cell r="BY713" t="str">
            <v>C1</v>
          </cell>
          <cell r="BZ713" t="str">
            <v>Ywar Ma Paing Street, Zwe Bar Kone Tan Village,Kyauktan Township, Yangon Division.</v>
          </cell>
          <cell r="CA713" t="str">
            <v>U Nay Lin Aung;No. 280, Ywar Ma Paing Street, Ywar Ma Paing Quarter, Zwe Bar Kone Tan Village, Kyauktan Township, Yangon Division;09-420315172, 09-799563180</v>
          </cell>
          <cell r="CB713" t="str">
            <v>29May15: C1 SAR Sub</v>
          </cell>
          <cell r="CC713" t="str">
            <v>Garden Land</v>
          </cell>
          <cell r="CE713">
            <v>3</v>
          </cell>
          <cell r="CF713">
            <v>42198</v>
          </cell>
          <cell r="CG713">
            <v>42156</v>
          </cell>
          <cell r="CH713">
            <v>42200</v>
          </cell>
          <cell r="CJ713">
            <v>42158</v>
          </cell>
          <cell r="CK713" t="str">
            <v>45</v>
          </cell>
          <cell r="CL713" t="str">
            <v>47</v>
          </cell>
          <cell r="CM713" t="str">
            <v>45</v>
          </cell>
          <cell r="CN713">
            <v>4</v>
          </cell>
          <cell r="CO713">
            <v>42203</v>
          </cell>
          <cell r="CP713">
            <v>42160</v>
          </cell>
          <cell r="CQ713" t="str">
            <v>M1: grid power + battery</v>
          </cell>
          <cell r="CR713">
            <v>5</v>
          </cell>
          <cell r="CS713">
            <v>42204</v>
          </cell>
          <cell r="CT713">
            <v>42165</v>
          </cell>
          <cell r="CU713" t="str">
            <v>YN1346</v>
          </cell>
          <cell r="DH713">
            <v>10</v>
          </cell>
          <cell r="DI713">
            <v>42214</v>
          </cell>
          <cell r="DJ713">
            <v>42175</v>
          </cell>
          <cell r="DK713">
            <v>42211</v>
          </cell>
          <cell r="DL713">
            <v>42179</v>
          </cell>
          <cell r="DM713">
            <v>42215</v>
          </cell>
          <cell r="DN713">
            <v>42179</v>
          </cell>
          <cell r="DO713">
            <v>0</v>
          </cell>
          <cell r="DP713">
            <v>42214</v>
          </cell>
          <cell r="DQ713">
            <v>42175</v>
          </cell>
          <cell r="DT713">
            <v>58</v>
          </cell>
          <cell r="DU713">
            <v>42229</v>
          </cell>
          <cell r="DW713">
            <v>0</v>
          </cell>
          <cell r="DY713">
            <v>42215</v>
          </cell>
          <cell r="DZ713">
            <v>42178</v>
          </cell>
          <cell r="EA713" t="str">
            <v>Camusat</v>
          </cell>
          <cell r="ED713" t="str">
            <v xml:space="preserve">02Sep15 :zinwin.htun: foundation finish.Backfilling finish.Tower materials not arrive to site.
</v>
          </cell>
          <cell r="EE713" t="str">
            <v xml:space="preserve">10 Aug 15:Rain affected_Progress affected; 4-Aug-15:Site is affected by heavy rain								</v>
          </cell>
          <cell r="EJ713">
            <v>47</v>
          </cell>
          <cell r="EK713">
            <v>42232</v>
          </cell>
          <cell r="EL713">
            <v>42225</v>
          </cell>
          <cell r="EM713">
            <v>42233</v>
          </cell>
          <cell r="EQ713">
            <v>42242</v>
          </cell>
          <cell r="ES713">
            <v>42226</v>
          </cell>
          <cell r="EW713">
            <v>55</v>
          </cell>
          <cell r="EX713">
            <v>42256</v>
          </cell>
          <cell r="EZ713">
            <v>42252</v>
          </cell>
          <cell r="FB713">
            <v>42254</v>
          </cell>
          <cell r="FE713">
            <v>42193</v>
          </cell>
          <cell r="FU713">
            <v>42256</v>
          </cell>
          <cell r="FW713">
            <v>42256</v>
          </cell>
          <cell r="GI713">
            <v>42277</v>
          </cell>
          <cell r="GJ713" t="str">
            <v>40-2015</v>
          </cell>
          <cell r="GN713" t="str">
            <v xml:space="preserve">ERICSSON </v>
          </cell>
          <cell r="GO713">
            <v>42166</v>
          </cell>
          <cell r="GS713" t="str">
            <v>4/4/4</v>
          </cell>
          <cell r="GU713" t="str">
            <v xml:space="preserve">		</v>
          </cell>
          <cell r="HD713">
            <v>1</v>
          </cell>
        </row>
        <row r="714">
          <cell r="A714" t="str">
            <v>YN1347</v>
          </cell>
          <cell r="B714" t="str">
            <v>AYYN_0021</v>
          </cell>
          <cell r="C714" t="str">
            <v>Apollo</v>
          </cell>
          <cell r="D714" t="str">
            <v>Emilio Ruiz</v>
          </cell>
          <cell r="F714" t="str">
            <v>Myat Thura Leo</v>
          </cell>
          <cell r="G714" t="str">
            <v>Han Soe Aung</v>
          </cell>
          <cell r="H714" t="str">
            <v>RED</v>
          </cell>
          <cell r="I714" t="str">
            <v>South</v>
          </cell>
          <cell r="J714" t="str">
            <v>96.3209</v>
          </cell>
          <cell r="K714" t="str">
            <v>16.5469</v>
          </cell>
          <cell r="L714" t="str">
            <v>Rural</v>
          </cell>
          <cell r="M714" t="str">
            <v>Yangon South</v>
          </cell>
          <cell r="N714" t="str">
            <v>Kyauktan</v>
          </cell>
          <cell r="O714" t="str">
            <v>Kyauktan</v>
          </cell>
          <cell r="P714" t="str">
            <v>Yangon 3</v>
          </cell>
          <cell r="Q714" t="str">
            <v>17</v>
          </cell>
          <cell r="R714" t="str">
            <v>Kyauktan</v>
          </cell>
          <cell r="S714" t="str">
            <v>220</v>
          </cell>
          <cell r="T714" t="str">
            <v>GSM+UMTS</v>
          </cell>
          <cell r="W714" t="str">
            <v>Ph2-Priority</v>
          </cell>
          <cell r="X714" t="str">
            <v>45</v>
          </cell>
          <cell r="Y714" t="str">
            <v>47</v>
          </cell>
          <cell r="Z714" t="str">
            <v>GBT</v>
          </cell>
          <cell r="AA714" t="str">
            <v>500</v>
          </cell>
          <cell r="AB714" t="str">
            <v>Access</v>
          </cell>
          <cell r="AC714" t="str">
            <v>Class C</v>
          </cell>
          <cell r="BE714" t="str">
            <v>Route 13 Mawlamyine-Dawei</v>
          </cell>
          <cell r="BH714" t="str">
            <v>Camusat</v>
          </cell>
          <cell r="BJ714">
            <v>42165</v>
          </cell>
          <cell r="BK714">
            <v>42169</v>
          </cell>
          <cell r="BL714">
            <v>42170</v>
          </cell>
          <cell r="BM714">
            <v>42176</v>
          </cell>
          <cell r="BT714">
            <v>64</v>
          </cell>
          <cell r="BU714">
            <v>42255</v>
          </cell>
          <cell r="BV714">
            <v>42146</v>
          </cell>
          <cell r="BW714">
            <v>96.379069999999999</v>
          </cell>
          <cell r="BX714">
            <v>16.548539999999999</v>
          </cell>
          <cell r="BY714" t="str">
            <v>C1</v>
          </cell>
          <cell r="BZ714" t="str">
            <v>U Paing No. 41, Mingalar Street, Kwa Hnee Village, Kyauktan Township, Yangon Division.</v>
          </cell>
          <cell r="CA714" t="str">
            <v>Daw Khin Khin Htun;No. 130, Mingalar Street, Kwa Hnee Village, Kyauktan Township, Yangon Division;09-73116544</v>
          </cell>
          <cell r="CB714" t="str">
            <v>22May15: C1 SAR Sub</v>
          </cell>
          <cell r="CE714">
            <v>0</v>
          </cell>
          <cell r="CF714">
            <v>42256</v>
          </cell>
          <cell r="CG714">
            <v>42150</v>
          </cell>
          <cell r="CH714">
            <v>42258</v>
          </cell>
          <cell r="CN714">
            <v>0</v>
          </cell>
          <cell r="CO714">
            <v>42261</v>
          </cell>
          <cell r="CQ714" t="str">
            <v>M1: grid power + battery</v>
          </cell>
          <cell r="CR714">
            <v>0</v>
          </cell>
          <cell r="CS714">
            <v>42262</v>
          </cell>
          <cell r="CU714" t="str">
            <v>YN1347</v>
          </cell>
          <cell r="DH714">
            <v>0</v>
          </cell>
          <cell r="DI714">
            <v>42272</v>
          </cell>
          <cell r="DK714">
            <v>42269</v>
          </cell>
          <cell r="DM714">
            <v>42273</v>
          </cell>
          <cell r="DO714">
            <v>0</v>
          </cell>
          <cell r="DP714">
            <v>42272</v>
          </cell>
          <cell r="DT714">
            <v>0</v>
          </cell>
          <cell r="DU714">
            <v>42287</v>
          </cell>
          <cell r="DW714">
            <v>0</v>
          </cell>
          <cell r="DY714">
            <v>42273</v>
          </cell>
          <cell r="EA714" t="str">
            <v>Camusat</v>
          </cell>
          <cell r="EJ714">
            <v>0</v>
          </cell>
          <cell r="EK714">
            <v>42290</v>
          </cell>
          <cell r="EM714">
            <v>42291</v>
          </cell>
          <cell r="EQ714">
            <v>42300</v>
          </cell>
          <cell r="EW714">
            <v>0</v>
          </cell>
          <cell r="EX714">
            <v>42256</v>
          </cell>
          <cell r="EZ714">
            <v>42310</v>
          </cell>
          <cell r="FB714">
            <v>42312</v>
          </cell>
          <cell r="FU714">
            <v>42314</v>
          </cell>
          <cell r="FW714">
            <v>42314</v>
          </cell>
          <cell r="GJ714">
            <v>0</v>
          </cell>
          <cell r="GN714" t="str">
            <v>ERICSSON</v>
          </cell>
          <cell r="GS714" t="str">
            <v>4/4/4</v>
          </cell>
          <cell r="GU714" t="str">
            <v xml:space="preserve">		</v>
          </cell>
          <cell r="HD714">
            <v>1</v>
          </cell>
        </row>
        <row r="715">
          <cell r="A715" t="str">
            <v>YN1348</v>
          </cell>
          <cell r="B715" t="str">
            <v>AYYN_0022</v>
          </cell>
          <cell r="C715" t="str">
            <v>Apollo</v>
          </cell>
          <cell r="D715" t="str">
            <v>Emilio Ruiz</v>
          </cell>
          <cell r="F715" t="str">
            <v>Myat Thura Leo</v>
          </cell>
          <cell r="G715" t="str">
            <v>Han Soe Aung</v>
          </cell>
          <cell r="H715" t="str">
            <v>RED</v>
          </cell>
          <cell r="I715" t="str">
            <v>South</v>
          </cell>
          <cell r="J715" t="str">
            <v>96.4616</v>
          </cell>
          <cell r="K715" t="str">
            <v>16.5796</v>
          </cell>
          <cell r="L715" t="str">
            <v>Rural</v>
          </cell>
          <cell r="M715" t="str">
            <v>Yangon South</v>
          </cell>
          <cell r="N715" t="str">
            <v>Kyauktan</v>
          </cell>
          <cell r="O715" t="str">
            <v>Kyauktan</v>
          </cell>
          <cell r="P715" t="str">
            <v>Yangon 3</v>
          </cell>
          <cell r="Q715" t="str">
            <v>17</v>
          </cell>
          <cell r="R715" t="str">
            <v>Kyauktan</v>
          </cell>
          <cell r="S715" t="str">
            <v>220</v>
          </cell>
          <cell r="T715" t="str">
            <v>GSM+UMTS</v>
          </cell>
          <cell r="W715" t="str">
            <v>Ph2-Priority</v>
          </cell>
          <cell r="X715" t="str">
            <v>45</v>
          </cell>
          <cell r="Y715" t="str">
            <v>47</v>
          </cell>
          <cell r="Z715" t="str">
            <v>GBT</v>
          </cell>
          <cell r="AA715" t="str">
            <v>500</v>
          </cell>
          <cell r="AB715" t="str">
            <v>Access</v>
          </cell>
          <cell r="AC715" t="str">
            <v>Class C</v>
          </cell>
          <cell r="BH715" t="str">
            <v>Camusat</v>
          </cell>
          <cell r="BJ715">
            <v>42136</v>
          </cell>
          <cell r="BK715">
            <v>42129</v>
          </cell>
          <cell r="BL715">
            <v>42141</v>
          </cell>
          <cell r="BM715">
            <v>42136</v>
          </cell>
          <cell r="BT715">
            <v>55</v>
          </cell>
          <cell r="BU715">
            <v>42197</v>
          </cell>
          <cell r="BV715">
            <v>42236</v>
          </cell>
          <cell r="BW715" t="str">
            <v>96.46145</v>
          </cell>
          <cell r="BX715" t="str">
            <v>16.58032</v>
          </cell>
          <cell r="BY715" t="str">
            <v>C5</v>
          </cell>
          <cell r="BZ715" t="str">
            <v>No. (769), Ruby Street, Thiri Yadanar Ward, Mingaloon San Pya Village,
Kyauktan Township, Yangon Division.</v>
          </cell>
          <cell r="CA715" t="str">
            <v>U Tin Ohnn, 09-420251786</v>
          </cell>
          <cell r="CB715" t="str">
            <v>20 Aug 15 : C5 SAR sub(NOC issue at C4 candidate);23 July 15 : Apollo request to delete CW start date because of Low soil bearing capacity, Need to change design &amp; will claim once finalized;7 Jul 15 : C4 TSSR app;3 Jul 15 : C4 TSSR sub; 30 June 15 : C4 SAR rev app;29 June 15 : C4 SAR rev pdf sub;26 May 15 : C1 SAR app;22May15: C1 SAR Sub</v>
          </cell>
          <cell r="CC715" t="str">
            <v>Residential land</v>
          </cell>
          <cell r="CE715">
            <v>1</v>
          </cell>
          <cell r="CF715">
            <v>42198</v>
          </cell>
          <cell r="CG715">
            <v>42237</v>
          </cell>
          <cell r="CH715">
            <v>42200</v>
          </cell>
          <cell r="CJ715">
            <v>42239</v>
          </cell>
          <cell r="CK715" t="str">
            <v>45</v>
          </cell>
          <cell r="CL715" t="str">
            <v>47</v>
          </cell>
          <cell r="CM715" t="str">
            <v>50</v>
          </cell>
          <cell r="CN715">
            <v>3</v>
          </cell>
          <cell r="CO715">
            <v>42203</v>
          </cell>
          <cell r="CP715">
            <v>42241</v>
          </cell>
          <cell r="CQ715" t="str">
            <v>M1: grid power + battery</v>
          </cell>
          <cell r="CR715">
            <v>4</v>
          </cell>
          <cell r="CS715">
            <v>42204</v>
          </cell>
          <cell r="CT715">
            <v>42243</v>
          </cell>
          <cell r="CU715" t="str">
            <v>YN1348</v>
          </cell>
          <cell r="DH715">
            <v>9</v>
          </cell>
          <cell r="DI715">
            <v>42214</v>
          </cell>
          <cell r="DJ715">
            <v>42201</v>
          </cell>
          <cell r="DK715">
            <v>42211</v>
          </cell>
          <cell r="DM715">
            <v>42215</v>
          </cell>
          <cell r="DO715">
            <v>0</v>
          </cell>
          <cell r="DP715">
            <v>42214</v>
          </cell>
          <cell r="DQ715">
            <v>42201</v>
          </cell>
          <cell r="DT715">
            <v>32</v>
          </cell>
          <cell r="DU715">
            <v>42229</v>
          </cell>
          <cell r="DW715">
            <v>0</v>
          </cell>
          <cell r="DY715">
            <v>42215</v>
          </cell>
          <cell r="EA715" t="str">
            <v>Camusat</v>
          </cell>
          <cell r="EJ715">
            <v>0</v>
          </cell>
          <cell r="EK715">
            <v>42232</v>
          </cell>
          <cell r="EM715">
            <v>42233</v>
          </cell>
          <cell r="EQ715">
            <v>42242</v>
          </cell>
          <cell r="EW715">
            <v>0</v>
          </cell>
          <cell r="EX715">
            <v>42256</v>
          </cell>
          <cell r="EZ715">
            <v>42252</v>
          </cell>
          <cell r="FB715">
            <v>42254</v>
          </cell>
          <cell r="FU715">
            <v>42256</v>
          </cell>
          <cell r="FW715">
            <v>42256</v>
          </cell>
          <cell r="GJ715">
            <v>0</v>
          </cell>
          <cell r="GN715" t="str">
            <v>ERICSSON</v>
          </cell>
          <cell r="GO715">
            <v>42166</v>
          </cell>
          <cell r="GS715" t="str">
            <v>4/4/4</v>
          </cell>
          <cell r="GU715" t="str">
            <v xml:space="preserve">		</v>
          </cell>
          <cell r="HD715">
            <v>1</v>
          </cell>
        </row>
        <row r="716">
          <cell r="A716" t="str">
            <v>YN1349</v>
          </cell>
          <cell r="B716" t="str">
            <v>AYYN_0023</v>
          </cell>
          <cell r="C716" t="str">
            <v>Apollo</v>
          </cell>
          <cell r="D716" t="str">
            <v>Emilio Ruiz</v>
          </cell>
          <cell r="F716" t="str">
            <v>Myat Thura Leo</v>
          </cell>
          <cell r="G716" t="str">
            <v>Han Soe Aung</v>
          </cell>
          <cell r="H716" t="str">
            <v>YELLOW</v>
          </cell>
          <cell r="I716" t="str">
            <v>South</v>
          </cell>
          <cell r="J716" t="str">
            <v>96.38</v>
          </cell>
          <cell r="K716" t="str">
            <v>16.5501</v>
          </cell>
          <cell r="L716" t="str">
            <v>Rural</v>
          </cell>
          <cell r="M716" t="str">
            <v>Yangon South</v>
          </cell>
          <cell r="N716" t="str">
            <v>Kyauktan</v>
          </cell>
          <cell r="O716" t="str">
            <v>Kyauktan</v>
          </cell>
          <cell r="P716" t="str">
            <v>Yangon 3</v>
          </cell>
          <cell r="Q716" t="str">
            <v>17</v>
          </cell>
          <cell r="R716" t="str">
            <v>Kyauktan</v>
          </cell>
          <cell r="S716" t="str">
            <v>220</v>
          </cell>
          <cell r="T716" t="str">
            <v>GSM+UMTS</v>
          </cell>
          <cell r="W716" t="str">
            <v>Ph2-Priority</v>
          </cell>
          <cell r="X716" t="str">
            <v>45</v>
          </cell>
          <cell r="Y716" t="str">
            <v>47</v>
          </cell>
          <cell r="Z716" t="str">
            <v>GBT</v>
          </cell>
          <cell r="AA716" t="str">
            <v>500</v>
          </cell>
          <cell r="AB716" t="str">
            <v>Access</v>
          </cell>
          <cell r="AC716" t="str">
            <v>Class C</v>
          </cell>
          <cell r="BE716" t="str">
            <v>Route 14 Dawei - Myeik</v>
          </cell>
          <cell r="BH716" t="str">
            <v>Camusat</v>
          </cell>
          <cell r="BJ716">
            <v>42136</v>
          </cell>
          <cell r="BK716">
            <v>42129</v>
          </cell>
          <cell r="BL716">
            <v>42141</v>
          </cell>
          <cell r="BM716">
            <v>42136</v>
          </cell>
          <cell r="BT716">
            <v>17</v>
          </cell>
          <cell r="BU716">
            <v>42197</v>
          </cell>
          <cell r="BV716">
            <v>42146</v>
          </cell>
          <cell r="BW716" t="str">
            <v>96.379</v>
          </cell>
          <cell r="BX716" t="str">
            <v>16.54866</v>
          </cell>
          <cell r="BY716" t="str">
            <v>C1</v>
          </cell>
          <cell r="BZ716" t="str">
            <v>U Paing No.41 , Mingalar Street , Kwa Hnee Village ,Kyauktan Township,Yangon Division.</v>
          </cell>
          <cell r="CA716" t="str">
            <v>Daw Khin Khin Htun;No. 130, Mingalar Street, Kwa Hnee Village, Kyauktan Township, Yangon Division;09-73116544</v>
          </cell>
          <cell r="CB716" t="str">
            <v>6 Aug 15 : C1 TSSR  checklist updated agin from E// due to update routing links but the atual antenna height didn't change;22 July 15 : C1 updated TSSR checklist given from E// because of reroute reason and new link addition;22May15: C1 SAR Sub</v>
          </cell>
          <cell r="CC716" t="str">
            <v>Garden Land</v>
          </cell>
          <cell r="CE716">
            <v>4</v>
          </cell>
          <cell r="CF716">
            <v>42198</v>
          </cell>
          <cell r="CG716">
            <v>42150</v>
          </cell>
          <cell r="CH716">
            <v>42200</v>
          </cell>
          <cell r="CJ716">
            <v>42156</v>
          </cell>
          <cell r="CK716" t="str">
            <v>45</v>
          </cell>
          <cell r="CL716" t="str">
            <v>47</v>
          </cell>
          <cell r="CM716" t="str">
            <v>50</v>
          </cell>
          <cell r="CN716">
            <v>8</v>
          </cell>
          <cell r="CO716">
            <v>42203</v>
          </cell>
          <cell r="CP716">
            <v>42158</v>
          </cell>
          <cell r="CQ716" t="str">
            <v>M1: grid power + battery</v>
          </cell>
          <cell r="CR716">
            <v>1</v>
          </cell>
          <cell r="CS716">
            <v>42204</v>
          </cell>
          <cell r="CT716">
            <v>42159</v>
          </cell>
          <cell r="CU716" t="str">
            <v>YN1349</v>
          </cell>
          <cell r="DH716">
            <v>6</v>
          </cell>
          <cell r="DI716">
            <v>42214</v>
          </cell>
          <cell r="DJ716">
            <v>42165</v>
          </cell>
          <cell r="DK716">
            <v>42211</v>
          </cell>
          <cell r="DL716">
            <v>42173</v>
          </cell>
          <cell r="DM716">
            <v>42215</v>
          </cell>
          <cell r="DN716">
            <v>42174</v>
          </cell>
          <cell r="DO716">
            <v>0</v>
          </cell>
          <cell r="DP716">
            <v>42214</v>
          </cell>
          <cell r="DQ716">
            <v>42165</v>
          </cell>
          <cell r="DT716">
            <v>68</v>
          </cell>
          <cell r="DU716">
            <v>42229</v>
          </cell>
          <cell r="DW716">
            <v>0</v>
          </cell>
          <cell r="DY716">
            <v>42215</v>
          </cell>
          <cell r="DZ716">
            <v>42174</v>
          </cell>
          <cell r="EA716" t="str">
            <v>Camusat</v>
          </cell>
          <cell r="ED716" t="str">
            <v xml:space="preserve">02Sep15 :zinwin.htun: Foundation done.Power Eq; &amp; Network Eq; arrive to site.Tower erection not start bzo tower materials not arrive to site yet.Backfilling finish.Fencing ongoing.
</v>
          </cell>
          <cell r="EE716" t="str">
            <v xml:space="preserve">10 Aug 15:Rain affected_Progress affected; 4-Aug-15:Site is affected by heavy rain								</v>
          </cell>
          <cell r="EJ716">
            <v>28</v>
          </cell>
          <cell r="EK716">
            <v>42232</v>
          </cell>
          <cell r="EL716">
            <v>42202</v>
          </cell>
          <cell r="EM716">
            <v>42233</v>
          </cell>
          <cell r="EQ716">
            <v>42242</v>
          </cell>
          <cell r="ES716">
            <v>42214</v>
          </cell>
          <cell r="EW716">
            <v>59</v>
          </cell>
          <cell r="EX716">
            <v>42256</v>
          </cell>
          <cell r="EZ716">
            <v>42252</v>
          </cell>
          <cell r="FA716">
            <v>42222</v>
          </cell>
          <cell r="FB716">
            <v>42254</v>
          </cell>
          <cell r="FC716">
            <v>42223</v>
          </cell>
          <cell r="FE716">
            <v>42193</v>
          </cell>
          <cell r="FU716">
            <v>42256</v>
          </cell>
          <cell r="FW716">
            <v>42256</v>
          </cell>
          <cell r="FY716" t="str">
            <v>TN</v>
          </cell>
          <cell r="FZ716">
            <v>42219</v>
          </cell>
          <cell r="GA716">
            <v>42219</v>
          </cell>
          <cell r="GB716">
            <v>42221</v>
          </cell>
          <cell r="GE716">
            <v>42221</v>
          </cell>
          <cell r="GI716">
            <v>42246</v>
          </cell>
          <cell r="GJ716" t="str">
            <v>36-2015</v>
          </cell>
          <cell r="GN716" t="str">
            <v xml:space="preserve">ERICSSON </v>
          </cell>
          <cell r="GO716">
            <v>42166</v>
          </cell>
          <cell r="GS716" t="str">
            <v>4/4/4</v>
          </cell>
          <cell r="GU716" t="str">
            <v xml:space="preserve">		</v>
          </cell>
          <cell r="HD716">
            <v>1</v>
          </cell>
        </row>
        <row r="717">
          <cell r="A717" t="str">
            <v>YN1350</v>
          </cell>
          <cell r="B717" t="str">
            <v>AYYN_0024</v>
          </cell>
          <cell r="C717" t="str">
            <v>Apollo</v>
          </cell>
          <cell r="D717" t="str">
            <v>Emilio Ruiz</v>
          </cell>
          <cell r="F717" t="str">
            <v>Myat Thura Leo</v>
          </cell>
          <cell r="G717" t="str">
            <v>Han Soe Aung</v>
          </cell>
          <cell r="H717" t="str">
            <v>AMBER</v>
          </cell>
          <cell r="I717" t="str">
            <v>South</v>
          </cell>
          <cell r="J717" t="str">
            <v>96.4434</v>
          </cell>
          <cell r="K717" t="str">
            <v>16.5129</v>
          </cell>
          <cell r="L717" t="str">
            <v>Rural</v>
          </cell>
          <cell r="M717" t="str">
            <v>Yangon South</v>
          </cell>
          <cell r="N717" t="str">
            <v>Kyauktan</v>
          </cell>
          <cell r="O717" t="str">
            <v>Kyauktan</v>
          </cell>
          <cell r="P717" t="str">
            <v>Yangon 3</v>
          </cell>
          <cell r="Q717" t="str">
            <v>17</v>
          </cell>
          <cell r="R717" t="str">
            <v>Kyauktan</v>
          </cell>
          <cell r="S717" t="str">
            <v>220</v>
          </cell>
          <cell r="T717" t="str">
            <v>GSM+UMTS</v>
          </cell>
          <cell r="W717" t="str">
            <v>Ph2-Priority</v>
          </cell>
          <cell r="X717" t="str">
            <v>45</v>
          </cell>
          <cell r="Y717" t="str">
            <v>47</v>
          </cell>
          <cell r="Z717" t="str">
            <v>GBT</v>
          </cell>
          <cell r="AA717" t="str">
            <v>500</v>
          </cell>
          <cell r="AB717" t="str">
            <v>Access</v>
          </cell>
          <cell r="AC717" t="str">
            <v>Class C</v>
          </cell>
          <cell r="BE717" t="str">
            <v>Yangon South</v>
          </cell>
          <cell r="BH717" t="str">
            <v>Camusat</v>
          </cell>
          <cell r="BJ717">
            <v>42136</v>
          </cell>
          <cell r="BK717">
            <v>42129</v>
          </cell>
          <cell r="BL717">
            <v>42141</v>
          </cell>
          <cell r="BM717">
            <v>42136</v>
          </cell>
          <cell r="BT717">
            <v>17</v>
          </cell>
          <cell r="BU717">
            <v>42197</v>
          </cell>
          <cell r="BV717">
            <v>42146</v>
          </cell>
          <cell r="BW717" t="str">
            <v>96.44485</v>
          </cell>
          <cell r="BX717" t="str">
            <v>16.51272</v>
          </cell>
          <cell r="BY717" t="str">
            <v>C1</v>
          </cell>
          <cell r="BZ717" t="str">
            <v>Zawtika Street,Kalatan Village Tract,Kalatan Village,Kyauktan Township,Yangon Division.</v>
          </cell>
          <cell r="CA717" t="str">
            <v>U Soe Myint;No. 574, Field No.153, Oh Aim Street, Kalatan Village Tract, Kalatan Village, Kyauktan Township, Yangon Division.(Phone Number: None)</v>
          </cell>
          <cell r="CB717" t="str">
            <v>22May15: C1 SAR Sub</v>
          </cell>
          <cell r="CC717" t="str">
            <v>GARDEN LAND</v>
          </cell>
          <cell r="CE717">
            <v>4</v>
          </cell>
          <cell r="CF717">
            <v>42198</v>
          </cell>
          <cell r="CG717">
            <v>42150</v>
          </cell>
          <cell r="CH717">
            <v>42200</v>
          </cell>
          <cell r="CJ717">
            <v>42157</v>
          </cell>
          <cell r="CK717" t="str">
            <v>45</v>
          </cell>
          <cell r="CL717" t="str">
            <v>47</v>
          </cell>
          <cell r="CM717" t="str">
            <v>50</v>
          </cell>
          <cell r="CN717">
            <v>9</v>
          </cell>
          <cell r="CO717">
            <v>42203</v>
          </cell>
          <cell r="CP717">
            <v>42159</v>
          </cell>
          <cell r="CQ717" t="str">
            <v>M1: grid power + battery</v>
          </cell>
          <cell r="CR717">
            <v>6</v>
          </cell>
          <cell r="CS717">
            <v>42204</v>
          </cell>
          <cell r="CT717">
            <v>42165</v>
          </cell>
          <cell r="CU717" t="str">
            <v>YN1350</v>
          </cell>
          <cell r="DH717">
            <v>0</v>
          </cell>
          <cell r="DI717">
            <v>42214</v>
          </cell>
          <cell r="DJ717">
            <v>42165</v>
          </cell>
          <cell r="DK717">
            <v>42211</v>
          </cell>
          <cell r="DL717">
            <v>42174</v>
          </cell>
          <cell r="DM717">
            <v>42215</v>
          </cell>
          <cell r="DN717">
            <v>42174</v>
          </cell>
          <cell r="DO717">
            <v>0</v>
          </cell>
          <cell r="DP717">
            <v>42214</v>
          </cell>
          <cell r="DQ717">
            <v>42165</v>
          </cell>
          <cell r="DT717">
            <v>68</v>
          </cell>
          <cell r="DU717">
            <v>42229</v>
          </cell>
          <cell r="DW717">
            <v>0</v>
          </cell>
          <cell r="DY717">
            <v>42215</v>
          </cell>
          <cell r="DZ717">
            <v>42175</v>
          </cell>
          <cell r="EA717" t="str">
            <v>Camusat</v>
          </cell>
          <cell r="ED717" t="str">
            <v xml:space="preserve">02Sep15 :zinwin.htun: Foundation finish.Backfilling finish.Tower materials not arrive to site.
</v>
          </cell>
          <cell r="EE717" t="str">
            <v xml:space="preserve">10 Aug 15:Rain affected_Progress affected; 4-Aug-15:Site is affected by heavy rain								</v>
          </cell>
          <cell r="EJ717">
            <v>58</v>
          </cell>
          <cell r="EK717">
            <v>42232</v>
          </cell>
          <cell r="EL717">
            <v>42240</v>
          </cell>
          <cell r="EM717">
            <v>42233</v>
          </cell>
          <cell r="EQ717">
            <v>42242</v>
          </cell>
          <cell r="ES717">
            <v>42245</v>
          </cell>
          <cell r="EW717">
            <v>58</v>
          </cell>
          <cell r="EX717">
            <v>42256</v>
          </cell>
          <cell r="EZ717">
            <v>42252</v>
          </cell>
          <cell r="FB717">
            <v>42254</v>
          </cell>
          <cell r="FE717">
            <v>42193</v>
          </cell>
          <cell r="FU717">
            <v>42256</v>
          </cell>
          <cell r="FW717">
            <v>42256</v>
          </cell>
          <cell r="GI717">
            <v>42277</v>
          </cell>
          <cell r="GJ717" t="str">
            <v>40-2015</v>
          </cell>
          <cell r="GN717" t="str">
            <v>ERICSSON</v>
          </cell>
          <cell r="GO717">
            <v>42166</v>
          </cell>
          <cell r="GS717" t="str">
            <v>4/4/4</v>
          </cell>
          <cell r="GU717" t="str">
            <v xml:space="preserve">		</v>
          </cell>
          <cell r="HD717">
            <v>1</v>
          </cell>
        </row>
        <row r="718">
          <cell r="A718" t="str">
            <v>YN1351</v>
          </cell>
          <cell r="B718" t="str">
            <v>AYYN_0025</v>
          </cell>
          <cell r="C718" t="str">
            <v>Apollo</v>
          </cell>
          <cell r="D718" t="str">
            <v>Emilio Ruiz</v>
          </cell>
          <cell r="F718" t="str">
            <v>Myat Thura Leo</v>
          </cell>
          <cell r="G718" t="str">
            <v>Han Soe Aung</v>
          </cell>
          <cell r="H718" t="str">
            <v>AMBER</v>
          </cell>
          <cell r="I718" t="str">
            <v>South</v>
          </cell>
          <cell r="J718" t="str">
            <v>96.6054</v>
          </cell>
          <cell r="K718" t="str">
            <v>16.6344</v>
          </cell>
          <cell r="L718" t="str">
            <v>Rural</v>
          </cell>
          <cell r="M718" t="str">
            <v>Yangon South</v>
          </cell>
          <cell r="N718" t="str">
            <v>Kyauktan</v>
          </cell>
          <cell r="O718" t="str">
            <v>Kyauktan</v>
          </cell>
          <cell r="P718" t="str">
            <v>Yangon 3</v>
          </cell>
          <cell r="Q718" t="str">
            <v>17</v>
          </cell>
          <cell r="R718" t="str">
            <v>Kyauktan</v>
          </cell>
          <cell r="S718" t="str">
            <v>220</v>
          </cell>
          <cell r="T718" t="str">
            <v>GSM+UMTS</v>
          </cell>
          <cell r="W718" t="str">
            <v>Ph2-Priority</v>
          </cell>
          <cell r="X718" t="str">
            <v>45</v>
          </cell>
          <cell r="Y718" t="str">
            <v>47</v>
          </cell>
          <cell r="Z718" t="str">
            <v>GBT</v>
          </cell>
          <cell r="AA718" t="str">
            <v>500</v>
          </cell>
          <cell r="AB718" t="str">
            <v>Access</v>
          </cell>
          <cell r="AC718" t="str">
            <v>Class C</v>
          </cell>
          <cell r="BE718" t="str">
            <v>Route 1 Yangon - Mandalay</v>
          </cell>
          <cell r="BH718" t="str">
            <v>Camusat</v>
          </cell>
          <cell r="BJ718">
            <v>42165</v>
          </cell>
          <cell r="BK718">
            <v>42169</v>
          </cell>
          <cell r="BL718">
            <v>42170</v>
          </cell>
          <cell r="BM718">
            <v>42176</v>
          </cell>
          <cell r="BT718">
            <v>22</v>
          </cell>
          <cell r="BU718">
            <v>42231</v>
          </cell>
          <cell r="BV718">
            <v>42191</v>
          </cell>
          <cell r="BW718" t="str">
            <v>96.60331</v>
          </cell>
          <cell r="BX718" t="str">
            <v>16.636</v>
          </cell>
          <cell r="BY718" t="str">
            <v>C2</v>
          </cell>
          <cell r="BZ718" t="str">
            <v>Sittan Village, Kyauktan Township Yangon Division.</v>
          </cell>
          <cell r="CA718" t="str">
            <v>U Than Oo;09-420147800</v>
          </cell>
          <cell r="CB718" t="str">
            <v>6 July 15 : C2 SAR sub;YN1351 C1 access road not Okay.</v>
          </cell>
          <cell r="CC718" t="str">
            <v>RESIDENTIAL</v>
          </cell>
          <cell r="CE718">
            <v>1</v>
          </cell>
          <cell r="CF718">
            <v>42232</v>
          </cell>
          <cell r="CG718">
            <v>42192</v>
          </cell>
          <cell r="CH718">
            <v>42234</v>
          </cell>
          <cell r="CJ718">
            <v>42196</v>
          </cell>
          <cell r="CK718" t="str">
            <v>45</v>
          </cell>
          <cell r="CL718" t="str">
            <v>47</v>
          </cell>
          <cell r="CM718" t="str">
            <v>50</v>
          </cell>
          <cell r="CN718">
            <v>6</v>
          </cell>
          <cell r="CO718">
            <v>42237</v>
          </cell>
          <cell r="CP718">
            <v>42198</v>
          </cell>
          <cell r="CQ718" t="str">
            <v>M4: solar + DG + battery</v>
          </cell>
          <cell r="CR718">
            <v>2</v>
          </cell>
          <cell r="CS718">
            <v>42238</v>
          </cell>
          <cell r="CT718">
            <v>42200</v>
          </cell>
          <cell r="CU718" t="str">
            <v>YN1351</v>
          </cell>
          <cell r="DH718">
            <v>9</v>
          </cell>
          <cell r="DI718">
            <v>42248</v>
          </cell>
          <cell r="DJ718">
            <v>42209</v>
          </cell>
          <cell r="DK718">
            <v>42245</v>
          </cell>
          <cell r="DL718">
            <v>42207</v>
          </cell>
          <cell r="DM718">
            <v>42249</v>
          </cell>
          <cell r="DN718">
            <v>42207</v>
          </cell>
          <cell r="DO718">
            <v>0</v>
          </cell>
          <cell r="DP718">
            <v>42248</v>
          </cell>
          <cell r="DQ718">
            <v>42209</v>
          </cell>
          <cell r="DT718">
            <v>24</v>
          </cell>
          <cell r="DU718">
            <v>42263</v>
          </cell>
          <cell r="DW718">
            <v>0</v>
          </cell>
          <cell r="DY718">
            <v>42249</v>
          </cell>
          <cell r="DZ718">
            <v>42207</v>
          </cell>
          <cell r="EA718" t="str">
            <v>Camusat</v>
          </cell>
          <cell r="ED718" t="str">
            <v xml:space="preserve">29Jul15 :zinwin.htun: Excauvation start &amp; site cleaning start.
</v>
          </cell>
          <cell r="EE718" t="str">
            <v xml:space="preserve">10 Aug 15:Rain affected_Progress affected; 4-Aug-15:Site is affected by heavy rain								</v>
          </cell>
          <cell r="EJ718">
            <v>26</v>
          </cell>
          <cell r="EK718">
            <v>42266</v>
          </cell>
          <cell r="EL718">
            <v>42241</v>
          </cell>
          <cell r="EM718">
            <v>42267</v>
          </cell>
          <cell r="EQ718">
            <v>42276</v>
          </cell>
          <cell r="EW718">
            <v>26</v>
          </cell>
          <cell r="EX718">
            <v>42256</v>
          </cell>
          <cell r="EZ718">
            <v>42286</v>
          </cell>
          <cell r="FB718">
            <v>42288</v>
          </cell>
          <cell r="FU718">
            <v>42290</v>
          </cell>
          <cell r="FW718">
            <v>42290</v>
          </cell>
          <cell r="GI718">
            <v>42307</v>
          </cell>
          <cell r="GJ718" t="str">
            <v>44-2015</v>
          </cell>
          <cell r="GN718" t="str">
            <v>ERICSSON</v>
          </cell>
          <cell r="GS718" t="str">
            <v>4/4/4</v>
          </cell>
          <cell r="GU718" t="str">
            <v xml:space="preserve">		</v>
          </cell>
          <cell r="HD718">
            <v>1</v>
          </cell>
        </row>
        <row r="719">
          <cell r="A719" t="str">
            <v>YN1352</v>
          </cell>
          <cell r="B719" t="str">
            <v>AYYN_0026</v>
          </cell>
          <cell r="C719" t="str">
            <v>Apollo</v>
          </cell>
          <cell r="D719" t="str">
            <v>Emilio Ruiz</v>
          </cell>
          <cell r="F719" t="str">
            <v>Myat Thura Leo</v>
          </cell>
          <cell r="G719" t="str">
            <v>Han Soe Aung</v>
          </cell>
          <cell r="H719" t="str">
            <v>RED</v>
          </cell>
          <cell r="I719" t="str">
            <v>South</v>
          </cell>
          <cell r="J719" t="str">
            <v>96.5149</v>
          </cell>
          <cell r="K719" t="str">
            <v>16.5943</v>
          </cell>
          <cell r="L719" t="str">
            <v>Rural</v>
          </cell>
          <cell r="M719" t="str">
            <v>Yangon South</v>
          </cell>
          <cell r="N719" t="str">
            <v>Kyauktan</v>
          </cell>
          <cell r="O719" t="str">
            <v>Kyauktan</v>
          </cell>
          <cell r="P719" t="str">
            <v>Yangon 3</v>
          </cell>
          <cell r="Q719" t="str">
            <v>17</v>
          </cell>
          <cell r="R719" t="str">
            <v>Kyauktan</v>
          </cell>
          <cell r="S719" t="str">
            <v>220</v>
          </cell>
          <cell r="T719" t="str">
            <v>GSM+UMTS</v>
          </cell>
          <cell r="W719" t="str">
            <v>Ph2-Priority</v>
          </cell>
          <cell r="X719" t="str">
            <v>45</v>
          </cell>
          <cell r="Y719" t="str">
            <v>47</v>
          </cell>
          <cell r="Z719" t="str">
            <v>GBT</v>
          </cell>
          <cell r="AA719" t="str">
            <v>500</v>
          </cell>
          <cell r="AB719" t="str">
            <v>Access</v>
          </cell>
          <cell r="AC719" t="str">
            <v>Class C</v>
          </cell>
          <cell r="BE719" t="str">
            <v>Spur from Yangon Ring 1 (2km)</v>
          </cell>
          <cell r="BH719" t="str">
            <v>Camusat</v>
          </cell>
          <cell r="BJ719">
            <v>42141</v>
          </cell>
          <cell r="BK719">
            <v>42130</v>
          </cell>
          <cell r="BL719">
            <v>42146</v>
          </cell>
          <cell r="BM719">
            <v>42139</v>
          </cell>
          <cell r="BT719">
            <v>103</v>
          </cell>
          <cell r="BU719">
            <v>42199</v>
          </cell>
          <cell r="BV719">
            <v>42236</v>
          </cell>
          <cell r="BW719" t="str">
            <v>96.51517</v>
          </cell>
          <cell r="BX719" t="str">
            <v>16.60047</v>
          </cell>
          <cell r="BY719" t="str">
            <v>C5</v>
          </cell>
          <cell r="BZ719" t="str">
            <v>No. 565, Kha Naung Village, Kyauktan Township, Yangon Division.</v>
          </cell>
          <cell r="CA719" t="str">
            <v>U Myint Swe, 09-420207155</v>
          </cell>
          <cell r="CB719" t="str">
            <v>20 Aug 15 : C5 SAR sub;13 Aug 15: C1 deactivate because of After legal Validation, site has been rejected due to paddy Land issue;26 May 15 : C1 SAR app;25May15: C1 SAR Sub</v>
          </cell>
          <cell r="CC719" t="str">
            <v>Residential land</v>
          </cell>
          <cell r="CD719" t="str">
            <v>10</v>
          </cell>
          <cell r="CE719">
            <v>0</v>
          </cell>
          <cell r="CF719">
            <v>42200</v>
          </cell>
          <cell r="CG719">
            <v>42240</v>
          </cell>
          <cell r="CH719">
            <v>42202</v>
          </cell>
          <cell r="CJ719">
            <v>42242</v>
          </cell>
          <cell r="CK719" t="str">
            <v>45</v>
          </cell>
          <cell r="CL719" t="str">
            <v>47</v>
          </cell>
          <cell r="CM719" t="str">
            <v>50</v>
          </cell>
          <cell r="CN719">
            <v>0</v>
          </cell>
          <cell r="CO719">
            <v>42205</v>
          </cell>
          <cell r="CP719">
            <v>42244</v>
          </cell>
          <cell r="CQ719" t="str">
            <v>M1: grid power + battery</v>
          </cell>
          <cell r="CR719">
            <v>0</v>
          </cell>
          <cell r="CS719">
            <v>42206</v>
          </cell>
          <cell r="CT719">
            <v>42248</v>
          </cell>
          <cell r="CU719" t="str">
            <v>YN1352</v>
          </cell>
          <cell r="DH719">
            <v>0</v>
          </cell>
          <cell r="DI719">
            <v>42216</v>
          </cell>
          <cell r="DK719">
            <v>42213</v>
          </cell>
          <cell r="DM719">
            <v>42217</v>
          </cell>
          <cell r="DO719">
            <v>0</v>
          </cell>
          <cell r="DP719">
            <v>42216</v>
          </cell>
          <cell r="DT719">
            <v>0</v>
          </cell>
          <cell r="DU719">
            <v>42231</v>
          </cell>
          <cell r="DW719">
            <v>0</v>
          </cell>
          <cell r="DY719">
            <v>42217</v>
          </cell>
          <cell r="EA719" t="str">
            <v>Camusat</v>
          </cell>
          <cell r="EJ719">
            <v>0</v>
          </cell>
          <cell r="EK719">
            <v>42234</v>
          </cell>
          <cell r="EM719">
            <v>42235</v>
          </cell>
          <cell r="EQ719">
            <v>42244</v>
          </cell>
          <cell r="EW719">
            <v>0</v>
          </cell>
          <cell r="EX719">
            <v>42258</v>
          </cell>
          <cell r="EZ719">
            <v>42254</v>
          </cell>
          <cell r="FB719">
            <v>42256</v>
          </cell>
          <cell r="FU719">
            <v>42258</v>
          </cell>
          <cell r="FW719">
            <v>42258</v>
          </cell>
          <cell r="GJ719">
            <v>0</v>
          </cell>
          <cell r="GN719" t="str">
            <v>ERICSSON</v>
          </cell>
          <cell r="GO719">
            <v>42166</v>
          </cell>
          <cell r="GS719" t="str">
            <v>4/4/4</v>
          </cell>
          <cell r="GU719" t="str">
            <v xml:space="preserve">		</v>
          </cell>
          <cell r="HD719">
            <v>1</v>
          </cell>
        </row>
        <row r="720">
          <cell r="A720" t="str">
            <v>YN1353</v>
          </cell>
          <cell r="B720" t="str">
            <v>AYYN_0027</v>
          </cell>
          <cell r="C720" t="str">
            <v>Apollo</v>
          </cell>
          <cell r="D720" t="str">
            <v>Emilio Ruiz</v>
          </cell>
          <cell r="F720" t="str">
            <v>Myat Thura Leo</v>
          </cell>
          <cell r="G720" t="str">
            <v>Han Soe Aung</v>
          </cell>
          <cell r="H720" t="str">
            <v>AMBER</v>
          </cell>
          <cell r="I720" t="str">
            <v>South</v>
          </cell>
          <cell r="J720" t="str">
            <v>96.6204</v>
          </cell>
          <cell r="K720" t="str">
            <v>16.6608</v>
          </cell>
          <cell r="L720" t="str">
            <v>Rural</v>
          </cell>
          <cell r="M720" t="str">
            <v>Yangon South</v>
          </cell>
          <cell r="N720" t="str">
            <v>Kyauktan</v>
          </cell>
          <cell r="O720" t="str">
            <v>Kyauktan</v>
          </cell>
          <cell r="P720" t="str">
            <v>Yangon 3</v>
          </cell>
          <cell r="Q720" t="str">
            <v>17</v>
          </cell>
          <cell r="R720" t="str">
            <v>Kyauktan</v>
          </cell>
          <cell r="S720" t="str">
            <v>220</v>
          </cell>
          <cell r="T720" t="str">
            <v>GSM+UMTS</v>
          </cell>
          <cell r="W720" t="str">
            <v>Ph2-Priority</v>
          </cell>
          <cell r="X720" t="str">
            <v>45</v>
          </cell>
          <cell r="Y720" t="str">
            <v>47</v>
          </cell>
          <cell r="Z720" t="str">
            <v>GBT</v>
          </cell>
          <cell r="AA720" t="str">
            <v>500</v>
          </cell>
          <cell r="AB720" t="str">
            <v>Access</v>
          </cell>
          <cell r="AC720" t="str">
            <v>Class C</v>
          </cell>
          <cell r="BE720" t="str">
            <v>Yangon Ring 4</v>
          </cell>
          <cell r="BH720" t="str">
            <v>Camusat</v>
          </cell>
          <cell r="BJ720">
            <v>42165</v>
          </cell>
          <cell r="BK720">
            <v>42136</v>
          </cell>
          <cell r="BL720">
            <v>42170</v>
          </cell>
          <cell r="BM720">
            <v>42143</v>
          </cell>
          <cell r="BT720">
            <v>17</v>
          </cell>
          <cell r="BU720">
            <v>42199</v>
          </cell>
          <cell r="BV720">
            <v>42153</v>
          </cell>
          <cell r="BW720" t="str">
            <v>96.62224</v>
          </cell>
          <cell r="BX720" t="str">
            <v>16.66018</v>
          </cell>
          <cell r="BY720" t="str">
            <v>C1</v>
          </cell>
          <cell r="BZ720" t="str">
            <v>No. 74, U Paing No. (35/2), Ywar Lal Street, Poke Ta Lote Village, Kyauktan Township, Yangon Division.</v>
          </cell>
          <cell r="CA720" t="str">
            <v>U Khin Zaw Lay;No. 74, Ywar Lal Street, Poke Ta Lote Village, Kyauktan Township, Yangon Division;09-8611090, 09-5084912</v>
          </cell>
          <cell r="CB720" t="str">
            <v>29May15: C1 SAR Sub</v>
          </cell>
          <cell r="CC720" t="str">
            <v>Garden land</v>
          </cell>
          <cell r="CE720">
            <v>3</v>
          </cell>
          <cell r="CF720">
            <v>42200</v>
          </cell>
          <cell r="CG720">
            <v>42156</v>
          </cell>
          <cell r="CH720">
            <v>42202</v>
          </cell>
          <cell r="CJ720">
            <v>42161</v>
          </cell>
          <cell r="CK720" t="str">
            <v>45</v>
          </cell>
          <cell r="CL720" t="str">
            <v>47</v>
          </cell>
          <cell r="CM720" t="str">
            <v>45</v>
          </cell>
          <cell r="CN720">
            <v>7</v>
          </cell>
          <cell r="CO720">
            <v>42205</v>
          </cell>
          <cell r="CP720">
            <v>42163</v>
          </cell>
          <cell r="CQ720" t="str">
            <v>M4: solar + DG + battery</v>
          </cell>
          <cell r="CR720">
            <v>3</v>
          </cell>
          <cell r="CS720">
            <v>42206</v>
          </cell>
          <cell r="CT720">
            <v>42166</v>
          </cell>
          <cell r="CU720" t="str">
            <v>YN1353</v>
          </cell>
          <cell r="DH720">
            <v>9</v>
          </cell>
          <cell r="DI720">
            <v>42216</v>
          </cell>
          <cell r="DJ720">
            <v>42175</v>
          </cell>
          <cell r="DK720">
            <v>42213</v>
          </cell>
          <cell r="DL720">
            <v>42178</v>
          </cell>
          <cell r="DM720">
            <v>42217</v>
          </cell>
          <cell r="DN720">
            <v>42178</v>
          </cell>
          <cell r="DO720">
            <v>0</v>
          </cell>
          <cell r="DP720">
            <v>42216</v>
          </cell>
          <cell r="DQ720">
            <v>42175</v>
          </cell>
          <cell r="DT720">
            <v>58</v>
          </cell>
          <cell r="DU720">
            <v>42231</v>
          </cell>
          <cell r="DW720">
            <v>0</v>
          </cell>
          <cell r="DY720">
            <v>42217</v>
          </cell>
          <cell r="DZ720">
            <v>42179</v>
          </cell>
          <cell r="EA720" t="str">
            <v>Camusat</v>
          </cell>
          <cell r="EB720">
            <v>42219</v>
          </cell>
          <cell r="ED720" t="str">
            <v xml:space="preserve">29Jul15 :zinwin.htun: Excauvation ongoing.Soil collapse in the excauvation pit &amp; removing ongoing.
</v>
          </cell>
          <cell r="EE720" t="str">
            <v xml:space="preserve">10 Aug 15:Rain affected_Progress affected; 4-Aug-15:Site is affected by heavy rain								</v>
          </cell>
          <cell r="EJ720">
            <v>54</v>
          </cell>
          <cell r="EK720">
            <v>42234</v>
          </cell>
          <cell r="EL720">
            <v>42201</v>
          </cell>
          <cell r="EM720">
            <v>42235</v>
          </cell>
          <cell r="EN720">
            <v>42202</v>
          </cell>
          <cell r="EQ720">
            <v>42244</v>
          </cell>
          <cell r="ER720">
            <v>42210</v>
          </cell>
          <cell r="ES720">
            <v>42218</v>
          </cell>
          <cell r="ET720">
            <v>42218</v>
          </cell>
          <cell r="EU720">
            <v>42218</v>
          </cell>
          <cell r="EW720">
            <v>54</v>
          </cell>
          <cell r="EX720">
            <v>42258</v>
          </cell>
          <cell r="EZ720">
            <v>42254</v>
          </cell>
          <cell r="FA720">
            <v>42226</v>
          </cell>
          <cell r="FB720">
            <v>42256</v>
          </cell>
          <cell r="FC720">
            <v>42227</v>
          </cell>
          <cell r="FE720">
            <v>42193</v>
          </cell>
          <cell r="FU720">
            <v>42258</v>
          </cell>
          <cell r="FW720">
            <v>42258</v>
          </cell>
          <cell r="FX720">
            <v>42229</v>
          </cell>
          <cell r="FY720" t="str">
            <v>TN</v>
          </cell>
          <cell r="FZ720">
            <v>42205</v>
          </cell>
          <cell r="GA720">
            <v>42206</v>
          </cell>
          <cell r="GB720">
            <v>42208</v>
          </cell>
          <cell r="GC720">
            <v>42219</v>
          </cell>
          <cell r="GD720">
            <v>42220</v>
          </cell>
          <cell r="GE720">
            <v>42208</v>
          </cell>
          <cell r="GF720">
            <v>42229</v>
          </cell>
          <cell r="GG720">
            <v>42229</v>
          </cell>
          <cell r="GH720">
            <v>42229</v>
          </cell>
          <cell r="GI720">
            <v>42277</v>
          </cell>
          <cell r="GJ720" t="str">
            <v>40-2015</v>
          </cell>
          <cell r="GK720">
            <v>42229</v>
          </cell>
          <cell r="GN720" t="str">
            <v>ERICSSON</v>
          </cell>
          <cell r="GO720">
            <v>42166</v>
          </cell>
          <cell r="GS720" t="str">
            <v>4/4/4</v>
          </cell>
          <cell r="GU720" t="str">
            <v xml:space="preserve">		</v>
          </cell>
          <cell r="HD720">
            <v>1</v>
          </cell>
        </row>
        <row r="721">
          <cell r="A721" t="str">
            <v>YN1354</v>
          </cell>
          <cell r="B721" t="str">
            <v>AYYN_0028</v>
          </cell>
          <cell r="C721" t="str">
            <v>Apollo</v>
          </cell>
          <cell r="D721" t="str">
            <v>Emilio Ruiz</v>
          </cell>
          <cell r="F721" t="str">
            <v>Myat Thura Leo</v>
          </cell>
          <cell r="G721" t="str">
            <v>Han Soe Aung</v>
          </cell>
          <cell r="H721" t="str">
            <v>RED</v>
          </cell>
          <cell r="I721" t="str">
            <v>South</v>
          </cell>
          <cell r="J721" t="str">
            <v>96.369</v>
          </cell>
          <cell r="K721" t="str">
            <v>16.8289</v>
          </cell>
          <cell r="L721" t="str">
            <v>Rural</v>
          </cell>
          <cell r="M721" t="str">
            <v>Yangon South</v>
          </cell>
          <cell r="N721" t="str">
            <v>Thanlyin</v>
          </cell>
          <cell r="O721" t="str">
            <v>Thanlyin</v>
          </cell>
          <cell r="P721" t="str">
            <v>Yangon 3</v>
          </cell>
          <cell r="Q721" t="str">
            <v>17</v>
          </cell>
          <cell r="R721" t="str">
            <v>Thanlyin</v>
          </cell>
          <cell r="S721" t="str">
            <v>219</v>
          </cell>
          <cell r="T721" t="str">
            <v>GSM+UMTS</v>
          </cell>
          <cell r="W721" t="str">
            <v>Ph2-Priority</v>
          </cell>
          <cell r="X721" t="str">
            <v>45</v>
          </cell>
          <cell r="Y721" t="str">
            <v>47</v>
          </cell>
          <cell r="Z721" t="str">
            <v>GBT</v>
          </cell>
          <cell r="AA721" t="str">
            <v>500</v>
          </cell>
          <cell r="AB721" t="str">
            <v>Access</v>
          </cell>
          <cell r="AC721" t="str">
            <v>Class C</v>
          </cell>
          <cell r="BH721" t="str">
            <v>Camusat</v>
          </cell>
          <cell r="BJ721">
            <v>42141</v>
          </cell>
          <cell r="BK721">
            <v>42130</v>
          </cell>
          <cell r="BL721">
            <v>42146</v>
          </cell>
          <cell r="BM721">
            <v>42176</v>
          </cell>
          <cell r="BT721">
            <v>96</v>
          </cell>
          <cell r="BU721">
            <v>42199</v>
          </cell>
          <cell r="BV721">
            <v>42226</v>
          </cell>
          <cell r="BW721" t="str">
            <v>96.36792</v>
          </cell>
          <cell r="BX721" t="str">
            <v>16.8308</v>
          </cell>
          <cell r="BY721" t="str">
            <v>C3</v>
          </cell>
          <cell r="BZ721" t="str">
            <v>Sittan Village, Kyauktan Township Yangon Division.</v>
          </cell>
          <cell r="CA721" t="str">
            <v>U Than Oo;09-420147800</v>
          </cell>
          <cell r="CB721" t="str">
            <v>10 Aug 15 : C3 SAR sub(C1 REJECTED AT);4 Jun 15 : C1 TSSR app;3 Jun 15 : C1 TSSR sub;26 May 15 : C1 SAR app;25May15: C1 SAR Sub</v>
          </cell>
          <cell r="CC721" t="str">
            <v>RESIDENTIAL</v>
          </cell>
          <cell r="CE721">
            <v>2</v>
          </cell>
          <cell r="CF721">
            <v>42200</v>
          </cell>
          <cell r="CG721">
            <v>42228</v>
          </cell>
          <cell r="CH721">
            <v>42202</v>
          </cell>
          <cell r="CJ721">
            <v>42231</v>
          </cell>
          <cell r="CK721" t="str">
            <v>45</v>
          </cell>
          <cell r="CL721" t="str">
            <v>47</v>
          </cell>
          <cell r="CM721" t="str">
            <v>50</v>
          </cell>
          <cell r="CN721">
            <v>5</v>
          </cell>
          <cell r="CO721">
            <v>42205</v>
          </cell>
          <cell r="CP721">
            <v>42233</v>
          </cell>
          <cell r="CQ721" t="str">
            <v>M4: solar + DG + battery</v>
          </cell>
          <cell r="CR721">
            <v>0</v>
          </cell>
          <cell r="CS721">
            <v>42206</v>
          </cell>
          <cell r="CT721">
            <v>42235</v>
          </cell>
          <cell r="CU721" t="str">
            <v>YN1354</v>
          </cell>
          <cell r="DH721">
            <v>0</v>
          </cell>
          <cell r="DI721">
            <v>42216</v>
          </cell>
          <cell r="DJ721">
            <v>42209</v>
          </cell>
          <cell r="DK721">
            <v>42213</v>
          </cell>
          <cell r="DL721">
            <v>42207</v>
          </cell>
          <cell r="DM721">
            <v>42217</v>
          </cell>
          <cell r="DN721">
            <v>42207</v>
          </cell>
          <cell r="DO721">
            <v>0</v>
          </cell>
          <cell r="DP721">
            <v>42216</v>
          </cell>
          <cell r="DQ721">
            <v>42166</v>
          </cell>
          <cell r="DT721">
            <v>0</v>
          </cell>
          <cell r="DU721">
            <v>42231</v>
          </cell>
          <cell r="DW721">
            <v>0</v>
          </cell>
          <cell r="DY721">
            <v>42217</v>
          </cell>
          <cell r="DZ721">
            <v>42243</v>
          </cell>
          <cell r="EA721" t="str">
            <v>Camusat</v>
          </cell>
          <cell r="ED721" t="str">
            <v xml:space="preserve">02Sep15 :HanSoe.Aung: Excavation work is ongoing  and preparing to make retaining wall to protect land slide.For rebar work, cutting materials.
</v>
          </cell>
          <cell r="EE721" t="str">
            <v xml:space="preserve">10 Aug 15:Rain affected_Progress affected; 4-Aug-15:Site is affected by heavy rain								</v>
          </cell>
          <cell r="EJ721">
            <v>0</v>
          </cell>
          <cell r="EK721">
            <v>42234</v>
          </cell>
          <cell r="EM721">
            <v>42235</v>
          </cell>
          <cell r="EQ721">
            <v>42244</v>
          </cell>
          <cell r="EW721">
            <v>0</v>
          </cell>
          <cell r="EX721">
            <v>42258</v>
          </cell>
          <cell r="EZ721">
            <v>42254</v>
          </cell>
          <cell r="FB721">
            <v>42256</v>
          </cell>
          <cell r="FU721">
            <v>42258</v>
          </cell>
          <cell r="FW721">
            <v>42258</v>
          </cell>
          <cell r="GJ721">
            <v>0</v>
          </cell>
          <cell r="GS721" t="str">
            <v>4/4/4</v>
          </cell>
          <cell r="GU721" t="str">
            <v xml:space="preserve">		</v>
          </cell>
          <cell r="HD721">
            <v>1</v>
          </cell>
        </row>
        <row r="725">
          <cell r="A725" t="str">
            <v>KA0263</v>
          </cell>
        </row>
      </sheetData>
      <sheetData sheetId="2" refreshError="1"/>
      <sheetData sheetId="3" refreshError="1">
        <row r="1">
          <cell r="C1" t="b">
            <v>1</v>
          </cell>
        </row>
        <row r="6">
          <cell r="A6" t="str">
            <v>AY0907</v>
          </cell>
        </row>
        <row r="7">
          <cell r="A7" t="str">
            <v>AY0908</v>
          </cell>
        </row>
        <row r="8">
          <cell r="A8" t="str">
            <v>AY0909</v>
          </cell>
        </row>
        <row r="9">
          <cell r="A9" t="str">
            <v>AY0910</v>
          </cell>
        </row>
        <row r="10">
          <cell r="A10" t="str">
            <v>AY0911</v>
          </cell>
        </row>
        <row r="11">
          <cell r="A11" t="str">
            <v>AY0912</v>
          </cell>
        </row>
        <row r="12">
          <cell r="A12" t="str">
            <v>AY0914</v>
          </cell>
        </row>
        <row r="13">
          <cell r="A13" t="str">
            <v>AY0915</v>
          </cell>
        </row>
        <row r="14">
          <cell r="A14" t="str">
            <v>AY0918</v>
          </cell>
        </row>
        <row r="15">
          <cell r="A15" t="str">
            <v>AY0925</v>
          </cell>
        </row>
        <row r="16">
          <cell r="A16" t="str">
            <v>AY0927</v>
          </cell>
        </row>
        <row r="17">
          <cell r="A17" t="str">
            <v>AY0928</v>
          </cell>
        </row>
        <row r="18">
          <cell r="A18" t="str">
            <v>AY0929</v>
          </cell>
        </row>
        <row r="19">
          <cell r="A19" t="str">
            <v>AY0930</v>
          </cell>
        </row>
        <row r="20">
          <cell r="A20" t="str">
            <v>AY0931</v>
          </cell>
        </row>
        <row r="21">
          <cell r="A21" t="str">
            <v>AY0934</v>
          </cell>
        </row>
        <row r="22">
          <cell r="A22" t="str">
            <v>AY0944</v>
          </cell>
        </row>
        <row r="23">
          <cell r="A23" t="str">
            <v>AY0949</v>
          </cell>
        </row>
        <row r="24">
          <cell r="A24" t="str">
            <v>AY0951</v>
          </cell>
        </row>
        <row r="25">
          <cell r="A25" t="str">
            <v>AY0955</v>
          </cell>
        </row>
        <row r="26">
          <cell r="A26" t="str">
            <v>AY0961</v>
          </cell>
        </row>
        <row r="27">
          <cell r="A27" t="str">
            <v>AY0964</v>
          </cell>
        </row>
        <row r="28">
          <cell r="A28" t="str">
            <v>AY0965</v>
          </cell>
        </row>
        <row r="29">
          <cell r="A29" t="str">
            <v>AY0966</v>
          </cell>
        </row>
        <row r="30">
          <cell r="A30" t="str">
            <v>AY0967</v>
          </cell>
        </row>
        <row r="31">
          <cell r="A31" t="str">
            <v>AY0968</v>
          </cell>
        </row>
        <row r="32">
          <cell r="A32" t="str">
            <v>AY0971</v>
          </cell>
        </row>
        <row r="33">
          <cell r="A33" t="str">
            <v>AY0973</v>
          </cell>
        </row>
        <row r="34">
          <cell r="A34" t="str">
            <v>AY0976</v>
          </cell>
        </row>
        <row r="35">
          <cell r="A35" t="str">
            <v>AY0977</v>
          </cell>
        </row>
        <row r="36">
          <cell r="A36" t="str">
            <v>AY0978</v>
          </cell>
        </row>
        <row r="37">
          <cell r="A37" t="str">
            <v>AY0979</v>
          </cell>
        </row>
        <row r="38">
          <cell r="A38" t="str">
            <v>AY0980</v>
          </cell>
        </row>
        <row r="39">
          <cell r="A39" t="str">
            <v>AY0990</v>
          </cell>
        </row>
        <row r="40">
          <cell r="A40" t="str">
            <v>AY0993</v>
          </cell>
        </row>
        <row r="41">
          <cell r="A41" t="str">
            <v>AY0999</v>
          </cell>
        </row>
        <row r="42">
          <cell r="A42" t="str">
            <v>AY1002</v>
          </cell>
        </row>
        <row r="43">
          <cell r="A43" t="str">
            <v>AY1003</v>
          </cell>
        </row>
        <row r="44">
          <cell r="A44" t="str">
            <v>AY1015</v>
          </cell>
        </row>
        <row r="45">
          <cell r="A45" t="str">
            <v>AY1018</v>
          </cell>
        </row>
        <row r="46">
          <cell r="A46" t="str">
            <v>AY1019</v>
          </cell>
        </row>
        <row r="47">
          <cell r="A47" t="str">
            <v>AY1020</v>
          </cell>
        </row>
        <row r="48">
          <cell r="A48" t="str">
            <v>AY1021</v>
          </cell>
        </row>
        <row r="49">
          <cell r="A49" t="str">
            <v>AY1025</v>
          </cell>
        </row>
        <row r="50">
          <cell r="A50" t="str">
            <v>AY1027</v>
          </cell>
        </row>
        <row r="51">
          <cell r="A51" t="str">
            <v>AY1028</v>
          </cell>
        </row>
        <row r="52">
          <cell r="A52" t="str">
            <v>AY1033</v>
          </cell>
        </row>
        <row r="53">
          <cell r="A53" t="str">
            <v>AY1035</v>
          </cell>
        </row>
        <row r="54">
          <cell r="A54" t="str">
            <v>AY1036</v>
          </cell>
        </row>
        <row r="55">
          <cell r="A55" t="str">
            <v>AY1038</v>
          </cell>
        </row>
        <row r="56">
          <cell r="A56" t="str">
            <v>AY1039</v>
          </cell>
        </row>
        <row r="57">
          <cell r="A57" t="str">
            <v>AY1042</v>
          </cell>
        </row>
        <row r="58">
          <cell r="A58" t="str">
            <v>AY1046</v>
          </cell>
        </row>
        <row r="59">
          <cell r="A59" t="str">
            <v>AY1047</v>
          </cell>
        </row>
        <row r="60">
          <cell r="A60" t="str">
            <v>AY1048</v>
          </cell>
        </row>
        <row r="61">
          <cell r="A61" t="str">
            <v>AY1049</v>
          </cell>
        </row>
        <row r="62">
          <cell r="A62" t="str">
            <v>AY1051</v>
          </cell>
        </row>
        <row r="63">
          <cell r="A63" t="str">
            <v>AY1052</v>
          </cell>
        </row>
        <row r="64">
          <cell r="A64" t="str">
            <v>AY1053</v>
          </cell>
        </row>
        <row r="65">
          <cell r="A65" t="str">
            <v>AY1057</v>
          </cell>
        </row>
        <row r="66">
          <cell r="A66" t="str">
            <v>AY1058</v>
          </cell>
        </row>
        <row r="67">
          <cell r="A67" t="str">
            <v>AY1064</v>
          </cell>
        </row>
        <row r="68">
          <cell r="A68" t="str">
            <v>AY1065</v>
          </cell>
        </row>
        <row r="69">
          <cell r="A69" t="str">
            <v>AY1072</v>
          </cell>
        </row>
        <row r="70">
          <cell r="A70" t="str">
            <v>AY1074</v>
          </cell>
        </row>
        <row r="71">
          <cell r="A71" t="str">
            <v>AY1075</v>
          </cell>
        </row>
        <row r="72">
          <cell r="A72" t="str">
            <v>AY1076</v>
          </cell>
        </row>
        <row r="73">
          <cell r="A73" t="str">
            <v>AY1077</v>
          </cell>
        </row>
        <row r="74">
          <cell r="A74" t="str">
            <v>AY1078</v>
          </cell>
        </row>
        <row r="75">
          <cell r="A75" t="str">
            <v>AY1079</v>
          </cell>
        </row>
        <row r="76">
          <cell r="A76" t="str">
            <v>AY1082</v>
          </cell>
        </row>
        <row r="77">
          <cell r="A77" t="str">
            <v>AY1088</v>
          </cell>
        </row>
        <row r="78">
          <cell r="A78" t="str">
            <v>AY1089</v>
          </cell>
        </row>
        <row r="79">
          <cell r="A79" t="str">
            <v>AY1090</v>
          </cell>
        </row>
        <row r="80">
          <cell r="A80" t="str">
            <v>AY1091</v>
          </cell>
        </row>
        <row r="81">
          <cell r="A81" t="str">
            <v>AY1093</v>
          </cell>
        </row>
        <row r="82">
          <cell r="A82" t="str">
            <v>BA0490</v>
          </cell>
        </row>
        <row r="83">
          <cell r="A83" t="str">
            <v>BA0508</v>
          </cell>
        </row>
        <row r="84">
          <cell r="A84" t="str">
            <v>BA0549</v>
          </cell>
        </row>
        <row r="85">
          <cell r="A85" t="str">
            <v>BA0560</v>
          </cell>
        </row>
        <row r="86">
          <cell r="A86" t="str">
            <v>BA0570</v>
          </cell>
        </row>
        <row r="87">
          <cell r="A87" t="str">
            <v>BA0577</v>
          </cell>
        </row>
        <row r="88">
          <cell r="A88" t="str">
            <v>BA0678</v>
          </cell>
        </row>
        <row r="89">
          <cell r="A89" t="str">
            <v>BA0679</v>
          </cell>
        </row>
        <row r="90">
          <cell r="A90" t="str">
            <v>BA0681</v>
          </cell>
        </row>
        <row r="91">
          <cell r="A91" t="str">
            <v>BA0700</v>
          </cell>
        </row>
        <row r="92">
          <cell r="A92" t="str">
            <v>BA0703</v>
          </cell>
        </row>
        <row r="93">
          <cell r="A93" t="str">
            <v>BA0704</v>
          </cell>
        </row>
        <row r="94">
          <cell r="A94" t="str">
            <v>BA0714</v>
          </cell>
        </row>
        <row r="95">
          <cell r="A95" t="str">
            <v>BA0715</v>
          </cell>
        </row>
        <row r="96">
          <cell r="A96" t="str">
            <v>BA0716</v>
          </cell>
        </row>
        <row r="97">
          <cell r="A97" t="str">
            <v>BA0720</v>
          </cell>
        </row>
        <row r="98">
          <cell r="A98" t="str">
            <v>BA0734</v>
          </cell>
        </row>
        <row r="99">
          <cell r="A99" t="str">
            <v>BA0740</v>
          </cell>
        </row>
        <row r="100">
          <cell r="A100" t="str">
            <v>BA0747</v>
          </cell>
        </row>
        <row r="101">
          <cell r="A101" t="str">
            <v>BA0748</v>
          </cell>
        </row>
        <row r="102">
          <cell r="A102" t="str">
            <v>BA0758</v>
          </cell>
        </row>
        <row r="103">
          <cell r="A103" t="str">
            <v>BA0759</v>
          </cell>
        </row>
        <row r="104">
          <cell r="A104" t="str">
            <v>BA0760</v>
          </cell>
        </row>
        <row r="105">
          <cell r="A105" t="str">
            <v>BA0761</v>
          </cell>
        </row>
        <row r="106">
          <cell r="A106" t="str">
            <v>BA0762</v>
          </cell>
        </row>
        <row r="107">
          <cell r="A107" t="str">
            <v>BA0763</v>
          </cell>
        </row>
        <row r="108">
          <cell r="A108" t="str">
            <v>BA0769</v>
          </cell>
        </row>
        <row r="109">
          <cell r="A109" t="str">
            <v>BA0771</v>
          </cell>
        </row>
        <row r="110">
          <cell r="A110" t="str">
            <v>BA0776</v>
          </cell>
        </row>
        <row r="111">
          <cell r="A111" t="str">
            <v>BA0781</v>
          </cell>
        </row>
        <row r="112">
          <cell r="A112" t="str">
            <v>BA0782</v>
          </cell>
        </row>
        <row r="113">
          <cell r="A113" t="str">
            <v>BA0783</v>
          </cell>
        </row>
        <row r="114">
          <cell r="A114" t="str">
            <v>BA0793</v>
          </cell>
        </row>
        <row r="115">
          <cell r="A115" t="str">
            <v>BA0796</v>
          </cell>
        </row>
        <row r="116">
          <cell r="A116" t="str">
            <v>BA0798</v>
          </cell>
        </row>
        <row r="117">
          <cell r="A117" t="str">
            <v>BA0799</v>
          </cell>
        </row>
        <row r="118">
          <cell r="A118" t="str">
            <v>BA0801</v>
          </cell>
        </row>
        <row r="119">
          <cell r="A119" t="str">
            <v>BA0802</v>
          </cell>
        </row>
        <row r="120">
          <cell r="A120" t="str">
            <v>BA0811</v>
          </cell>
        </row>
        <row r="121">
          <cell r="A121" t="str">
            <v>BA0812</v>
          </cell>
        </row>
        <row r="122">
          <cell r="A122" t="str">
            <v>BA0813</v>
          </cell>
        </row>
        <row r="123">
          <cell r="A123" t="str">
            <v>BA0815</v>
          </cell>
        </row>
        <row r="124">
          <cell r="A124" t="str">
            <v>BA0816</v>
          </cell>
        </row>
        <row r="125">
          <cell r="A125" t="str">
            <v>BA0818</v>
          </cell>
        </row>
        <row r="126">
          <cell r="A126" t="str">
            <v>BA0820</v>
          </cell>
        </row>
        <row r="127">
          <cell r="A127" t="str">
            <v>BA0821</v>
          </cell>
        </row>
        <row r="128">
          <cell r="A128" t="str">
            <v>BA0822</v>
          </cell>
        </row>
        <row r="129">
          <cell r="A129" t="str">
            <v>BA0823</v>
          </cell>
        </row>
        <row r="130">
          <cell r="A130" t="str">
            <v>BA0824</v>
          </cell>
        </row>
        <row r="131">
          <cell r="A131" t="str">
            <v>BA0825</v>
          </cell>
        </row>
        <row r="132">
          <cell r="A132" t="str">
            <v>BA0826</v>
          </cell>
        </row>
        <row r="133">
          <cell r="A133" t="str">
            <v>BA0827</v>
          </cell>
        </row>
        <row r="134">
          <cell r="A134" t="str">
            <v>BA0828</v>
          </cell>
        </row>
        <row r="135">
          <cell r="A135" t="str">
            <v>BA0829</v>
          </cell>
        </row>
        <row r="136">
          <cell r="A136" t="str">
            <v>BA0830</v>
          </cell>
        </row>
        <row r="137">
          <cell r="A137" t="str">
            <v>BA0831</v>
          </cell>
        </row>
        <row r="138">
          <cell r="A138" t="str">
            <v>BA0832</v>
          </cell>
        </row>
        <row r="139">
          <cell r="A139" t="str">
            <v>BA0833</v>
          </cell>
        </row>
        <row r="140">
          <cell r="A140" t="str">
            <v>BA0834</v>
          </cell>
        </row>
        <row r="141">
          <cell r="A141" t="str">
            <v>BA0835</v>
          </cell>
        </row>
        <row r="142">
          <cell r="A142" t="str">
            <v>BA0836</v>
          </cell>
        </row>
        <row r="143">
          <cell r="A143" t="str">
            <v>BA0837</v>
          </cell>
        </row>
        <row r="144">
          <cell r="A144" t="str">
            <v>BA0838</v>
          </cell>
        </row>
        <row r="145">
          <cell r="A145" t="str">
            <v>BA0840</v>
          </cell>
        </row>
        <row r="146">
          <cell r="A146" t="str">
            <v>BA0844</v>
          </cell>
        </row>
        <row r="147">
          <cell r="A147" t="str">
            <v>BA0847</v>
          </cell>
        </row>
        <row r="148">
          <cell r="A148" t="str">
            <v>BA0848</v>
          </cell>
        </row>
        <row r="149">
          <cell r="A149" t="str">
            <v>BA0850</v>
          </cell>
        </row>
        <row r="150">
          <cell r="A150" t="str">
            <v>BA0851</v>
          </cell>
        </row>
        <row r="151">
          <cell r="A151" t="str">
            <v>BA0852</v>
          </cell>
        </row>
        <row r="152">
          <cell r="A152" t="str">
            <v>BA0853</v>
          </cell>
        </row>
        <row r="153">
          <cell r="A153" t="str">
            <v>BA0859</v>
          </cell>
        </row>
        <row r="154">
          <cell r="A154" t="str">
            <v>BA0861</v>
          </cell>
        </row>
        <row r="155">
          <cell r="A155" t="str">
            <v>BA0863</v>
          </cell>
        </row>
        <row r="156">
          <cell r="A156" t="str">
            <v>BA0865</v>
          </cell>
        </row>
        <row r="157">
          <cell r="A157" t="str">
            <v>BA0872</v>
          </cell>
        </row>
        <row r="158">
          <cell r="A158" t="str">
            <v>BA0874</v>
          </cell>
        </row>
        <row r="159">
          <cell r="A159" t="str">
            <v>BA0875</v>
          </cell>
        </row>
        <row r="160">
          <cell r="A160" t="str">
            <v>BA0881</v>
          </cell>
        </row>
        <row r="161">
          <cell r="A161" t="str">
            <v>BA0882</v>
          </cell>
        </row>
        <row r="162">
          <cell r="A162" t="str">
            <v>BA0889</v>
          </cell>
        </row>
        <row r="163">
          <cell r="A163" t="str">
            <v>BA0892</v>
          </cell>
        </row>
        <row r="164">
          <cell r="A164" t="str">
            <v>BA0893</v>
          </cell>
        </row>
        <row r="165">
          <cell r="A165" t="str">
            <v>BA0894</v>
          </cell>
        </row>
        <row r="166">
          <cell r="A166" t="str">
            <v>BA0895</v>
          </cell>
        </row>
        <row r="167">
          <cell r="A167" t="str">
            <v>BA0902</v>
          </cell>
        </row>
        <row r="168">
          <cell r="A168" t="str">
            <v>BA0903</v>
          </cell>
        </row>
        <row r="169">
          <cell r="A169" t="str">
            <v>BA0905</v>
          </cell>
        </row>
        <row r="170">
          <cell r="A170" t="str">
            <v>BA0906</v>
          </cell>
        </row>
        <row r="171">
          <cell r="A171" t="str">
            <v>BA0911</v>
          </cell>
        </row>
        <row r="172">
          <cell r="A172" t="str">
            <v>BA0912</v>
          </cell>
        </row>
        <row r="173">
          <cell r="A173" t="str">
            <v>BA0916</v>
          </cell>
        </row>
        <row r="174">
          <cell r="A174" t="str">
            <v>BA0917</v>
          </cell>
        </row>
        <row r="175">
          <cell r="A175" t="str">
            <v>BA0918</v>
          </cell>
        </row>
        <row r="176">
          <cell r="A176" t="str">
            <v>BA0919</v>
          </cell>
        </row>
        <row r="177">
          <cell r="A177" t="str">
            <v>BA0920</v>
          </cell>
        </row>
        <row r="178">
          <cell r="A178" t="str">
            <v>BA0923</v>
          </cell>
        </row>
        <row r="179">
          <cell r="A179" t="str">
            <v>BA0924</v>
          </cell>
        </row>
        <row r="180">
          <cell r="A180" t="str">
            <v>BA0926</v>
          </cell>
        </row>
        <row r="181">
          <cell r="A181" t="str">
            <v>BA0927</v>
          </cell>
        </row>
        <row r="182">
          <cell r="A182" t="str">
            <v>BA0928</v>
          </cell>
        </row>
        <row r="183">
          <cell r="A183" t="str">
            <v>BA0929</v>
          </cell>
        </row>
        <row r="184">
          <cell r="A184" t="str">
            <v>BA0930</v>
          </cell>
        </row>
        <row r="185">
          <cell r="A185" t="str">
            <v>BA0931</v>
          </cell>
        </row>
        <row r="186">
          <cell r="A186" t="str">
            <v>BA0932</v>
          </cell>
        </row>
        <row r="187">
          <cell r="A187" t="str">
            <v>BA0933</v>
          </cell>
        </row>
        <row r="188">
          <cell r="A188" t="str">
            <v>BA0934</v>
          </cell>
        </row>
        <row r="189">
          <cell r="A189" t="str">
            <v>BA0935</v>
          </cell>
        </row>
        <row r="190">
          <cell r="A190" t="str">
            <v>BA0936</v>
          </cell>
        </row>
        <row r="191">
          <cell r="A191" t="str">
            <v>BA0937</v>
          </cell>
        </row>
        <row r="192">
          <cell r="A192" t="str">
            <v>BA0938</v>
          </cell>
        </row>
        <row r="193">
          <cell r="A193" t="str">
            <v>BA0939</v>
          </cell>
        </row>
        <row r="194">
          <cell r="A194" t="str">
            <v>CH0059</v>
          </cell>
        </row>
        <row r="195">
          <cell r="A195" t="str">
            <v>CH0061</v>
          </cell>
        </row>
        <row r="196">
          <cell r="A196" t="str">
            <v>CH0063</v>
          </cell>
        </row>
        <row r="197">
          <cell r="A197" t="str">
            <v>CH0072</v>
          </cell>
        </row>
        <row r="198">
          <cell r="A198" t="str">
            <v>CH0101</v>
          </cell>
        </row>
        <row r="199">
          <cell r="A199" t="str">
            <v>KA0263</v>
          </cell>
        </row>
        <row r="200">
          <cell r="A200" t="str">
            <v>KA0268</v>
          </cell>
        </row>
        <row r="201">
          <cell r="A201" t="str">
            <v>KA0270</v>
          </cell>
        </row>
        <row r="202">
          <cell r="A202" t="str">
            <v>KA0280</v>
          </cell>
        </row>
        <row r="203">
          <cell r="A203" t="str">
            <v>KA0286</v>
          </cell>
        </row>
        <row r="204">
          <cell r="A204" t="str">
            <v>KA0293</v>
          </cell>
        </row>
        <row r="205">
          <cell r="A205" t="str">
            <v>KA0322</v>
          </cell>
        </row>
        <row r="206">
          <cell r="A206" t="str">
            <v>KA0332</v>
          </cell>
        </row>
        <row r="207">
          <cell r="A207" t="str">
            <v>KA0341</v>
          </cell>
        </row>
        <row r="208">
          <cell r="A208" t="str">
            <v>KA0349</v>
          </cell>
        </row>
        <row r="209">
          <cell r="A209" t="str">
            <v>KA0374</v>
          </cell>
        </row>
        <row r="210">
          <cell r="A210" t="str">
            <v>KA0377</v>
          </cell>
        </row>
        <row r="211">
          <cell r="A211" t="str">
            <v>KA0379</v>
          </cell>
        </row>
        <row r="212">
          <cell r="A212" t="str">
            <v>KA0385</v>
          </cell>
        </row>
        <row r="213">
          <cell r="A213" t="str">
            <v>KA0386</v>
          </cell>
        </row>
        <row r="214">
          <cell r="A214" t="str">
            <v>KA0389</v>
          </cell>
        </row>
        <row r="215">
          <cell r="A215" t="str">
            <v>KA0391</v>
          </cell>
        </row>
        <row r="216">
          <cell r="A216" t="str">
            <v>KA0392</v>
          </cell>
        </row>
        <row r="217">
          <cell r="A217" t="str">
            <v>KA0397</v>
          </cell>
        </row>
        <row r="218">
          <cell r="A218" t="str">
            <v>KC0071</v>
          </cell>
        </row>
        <row r="219">
          <cell r="A219" t="str">
            <v>KC0082</v>
          </cell>
        </row>
        <row r="220">
          <cell r="A220" t="str">
            <v>KC0270</v>
          </cell>
        </row>
        <row r="221">
          <cell r="A221" t="str">
            <v>KC0271</v>
          </cell>
        </row>
        <row r="222">
          <cell r="A222" t="str">
            <v>KC0272</v>
          </cell>
        </row>
        <row r="223">
          <cell r="A223" t="str">
            <v>KC0273</v>
          </cell>
        </row>
        <row r="224">
          <cell r="A224" t="str">
            <v>KC0276</v>
          </cell>
        </row>
        <row r="225">
          <cell r="A225" t="str">
            <v>KC0277</v>
          </cell>
        </row>
        <row r="226">
          <cell r="A226" t="str">
            <v>KC0279</v>
          </cell>
        </row>
        <row r="227">
          <cell r="A227" t="str">
            <v>KC0290</v>
          </cell>
        </row>
        <row r="228">
          <cell r="A228" t="str">
            <v>KC0301</v>
          </cell>
        </row>
        <row r="229">
          <cell r="A229" t="str">
            <v>KC0302</v>
          </cell>
        </row>
        <row r="230">
          <cell r="A230" t="str">
            <v>KC0303</v>
          </cell>
        </row>
        <row r="231">
          <cell r="A231" t="str">
            <v>KC0305</v>
          </cell>
        </row>
        <row r="232">
          <cell r="A232" t="str">
            <v>KC0306</v>
          </cell>
        </row>
        <row r="233">
          <cell r="A233" t="str">
            <v>KC0308</v>
          </cell>
        </row>
        <row r="234">
          <cell r="A234" t="str">
            <v>KC0309</v>
          </cell>
        </row>
        <row r="235">
          <cell r="A235" t="str">
            <v>KC0311</v>
          </cell>
        </row>
        <row r="236">
          <cell r="A236" t="str">
            <v>KC0312</v>
          </cell>
        </row>
        <row r="237">
          <cell r="A237" t="str">
            <v>KC0314</v>
          </cell>
        </row>
        <row r="238">
          <cell r="A238" t="str">
            <v>KC0316</v>
          </cell>
        </row>
        <row r="239">
          <cell r="A239" t="str">
            <v>KC0329</v>
          </cell>
        </row>
        <row r="240">
          <cell r="A240" t="str">
            <v>KC0334</v>
          </cell>
        </row>
        <row r="241">
          <cell r="A241" t="str">
            <v>KC0335</v>
          </cell>
        </row>
        <row r="242">
          <cell r="A242" t="str">
            <v>KC0336</v>
          </cell>
        </row>
        <row r="243">
          <cell r="A243" t="str">
            <v>KY0147</v>
          </cell>
        </row>
        <row r="244">
          <cell r="A244" t="str">
            <v>KY0148</v>
          </cell>
        </row>
        <row r="245">
          <cell r="A245" t="str">
            <v>KY0149</v>
          </cell>
        </row>
        <row r="246">
          <cell r="A246" t="str">
            <v>KY0154</v>
          </cell>
        </row>
        <row r="247">
          <cell r="A247" t="str">
            <v>KY0155</v>
          </cell>
        </row>
        <row r="248">
          <cell r="A248" t="str">
            <v>KY0161</v>
          </cell>
        </row>
        <row r="249">
          <cell r="A249" t="str">
            <v>KY0165</v>
          </cell>
        </row>
        <row r="250">
          <cell r="A250" t="str">
            <v>KY0170</v>
          </cell>
        </row>
        <row r="251">
          <cell r="A251" t="str">
            <v>KY0173</v>
          </cell>
        </row>
        <row r="252">
          <cell r="A252" t="str">
            <v>KY0184</v>
          </cell>
        </row>
        <row r="253">
          <cell r="A253" t="str">
            <v>KY0191</v>
          </cell>
        </row>
        <row r="254">
          <cell r="A254" t="str">
            <v>KY0194</v>
          </cell>
        </row>
        <row r="255">
          <cell r="A255" t="str">
            <v>KY0195</v>
          </cell>
        </row>
        <row r="256">
          <cell r="A256" t="str">
            <v>KY0196</v>
          </cell>
        </row>
        <row r="257">
          <cell r="A257" t="str">
            <v>MD0346</v>
          </cell>
        </row>
        <row r="258">
          <cell r="A258" t="str">
            <v>MD0354</v>
          </cell>
        </row>
        <row r="259">
          <cell r="A259" t="str">
            <v>MD0355</v>
          </cell>
        </row>
        <row r="260">
          <cell r="A260" t="str">
            <v>MD0358</v>
          </cell>
        </row>
        <row r="261">
          <cell r="A261" t="str">
            <v>MD0359</v>
          </cell>
        </row>
        <row r="262">
          <cell r="A262" t="str">
            <v>MD0365</v>
          </cell>
        </row>
        <row r="263">
          <cell r="A263" t="str">
            <v>MD0368</v>
          </cell>
        </row>
        <row r="264">
          <cell r="A264" t="str">
            <v>MD0369</v>
          </cell>
        </row>
        <row r="265">
          <cell r="A265" t="str">
            <v>MD0370</v>
          </cell>
        </row>
        <row r="266">
          <cell r="A266" t="str">
            <v>MD0371</v>
          </cell>
        </row>
        <row r="267">
          <cell r="A267" t="str">
            <v>MD0372</v>
          </cell>
        </row>
        <row r="268">
          <cell r="A268" t="str">
            <v>MD0393</v>
          </cell>
        </row>
        <row r="269">
          <cell r="A269" t="str">
            <v>MD0463</v>
          </cell>
        </row>
        <row r="270">
          <cell r="A270" t="str">
            <v>MD0467</v>
          </cell>
        </row>
        <row r="271">
          <cell r="A271" t="str">
            <v>MD0468</v>
          </cell>
        </row>
        <row r="272">
          <cell r="A272" t="str">
            <v>MD0481</v>
          </cell>
        </row>
        <row r="273">
          <cell r="A273" t="str">
            <v>MD0493</v>
          </cell>
        </row>
        <row r="274">
          <cell r="A274" t="str">
            <v>MD0494</v>
          </cell>
        </row>
        <row r="275">
          <cell r="A275" t="str">
            <v>MD0497</v>
          </cell>
        </row>
        <row r="276">
          <cell r="A276" t="str">
            <v>MD0501</v>
          </cell>
        </row>
        <row r="277">
          <cell r="A277" t="str">
            <v>MD0502</v>
          </cell>
        </row>
        <row r="278">
          <cell r="A278" t="str">
            <v>MD0504</v>
          </cell>
        </row>
        <row r="279">
          <cell r="A279" t="str">
            <v>MD0505</v>
          </cell>
        </row>
        <row r="280">
          <cell r="A280" t="str">
            <v>MD0507</v>
          </cell>
        </row>
        <row r="281">
          <cell r="A281" t="str">
            <v>MD0508</v>
          </cell>
        </row>
        <row r="282">
          <cell r="A282" t="str">
            <v>MD0520</v>
          </cell>
        </row>
        <row r="283">
          <cell r="A283" t="str">
            <v>MD0523</v>
          </cell>
        </row>
        <row r="284">
          <cell r="A284" t="str">
            <v>MD0533</v>
          </cell>
        </row>
        <row r="285">
          <cell r="A285" t="str">
            <v>MD0534</v>
          </cell>
        </row>
        <row r="286">
          <cell r="A286" t="str">
            <v>MD0536</v>
          </cell>
        </row>
        <row r="287">
          <cell r="A287" t="str">
            <v>MG0029</v>
          </cell>
        </row>
        <row r="288">
          <cell r="A288" t="str">
            <v>MG0246</v>
          </cell>
        </row>
        <row r="289">
          <cell r="A289" t="str">
            <v>MG0249</v>
          </cell>
        </row>
        <row r="290">
          <cell r="A290" t="str">
            <v>MG0250</v>
          </cell>
        </row>
        <row r="291">
          <cell r="A291" t="str">
            <v>MG0251</v>
          </cell>
        </row>
        <row r="292">
          <cell r="A292" t="str">
            <v>MG0252</v>
          </cell>
        </row>
        <row r="293">
          <cell r="A293" t="str">
            <v>MG0254</v>
          </cell>
        </row>
        <row r="294">
          <cell r="A294" t="str">
            <v>MG0260</v>
          </cell>
        </row>
        <row r="295">
          <cell r="A295" t="str">
            <v>MG0262</v>
          </cell>
        </row>
        <row r="296">
          <cell r="A296" t="str">
            <v>MG0263</v>
          </cell>
        </row>
        <row r="297">
          <cell r="A297" t="str">
            <v>MG0264</v>
          </cell>
        </row>
        <row r="298">
          <cell r="A298" t="str">
            <v>MG0273</v>
          </cell>
        </row>
        <row r="299">
          <cell r="A299" t="str">
            <v>MG0275</v>
          </cell>
        </row>
        <row r="300">
          <cell r="A300" t="str">
            <v>MG0276</v>
          </cell>
        </row>
        <row r="301">
          <cell r="A301" t="str">
            <v>MG0277</v>
          </cell>
        </row>
        <row r="302">
          <cell r="A302" t="str">
            <v>MG0278</v>
          </cell>
        </row>
        <row r="303">
          <cell r="A303" t="str">
            <v>MG0279</v>
          </cell>
        </row>
        <row r="304">
          <cell r="A304" t="str">
            <v>MG0289</v>
          </cell>
        </row>
        <row r="305">
          <cell r="A305" t="str">
            <v>MG0290</v>
          </cell>
        </row>
        <row r="306">
          <cell r="A306" t="str">
            <v>MG0291</v>
          </cell>
        </row>
        <row r="307">
          <cell r="A307" t="str">
            <v>MG0292</v>
          </cell>
        </row>
        <row r="308">
          <cell r="A308" t="str">
            <v>MG0293</v>
          </cell>
        </row>
        <row r="309">
          <cell r="A309" t="str">
            <v>MG0294</v>
          </cell>
        </row>
        <row r="310">
          <cell r="A310" t="str">
            <v>MG0295</v>
          </cell>
        </row>
        <row r="311">
          <cell r="A311" t="str">
            <v>MG0296</v>
          </cell>
        </row>
        <row r="312">
          <cell r="A312" t="str">
            <v>MG0297</v>
          </cell>
        </row>
        <row r="313">
          <cell r="A313" t="str">
            <v>MG0308</v>
          </cell>
        </row>
        <row r="314">
          <cell r="A314" t="str">
            <v>MG0309</v>
          </cell>
        </row>
        <row r="315">
          <cell r="A315" t="str">
            <v>MG0310</v>
          </cell>
        </row>
        <row r="316">
          <cell r="A316" t="str">
            <v>MG0311</v>
          </cell>
        </row>
        <row r="317">
          <cell r="A317" t="str">
            <v>MG0312</v>
          </cell>
        </row>
        <row r="318">
          <cell r="A318" t="str">
            <v>MG0313</v>
          </cell>
        </row>
        <row r="319">
          <cell r="A319" t="str">
            <v>MG0314</v>
          </cell>
        </row>
        <row r="320">
          <cell r="A320" t="str">
            <v>MG0315</v>
          </cell>
        </row>
        <row r="321">
          <cell r="A321" t="str">
            <v>MG0316</v>
          </cell>
        </row>
        <row r="322">
          <cell r="A322" t="str">
            <v>MG0317</v>
          </cell>
        </row>
        <row r="323">
          <cell r="A323" t="str">
            <v>MG0318</v>
          </cell>
        </row>
        <row r="324">
          <cell r="A324" t="str">
            <v>MG0319</v>
          </cell>
        </row>
        <row r="325">
          <cell r="A325" t="str">
            <v>MG0323</v>
          </cell>
        </row>
        <row r="326">
          <cell r="A326" t="str">
            <v>MG0324</v>
          </cell>
        </row>
        <row r="327">
          <cell r="A327" t="str">
            <v>MG0326</v>
          </cell>
        </row>
        <row r="328">
          <cell r="A328" t="str">
            <v>MG0327</v>
          </cell>
        </row>
        <row r="329">
          <cell r="A329" t="str">
            <v>MG0328</v>
          </cell>
        </row>
        <row r="330">
          <cell r="A330" t="str">
            <v>MG0329</v>
          </cell>
        </row>
        <row r="331">
          <cell r="A331" t="str">
            <v>MG0330</v>
          </cell>
        </row>
        <row r="332">
          <cell r="A332" t="str">
            <v>MG0332</v>
          </cell>
        </row>
        <row r="333">
          <cell r="A333" t="str">
            <v>MG0333</v>
          </cell>
        </row>
        <row r="334">
          <cell r="A334" t="str">
            <v>MG0334</v>
          </cell>
        </row>
        <row r="335">
          <cell r="A335" t="str">
            <v>MG0337</v>
          </cell>
        </row>
        <row r="336">
          <cell r="A336" t="str">
            <v>MG0338</v>
          </cell>
        </row>
        <row r="337">
          <cell r="A337" t="str">
            <v>MG0339</v>
          </cell>
        </row>
        <row r="338">
          <cell r="A338" t="str">
            <v>MG0340</v>
          </cell>
        </row>
        <row r="339">
          <cell r="A339" t="str">
            <v>MG0341</v>
          </cell>
        </row>
        <row r="340">
          <cell r="A340" t="str">
            <v>MG0342</v>
          </cell>
        </row>
        <row r="341">
          <cell r="A341" t="str">
            <v>MG0344</v>
          </cell>
        </row>
        <row r="342">
          <cell r="A342" t="str">
            <v>MG0346</v>
          </cell>
        </row>
        <row r="343">
          <cell r="A343" t="str">
            <v>MG0376</v>
          </cell>
        </row>
        <row r="344">
          <cell r="A344" t="str">
            <v>MG0379</v>
          </cell>
        </row>
        <row r="345">
          <cell r="A345" t="str">
            <v>MG0397</v>
          </cell>
        </row>
        <row r="346">
          <cell r="A346" t="str">
            <v>MG0402</v>
          </cell>
        </row>
        <row r="347">
          <cell r="A347" t="str">
            <v>MG0404</v>
          </cell>
        </row>
        <row r="348">
          <cell r="A348" t="str">
            <v>MG0412</v>
          </cell>
        </row>
        <row r="349">
          <cell r="A349" t="str">
            <v>MG0413</v>
          </cell>
        </row>
        <row r="350">
          <cell r="A350" t="str">
            <v>MG0414</v>
          </cell>
        </row>
        <row r="351">
          <cell r="A351" t="str">
            <v>MG0415</v>
          </cell>
        </row>
        <row r="352">
          <cell r="A352" t="str">
            <v>MG0416</v>
          </cell>
        </row>
        <row r="353">
          <cell r="A353" t="str">
            <v>MG0417</v>
          </cell>
        </row>
        <row r="354">
          <cell r="A354" t="str">
            <v>MG0418</v>
          </cell>
        </row>
        <row r="355">
          <cell r="A355" t="str">
            <v>MG0419</v>
          </cell>
        </row>
        <row r="356">
          <cell r="A356" t="str">
            <v>MG0420</v>
          </cell>
        </row>
        <row r="357">
          <cell r="A357" t="str">
            <v>MG0422</v>
          </cell>
        </row>
        <row r="358">
          <cell r="A358" t="str">
            <v>MG0423</v>
          </cell>
        </row>
        <row r="359">
          <cell r="A359" t="str">
            <v>MG0424</v>
          </cell>
        </row>
        <row r="360">
          <cell r="A360" t="str">
            <v>MG0425</v>
          </cell>
        </row>
        <row r="361">
          <cell r="A361" t="str">
            <v>MG0426</v>
          </cell>
        </row>
        <row r="362">
          <cell r="A362" t="str">
            <v>MG0427</v>
          </cell>
        </row>
        <row r="363">
          <cell r="A363" t="str">
            <v>MG0429</v>
          </cell>
        </row>
        <row r="364">
          <cell r="A364" t="str">
            <v>MG0430</v>
          </cell>
        </row>
        <row r="365">
          <cell r="A365" t="str">
            <v>MG0431</v>
          </cell>
        </row>
        <row r="366">
          <cell r="A366" t="str">
            <v>MG0432</v>
          </cell>
        </row>
        <row r="367">
          <cell r="A367" t="str">
            <v>MG0433</v>
          </cell>
        </row>
        <row r="368">
          <cell r="A368" t="str">
            <v>MG0434</v>
          </cell>
        </row>
        <row r="369">
          <cell r="A369" t="str">
            <v>MG0435</v>
          </cell>
        </row>
        <row r="370">
          <cell r="A370" t="str">
            <v>MG0436</v>
          </cell>
        </row>
        <row r="371">
          <cell r="A371" t="str">
            <v>MG0437</v>
          </cell>
        </row>
        <row r="372">
          <cell r="A372" t="str">
            <v>MG0438</v>
          </cell>
        </row>
        <row r="373">
          <cell r="A373" t="str">
            <v>MG0439</v>
          </cell>
        </row>
        <row r="374">
          <cell r="A374" t="str">
            <v>MG0440</v>
          </cell>
        </row>
        <row r="375">
          <cell r="A375" t="str">
            <v>MO0098</v>
          </cell>
        </row>
        <row r="376">
          <cell r="A376" t="str">
            <v>MO0100</v>
          </cell>
        </row>
        <row r="377">
          <cell r="A377" t="str">
            <v>MO0111</v>
          </cell>
        </row>
        <row r="378">
          <cell r="A378" t="str">
            <v>MO0312</v>
          </cell>
        </row>
        <row r="379">
          <cell r="A379" t="str">
            <v>MO0313</v>
          </cell>
        </row>
        <row r="380">
          <cell r="A380" t="str">
            <v>MO0318</v>
          </cell>
        </row>
        <row r="381">
          <cell r="A381" t="str">
            <v>MO0319</v>
          </cell>
        </row>
        <row r="382">
          <cell r="A382" t="str">
            <v>MO0320</v>
          </cell>
        </row>
        <row r="383">
          <cell r="A383" t="str">
            <v>MO0321</v>
          </cell>
        </row>
        <row r="384">
          <cell r="A384" t="str">
            <v>MO0322</v>
          </cell>
        </row>
        <row r="385">
          <cell r="A385" t="str">
            <v>MO0327</v>
          </cell>
        </row>
        <row r="386">
          <cell r="A386" t="str">
            <v>MO0328</v>
          </cell>
        </row>
        <row r="387">
          <cell r="A387" t="str">
            <v>MO0328_C</v>
          </cell>
        </row>
        <row r="388">
          <cell r="A388" t="str">
            <v>MO0335</v>
          </cell>
        </row>
        <row r="389">
          <cell r="A389" t="str">
            <v>MO0338</v>
          </cell>
        </row>
        <row r="390">
          <cell r="A390" t="str">
            <v>MO0339</v>
          </cell>
        </row>
        <row r="391">
          <cell r="A391" t="str">
            <v>MO0357</v>
          </cell>
        </row>
        <row r="392">
          <cell r="A392" t="str">
            <v>MO0361</v>
          </cell>
        </row>
        <row r="393">
          <cell r="A393" t="str">
            <v>MO0362</v>
          </cell>
        </row>
        <row r="394">
          <cell r="A394" t="str">
            <v>MO0368</v>
          </cell>
        </row>
        <row r="395">
          <cell r="A395" t="str">
            <v>MO0369</v>
          </cell>
        </row>
        <row r="396">
          <cell r="A396" t="str">
            <v>MO0370</v>
          </cell>
        </row>
        <row r="397">
          <cell r="A397" t="str">
            <v>MO0371</v>
          </cell>
        </row>
        <row r="398">
          <cell r="A398" t="str">
            <v>MO0375</v>
          </cell>
        </row>
        <row r="399">
          <cell r="A399" t="str">
            <v>MO0376</v>
          </cell>
        </row>
        <row r="400">
          <cell r="A400" t="str">
            <v>MO0384</v>
          </cell>
        </row>
        <row r="401">
          <cell r="A401" t="str">
            <v>MO0385</v>
          </cell>
        </row>
        <row r="402">
          <cell r="A402" t="str">
            <v>MO0386</v>
          </cell>
        </row>
        <row r="403">
          <cell r="A403" t="str">
            <v>MO0387</v>
          </cell>
        </row>
        <row r="404">
          <cell r="A404" t="str">
            <v>MO0388</v>
          </cell>
        </row>
        <row r="405">
          <cell r="A405" t="str">
            <v>MO0389</v>
          </cell>
        </row>
        <row r="406">
          <cell r="A406" t="str">
            <v>MO0390</v>
          </cell>
        </row>
        <row r="407">
          <cell r="A407" t="str">
            <v>MO0391</v>
          </cell>
        </row>
        <row r="408">
          <cell r="A408" t="str">
            <v>MO0394</v>
          </cell>
        </row>
        <row r="409">
          <cell r="A409" t="str">
            <v>MO0403</v>
          </cell>
        </row>
        <row r="410">
          <cell r="A410" t="str">
            <v>MO0408</v>
          </cell>
        </row>
        <row r="411">
          <cell r="A411" t="str">
            <v>MO0409</v>
          </cell>
        </row>
        <row r="412">
          <cell r="A412" t="str">
            <v>MO0414</v>
          </cell>
        </row>
        <row r="413">
          <cell r="A413" t="str">
            <v>MO0415</v>
          </cell>
        </row>
        <row r="414">
          <cell r="A414" t="str">
            <v>MO0416</v>
          </cell>
        </row>
        <row r="415">
          <cell r="A415" t="str">
            <v>MO0417</v>
          </cell>
        </row>
        <row r="416">
          <cell r="A416" t="str">
            <v>MO0418</v>
          </cell>
        </row>
        <row r="417">
          <cell r="A417" t="str">
            <v>MO0419</v>
          </cell>
        </row>
        <row r="418">
          <cell r="A418" t="str">
            <v>MO0422</v>
          </cell>
        </row>
        <row r="419">
          <cell r="A419" t="str">
            <v>MO0423</v>
          </cell>
        </row>
        <row r="420">
          <cell r="A420" t="str">
            <v>MO0424</v>
          </cell>
        </row>
        <row r="421">
          <cell r="A421" t="str">
            <v>MO0425</v>
          </cell>
        </row>
        <row r="422">
          <cell r="A422" t="str">
            <v>MO0426</v>
          </cell>
        </row>
        <row r="423">
          <cell r="A423" t="str">
            <v>MO0430</v>
          </cell>
        </row>
        <row r="424">
          <cell r="A424" t="str">
            <v>MO0431</v>
          </cell>
        </row>
        <row r="425">
          <cell r="A425" t="str">
            <v>MO0432</v>
          </cell>
        </row>
        <row r="426">
          <cell r="A426" t="str">
            <v>MO0433</v>
          </cell>
        </row>
        <row r="427">
          <cell r="A427" t="str">
            <v>MO0434</v>
          </cell>
        </row>
        <row r="428">
          <cell r="A428" t="str">
            <v>MO0436</v>
          </cell>
        </row>
        <row r="429">
          <cell r="A429" t="str">
            <v>MO0437</v>
          </cell>
        </row>
        <row r="430">
          <cell r="A430" t="str">
            <v>MO0438</v>
          </cell>
        </row>
        <row r="431">
          <cell r="A431" t="str">
            <v>MO0439</v>
          </cell>
        </row>
        <row r="432">
          <cell r="A432" t="str">
            <v>MO0440</v>
          </cell>
        </row>
        <row r="433">
          <cell r="A433" t="str">
            <v>MO0441</v>
          </cell>
        </row>
        <row r="434">
          <cell r="A434" t="str">
            <v>MO0442</v>
          </cell>
        </row>
        <row r="435">
          <cell r="A435" t="str">
            <v>MO0443</v>
          </cell>
        </row>
        <row r="436">
          <cell r="A436" t="str">
            <v>MO0445</v>
          </cell>
        </row>
        <row r="437">
          <cell r="A437" t="str">
            <v>MO0449</v>
          </cell>
        </row>
        <row r="438">
          <cell r="A438" t="str">
            <v>MO0451</v>
          </cell>
        </row>
        <row r="439">
          <cell r="A439" t="str">
            <v>MO0454</v>
          </cell>
        </row>
        <row r="440">
          <cell r="A440" t="str">
            <v>MO0458</v>
          </cell>
        </row>
        <row r="441">
          <cell r="A441" t="str">
            <v>MO0463</v>
          </cell>
        </row>
        <row r="442">
          <cell r="A442" t="str">
            <v>MO0464</v>
          </cell>
        </row>
        <row r="443">
          <cell r="A443" t="str">
            <v>MO0465</v>
          </cell>
        </row>
        <row r="444">
          <cell r="A444" t="str">
            <v>NP0007</v>
          </cell>
        </row>
        <row r="445">
          <cell r="A445" t="str">
            <v>NP0009</v>
          </cell>
        </row>
        <row r="446">
          <cell r="A446" t="str">
            <v>NP0030</v>
          </cell>
        </row>
        <row r="447">
          <cell r="A447" t="str">
            <v>NP0051</v>
          </cell>
        </row>
        <row r="448">
          <cell r="A448" t="str">
            <v>NP0130</v>
          </cell>
        </row>
        <row r="449">
          <cell r="A449" t="str">
            <v>NP0148</v>
          </cell>
        </row>
        <row r="450">
          <cell r="A450" t="str">
            <v>NP0254</v>
          </cell>
        </row>
        <row r="451">
          <cell r="A451" t="str">
            <v>NP0255</v>
          </cell>
        </row>
        <row r="452">
          <cell r="A452" t="str">
            <v>NP0257</v>
          </cell>
        </row>
        <row r="453">
          <cell r="A453" t="str">
            <v>NP0258</v>
          </cell>
        </row>
        <row r="454">
          <cell r="A454" t="str">
            <v>NP0263</v>
          </cell>
        </row>
        <row r="455">
          <cell r="A455" t="str">
            <v>NP0264</v>
          </cell>
        </row>
        <row r="456">
          <cell r="A456" t="str">
            <v>NP0265</v>
          </cell>
        </row>
        <row r="457">
          <cell r="A457" t="str">
            <v>NP0266</v>
          </cell>
        </row>
        <row r="458">
          <cell r="A458" t="str">
            <v>NP0267</v>
          </cell>
        </row>
        <row r="459">
          <cell r="A459" t="str">
            <v>NP0268</v>
          </cell>
        </row>
        <row r="460">
          <cell r="A460" t="str">
            <v>NP0269</v>
          </cell>
        </row>
        <row r="461">
          <cell r="A461" t="str">
            <v>NP0270</v>
          </cell>
        </row>
        <row r="462">
          <cell r="A462" t="str">
            <v>NP0271</v>
          </cell>
        </row>
        <row r="463">
          <cell r="A463" t="str">
            <v>NP0273</v>
          </cell>
        </row>
        <row r="464">
          <cell r="A464" t="str">
            <v>NP0274</v>
          </cell>
        </row>
        <row r="465">
          <cell r="A465" t="str">
            <v>NP0275</v>
          </cell>
        </row>
        <row r="466">
          <cell r="A466" t="str">
            <v>NP0276</v>
          </cell>
        </row>
        <row r="467">
          <cell r="A467" t="str">
            <v>NP0278</v>
          </cell>
        </row>
        <row r="468">
          <cell r="A468" t="str">
            <v>NP0279</v>
          </cell>
        </row>
        <row r="469">
          <cell r="A469" t="str">
            <v>NP0281</v>
          </cell>
        </row>
        <row r="470">
          <cell r="A470" t="str">
            <v>NP0284</v>
          </cell>
        </row>
        <row r="471">
          <cell r="A471" t="str">
            <v>NP0288</v>
          </cell>
        </row>
        <row r="472">
          <cell r="A472" t="str">
            <v>NP0292</v>
          </cell>
        </row>
        <row r="473">
          <cell r="A473" t="str">
            <v>NP0293</v>
          </cell>
        </row>
        <row r="474">
          <cell r="A474" t="str">
            <v>NP0295</v>
          </cell>
        </row>
        <row r="475">
          <cell r="A475" t="str">
            <v>NP0297</v>
          </cell>
        </row>
        <row r="476">
          <cell r="A476" t="str">
            <v>NP0298</v>
          </cell>
        </row>
        <row r="477">
          <cell r="A477" t="str">
            <v>NP0300</v>
          </cell>
        </row>
        <row r="478">
          <cell r="A478" t="str">
            <v>NP0302</v>
          </cell>
        </row>
        <row r="479">
          <cell r="A479" t="str">
            <v>NP0303</v>
          </cell>
        </row>
        <row r="480">
          <cell r="A480" t="str">
            <v>NP0304</v>
          </cell>
        </row>
        <row r="481">
          <cell r="A481" t="str">
            <v>NP0305</v>
          </cell>
        </row>
        <row r="482">
          <cell r="A482" t="str">
            <v>RA0072</v>
          </cell>
        </row>
        <row r="483">
          <cell r="A483" t="str">
            <v>RA0099</v>
          </cell>
        </row>
        <row r="484">
          <cell r="A484" t="str">
            <v>RA0105</v>
          </cell>
        </row>
        <row r="485">
          <cell r="A485" t="str">
            <v>RA0106</v>
          </cell>
        </row>
        <row r="486">
          <cell r="A486" t="str">
            <v>RA0111</v>
          </cell>
        </row>
        <row r="487">
          <cell r="A487" t="str">
            <v>RA0112</v>
          </cell>
        </row>
        <row r="488">
          <cell r="A488" t="str">
            <v>RA0120</v>
          </cell>
        </row>
        <row r="489">
          <cell r="A489" t="str">
            <v>RA0134</v>
          </cell>
        </row>
        <row r="490">
          <cell r="A490" t="str">
            <v>RA0140</v>
          </cell>
        </row>
        <row r="491">
          <cell r="A491" t="str">
            <v>RA0149</v>
          </cell>
        </row>
        <row r="492">
          <cell r="A492" t="str">
            <v>RA0158</v>
          </cell>
        </row>
        <row r="493">
          <cell r="A493" t="str">
            <v>RA0160</v>
          </cell>
        </row>
        <row r="494">
          <cell r="A494" t="str">
            <v>RA0163</v>
          </cell>
        </row>
        <row r="495">
          <cell r="A495" t="str">
            <v>RA0165</v>
          </cell>
        </row>
        <row r="496">
          <cell r="A496" t="str">
            <v>RA0167</v>
          </cell>
        </row>
        <row r="497">
          <cell r="A497" t="str">
            <v>RA0171</v>
          </cell>
        </row>
        <row r="498">
          <cell r="A498" t="str">
            <v>RA0193</v>
          </cell>
        </row>
        <row r="499">
          <cell r="A499" t="str">
            <v>RA0195</v>
          </cell>
        </row>
        <row r="500">
          <cell r="A500" t="str">
            <v>RA0216</v>
          </cell>
        </row>
        <row r="501">
          <cell r="A501" t="str">
            <v>RA0237</v>
          </cell>
        </row>
        <row r="502">
          <cell r="A502" t="str">
            <v>RA0239</v>
          </cell>
        </row>
        <row r="503">
          <cell r="A503" t="str">
            <v>RA0240</v>
          </cell>
        </row>
        <row r="504">
          <cell r="A504" t="str">
            <v>RA0241</v>
          </cell>
        </row>
        <row r="505">
          <cell r="A505" t="str">
            <v>RA0247</v>
          </cell>
        </row>
        <row r="506">
          <cell r="A506" t="str">
            <v>RA0248</v>
          </cell>
        </row>
        <row r="507">
          <cell r="A507" t="str">
            <v>RA0249</v>
          </cell>
        </row>
        <row r="508">
          <cell r="A508" t="str">
            <v>RA0250</v>
          </cell>
        </row>
        <row r="509">
          <cell r="A509" t="str">
            <v>RA0251</v>
          </cell>
        </row>
        <row r="510">
          <cell r="A510" t="str">
            <v>SG0161</v>
          </cell>
        </row>
        <row r="511">
          <cell r="A511" t="str">
            <v>SG0344</v>
          </cell>
        </row>
        <row r="512">
          <cell r="A512" t="str">
            <v>SG0360</v>
          </cell>
        </row>
        <row r="513">
          <cell r="A513" t="str">
            <v>SG0361</v>
          </cell>
        </row>
        <row r="514">
          <cell r="A514" t="str">
            <v>SG0362</v>
          </cell>
        </row>
        <row r="515">
          <cell r="A515" t="str">
            <v>SG0363</v>
          </cell>
        </row>
        <row r="516">
          <cell r="A516" t="str">
            <v>SG0364</v>
          </cell>
        </row>
        <row r="517">
          <cell r="A517" t="str">
            <v>SG0367</v>
          </cell>
        </row>
        <row r="518">
          <cell r="A518" t="str">
            <v>SG0368</v>
          </cell>
        </row>
        <row r="519">
          <cell r="A519" t="str">
            <v>SG0369</v>
          </cell>
        </row>
        <row r="520">
          <cell r="A520" t="str">
            <v>SG0370</v>
          </cell>
        </row>
        <row r="521">
          <cell r="A521" t="str">
            <v>SG0371</v>
          </cell>
        </row>
        <row r="522">
          <cell r="A522" t="str">
            <v>SG0372</v>
          </cell>
        </row>
        <row r="523">
          <cell r="A523" t="str">
            <v>SG0373</v>
          </cell>
        </row>
        <row r="524">
          <cell r="A524" t="str">
            <v>SG0374</v>
          </cell>
        </row>
        <row r="525">
          <cell r="A525" t="str">
            <v>SG0375</v>
          </cell>
        </row>
        <row r="526">
          <cell r="A526" t="str">
            <v>SG0376</v>
          </cell>
        </row>
        <row r="527">
          <cell r="A527" t="str">
            <v>SG0377</v>
          </cell>
        </row>
        <row r="528">
          <cell r="A528" t="str">
            <v>SG0378</v>
          </cell>
        </row>
        <row r="529">
          <cell r="A529" t="str">
            <v>SG0379</v>
          </cell>
        </row>
        <row r="530">
          <cell r="A530" t="str">
            <v>SG0380</v>
          </cell>
        </row>
        <row r="531">
          <cell r="A531" t="str">
            <v>SG0381</v>
          </cell>
        </row>
        <row r="532">
          <cell r="A532" t="str">
            <v>SG0382</v>
          </cell>
        </row>
        <row r="533">
          <cell r="A533" t="str">
            <v>SG0383</v>
          </cell>
        </row>
        <row r="534">
          <cell r="A534" t="str">
            <v>SG0386</v>
          </cell>
        </row>
        <row r="535">
          <cell r="A535" t="str">
            <v>SG0393</v>
          </cell>
        </row>
        <row r="536">
          <cell r="A536" t="str">
            <v>SG0395</v>
          </cell>
        </row>
        <row r="537">
          <cell r="A537" t="str">
            <v>SG0396</v>
          </cell>
        </row>
        <row r="538">
          <cell r="A538" t="str">
            <v>SG0415</v>
          </cell>
        </row>
        <row r="539">
          <cell r="A539" t="str">
            <v>SG0416</v>
          </cell>
        </row>
        <row r="540">
          <cell r="A540" t="str">
            <v>SG0417</v>
          </cell>
        </row>
        <row r="541">
          <cell r="A541" t="str">
            <v>SG0418</v>
          </cell>
        </row>
        <row r="542">
          <cell r="A542" t="str">
            <v>SG0419</v>
          </cell>
        </row>
        <row r="543">
          <cell r="A543" t="str">
            <v>SG0420</v>
          </cell>
        </row>
        <row r="544">
          <cell r="A544" t="str">
            <v>SG0421</v>
          </cell>
        </row>
        <row r="545">
          <cell r="A545" t="str">
            <v>SG0422</v>
          </cell>
        </row>
        <row r="546">
          <cell r="A546" t="str">
            <v>SG0423</v>
          </cell>
        </row>
        <row r="547">
          <cell r="A547" t="str">
            <v>SG0424</v>
          </cell>
        </row>
        <row r="548">
          <cell r="A548" t="str">
            <v>SG0425</v>
          </cell>
        </row>
        <row r="549">
          <cell r="A549" t="str">
            <v>SG0426</v>
          </cell>
        </row>
        <row r="550">
          <cell r="A550" t="str">
            <v>SG0427</v>
          </cell>
        </row>
        <row r="551">
          <cell r="A551" t="str">
            <v>SG0429</v>
          </cell>
        </row>
        <row r="552">
          <cell r="A552" t="str">
            <v>SG0430</v>
          </cell>
        </row>
        <row r="553">
          <cell r="A553" t="str">
            <v>SG0431</v>
          </cell>
        </row>
        <row r="554">
          <cell r="A554" t="str">
            <v>SG0448</v>
          </cell>
        </row>
        <row r="555">
          <cell r="A555" t="str">
            <v>SG0449</v>
          </cell>
        </row>
        <row r="556">
          <cell r="A556" t="str">
            <v>SG0450</v>
          </cell>
        </row>
        <row r="557">
          <cell r="A557" t="str">
            <v>SG0452</v>
          </cell>
        </row>
        <row r="558">
          <cell r="A558" t="str">
            <v>SG0457</v>
          </cell>
        </row>
        <row r="559">
          <cell r="A559" t="str">
            <v>SG0458</v>
          </cell>
        </row>
        <row r="560">
          <cell r="A560" t="str">
            <v>SG0459</v>
          </cell>
        </row>
        <row r="561">
          <cell r="A561" t="str">
            <v>SG0462</v>
          </cell>
        </row>
        <row r="562">
          <cell r="A562" t="str">
            <v>SG0491</v>
          </cell>
        </row>
        <row r="563">
          <cell r="A563" t="str">
            <v>SG0495</v>
          </cell>
        </row>
        <row r="564">
          <cell r="A564" t="str">
            <v>SG0497</v>
          </cell>
        </row>
        <row r="565">
          <cell r="A565" t="str">
            <v>SG0498</v>
          </cell>
        </row>
        <row r="566">
          <cell r="A566" t="str">
            <v>SG0499</v>
          </cell>
        </row>
        <row r="567">
          <cell r="A567" t="str">
            <v>SG0502</v>
          </cell>
        </row>
        <row r="568">
          <cell r="A568" t="str">
            <v>SG0503</v>
          </cell>
        </row>
        <row r="569">
          <cell r="A569" t="str">
            <v>SG0506</v>
          </cell>
        </row>
        <row r="570">
          <cell r="A570" t="str">
            <v>SG0515</v>
          </cell>
        </row>
        <row r="571">
          <cell r="A571" t="str">
            <v>SG0516</v>
          </cell>
        </row>
        <row r="572">
          <cell r="A572" t="str">
            <v>SG0522</v>
          </cell>
        </row>
        <row r="573">
          <cell r="A573" t="str">
            <v>SG0528</v>
          </cell>
        </row>
        <row r="574">
          <cell r="A574" t="str">
            <v>SG0530</v>
          </cell>
        </row>
        <row r="575">
          <cell r="A575" t="str">
            <v>SG0531</v>
          </cell>
        </row>
        <row r="576">
          <cell r="A576" t="str">
            <v>SG0532</v>
          </cell>
        </row>
        <row r="577">
          <cell r="A577" t="str">
            <v>SG0533</v>
          </cell>
        </row>
        <row r="578">
          <cell r="A578" t="str">
            <v>SG0534</v>
          </cell>
        </row>
        <row r="579">
          <cell r="A579" t="str">
            <v>SG0535</v>
          </cell>
        </row>
        <row r="580">
          <cell r="A580" t="str">
            <v>SG0536</v>
          </cell>
        </row>
        <row r="581">
          <cell r="A581" t="str">
            <v>SG0537</v>
          </cell>
        </row>
        <row r="582">
          <cell r="A582" t="str">
            <v>SG0538</v>
          </cell>
        </row>
        <row r="583">
          <cell r="A583" t="str">
            <v>SG0539</v>
          </cell>
        </row>
        <row r="584">
          <cell r="A584" t="str">
            <v>SG0540</v>
          </cell>
        </row>
        <row r="585">
          <cell r="A585" t="str">
            <v>SG0542</v>
          </cell>
        </row>
        <row r="586">
          <cell r="A586" t="str">
            <v>SG0543</v>
          </cell>
        </row>
        <row r="587">
          <cell r="A587" t="str">
            <v>SG0544</v>
          </cell>
        </row>
        <row r="588">
          <cell r="A588" t="str">
            <v>SG0545</v>
          </cell>
        </row>
        <row r="589">
          <cell r="A589" t="str">
            <v>SG0546</v>
          </cell>
        </row>
        <row r="590">
          <cell r="A590" t="str">
            <v>SG0549</v>
          </cell>
        </row>
        <row r="591">
          <cell r="A591" t="str">
            <v>SG0550</v>
          </cell>
        </row>
        <row r="592">
          <cell r="A592" t="str">
            <v>SG0551</v>
          </cell>
        </row>
        <row r="593">
          <cell r="A593" t="str">
            <v>SG0554</v>
          </cell>
        </row>
        <row r="594">
          <cell r="A594" t="str">
            <v>SG0555</v>
          </cell>
        </row>
        <row r="595">
          <cell r="A595" t="str">
            <v>SG0556</v>
          </cell>
        </row>
        <row r="596">
          <cell r="A596" t="str">
            <v>SG0557</v>
          </cell>
        </row>
        <row r="597">
          <cell r="A597" t="str">
            <v>SG0558</v>
          </cell>
        </row>
        <row r="598">
          <cell r="A598" t="str">
            <v>SG0559</v>
          </cell>
        </row>
        <row r="599">
          <cell r="A599" t="str">
            <v>SG0561</v>
          </cell>
        </row>
        <row r="600">
          <cell r="A600" t="str">
            <v>SG0562</v>
          </cell>
        </row>
        <row r="601">
          <cell r="A601" t="str">
            <v>SG0563</v>
          </cell>
        </row>
        <row r="602">
          <cell r="A602" t="str">
            <v>SG0564</v>
          </cell>
        </row>
        <row r="603">
          <cell r="A603" t="str">
            <v>SG0565</v>
          </cell>
        </row>
        <row r="604">
          <cell r="A604" t="str">
            <v>SG0566</v>
          </cell>
        </row>
        <row r="605">
          <cell r="A605" t="str">
            <v>SG0567</v>
          </cell>
        </row>
        <row r="606">
          <cell r="A606" t="str">
            <v>SG0568</v>
          </cell>
        </row>
        <row r="607">
          <cell r="A607" t="str">
            <v>SG0569</v>
          </cell>
        </row>
        <row r="608">
          <cell r="A608" t="str">
            <v>SG0570</v>
          </cell>
        </row>
        <row r="609">
          <cell r="A609" t="str">
            <v>SG0571</v>
          </cell>
        </row>
        <row r="610">
          <cell r="A610" t="str">
            <v>SH0023</v>
          </cell>
        </row>
        <row r="611">
          <cell r="A611" t="str">
            <v>SH0033</v>
          </cell>
        </row>
        <row r="612">
          <cell r="A612" t="str">
            <v>SH0049</v>
          </cell>
        </row>
        <row r="613">
          <cell r="A613" t="str">
            <v>SH0051</v>
          </cell>
        </row>
        <row r="614">
          <cell r="A614" t="str">
            <v>SH0070</v>
          </cell>
        </row>
        <row r="615">
          <cell r="A615" t="str">
            <v>SH0098</v>
          </cell>
        </row>
        <row r="616">
          <cell r="A616" t="str">
            <v>SH0131</v>
          </cell>
        </row>
        <row r="617">
          <cell r="A617" t="str">
            <v>SH0132</v>
          </cell>
        </row>
        <row r="618">
          <cell r="A618" t="str">
            <v>SH0151</v>
          </cell>
        </row>
        <row r="619">
          <cell r="A619" t="str">
            <v>SH0154</v>
          </cell>
        </row>
        <row r="620">
          <cell r="A620" t="str">
            <v>SH0160</v>
          </cell>
        </row>
        <row r="621">
          <cell r="A621" t="str">
            <v>SH0164</v>
          </cell>
        </row>
        <row r="622">
          <cell r="A622" t="str">
            <v>SH0168</v>
          </cell>
        </row>
        <row r="623">
          <cell r="A623" t="str">
            <v>SH0238</v>
          </cell>
        </row>
        <row r="624">
          <cell r="A624" t="str">
            <v>SH0393</v>
          </cell>
        </row>
        <row r="625">
          <cell r="A625" t="str">
            <v>SH0395</v>
          </cell>
        </row>
        <row r="626">
          <cell r="A626" t="str">
            <v>SH0450</v>
          </cell>
        </row>
        <row r="627">
          <cell r="A627" t="str">
            <v>SH0451</v>
          </cell>
        </row>
        <row r="628">
          <cell r="A628" t="str">
            <v>SH0452</v>
          </cell>
        </row>
        <row r="629">
          <cell r="A629" t="str">
            <v>SH0454</v>
          </cell>
        </row>
        <row r="630">
          <cell r="A630" t="str">
            <v>SH0456</v>
          </cell>
        </row>
        <row r="631">
          <cell r="A631" t="str">
            <v>SH0460</v>
          </cell>
        </row>
        <row r="632">
          <cell r="A632" t="str">
            <v>SH0461</v>
          </cell>
        </row>
        <row r="633">
          <cell r="A633" t="str">
            <v>SH0462</v>
          </cell>
        </row>
        <row r="634">
          <cell r="A634" t="str">
            <v>SH0463</v>
          </cell>
        </row>
        <row r="635">
          <cell r="A635" t="str">
            <v>SH0474</v>
          </cell>
        </row>
        <row r="636">
          <cell r="A636" t="str">
            <v>SH0504</v>
          </cell>
        </row>
        <row r="637">
          <cell r="A637" t="str">
            <v>SH0505</v>
          </cell>
        </row>
        <row r="638">
          <cell r="A638" t="str">
            <v>SH0509</v>
          </cell>
        </row>
        <row r="639">
          <cell r="A639" t="str">
            <v>SH0513</v>
          </cell>
        </row>
        <row r="640">
          <cell r="A640" t="str">
            <v>SH0514</v>
          </cell>
        </row>
        <row r="641">
          <cell r="A641" t="str">
            <v>SH0518</v>
          </cell>
        </row>
        <row r="642">
          <cell r="A642" t="str">
            <v>SH0519</v>
          </cell>
        </row>
        <row r="643">
          <cell r="A643" t="str">
            <v>SH0536</v>
          </cell>
        </row>
        <row r="644">
          <cell r="A644" t="str">
            <v>SH0570</v>
          </cell>
        </row>
        <row r="645">
          <cell r="A645" t="str">
            <v>SH0572</v>
          </cell>
        </row>
        <row r="646">
          <cell r="A646" t="str">
            <v>SH0596</v>
          </cell>
        </row>
        <row r="647">
          <cell r="A647" t="str">
            <v>SH0617</v>
          </cell>
        </row>
        <row r="648">
          <cell r="A648" t="str">
            <v>TN0429</v>
          </cell>
        </row>
        <row r="649">
          <cell r="A649" t="str">
            <v>TN0430</v>
          </cell>
        </row>
        <row r="650">
          <cell r="A650" t="str">
            <v>TN0431</v>
          </cell>
        </row>
        <row r="651">
          <cell r="A651" t="str">
            <v>TN0432</v>
          </cell>
        </row>
        <row r="652">
          <cell r="A652" t="str">
            <v>TN0433</v>
          </cell>
        </row>
        <row r="653">
          <cell r="A653" t="str">
            <v>TN0434</v>
          </cell>
        </row>
        <row r="654">
          <cell r="A654" t="str">
            <v>TN0435</v>
          </cell>
        </row>
        <row r="655">
          <cell r="A655" t="str">
            <v>TN0436</v>
          </cell>
        </row>
        <row r="656">
          <cell r="A656" t="str">
            <v>TN0437</v>
          </cell>
        </row>
        <row r="657">
          <cell r="A657" t="str">
            <v>TN0438</v>
          </cell>
        </row>
        <row r="658">
          <cell r="A658" t="str">
            <v>TN0439</v>
          </cell>
        </row>
        <row r="659">
          <cell r="A659" t="str">
            <v>TN0441</v>
          </cell>
        </row>
        <row r="660">
          <cell r="A660" t="str">
            <v>TN0442</v>
          </cell>
        </row>
        <row r="661">
          <cell r="A661" t="str">
            <v>TN0443</v>
          </cell>
        </row>
        <row r="662">
          <cell r="A662" t="str">
            <v>TN0444</v>
          </cell>
        </row>
        <row r="663">
          <cell r="A663" t="str">
            <v>TN0447</v>
          </cell>
        </row>
        <row r="664">
          <cell r="A664" t="str">
            <v>TN0448</v>
          </cell>
        </row>
        <row r="665">
          <cell r="A665" t="str">
            <v>TN0453</v>
          </cell>
        </row>
        <row r="666">
          <cell r="A666" t="str">
            <v>TN0456</v>
          </cell>
        </row>
        <row r="667">
          <cell r="A667" t="str">
            <v>TN0457</v>
          </cell>
        </row>
        <row r="668">
          <cell r="A668" t="str">
            <v>TN0458</v>
          </cell>
        </row>
        <row r="669">
          <cell r="A669" t="str">
            <v>TN0459</v>
          </cell>
        </row>
        <row r="670">
          <cell r="A670" t="str">
            <v>TN0461</v>
          </cell>
        </row>
        <row r="671">
          <cell r="A671" t="str">
            <v>TN0464</v>
          </cell>
        </row>
        <row r="672">
          <cell r="A672" t="str">
            <v>TN0465</v>
          </cell>
        </row>
        <row r="673">
          <cell r="A673" t="str">
            <v>TN0489</v>
          </cell>
        </row>
        <row r="674">
          <cell r="A674" t="str">
            <v>TN0490</v>
          </cell>
        </row>
        <row r="675">
          <cell r="A675" t="str">
            <v>TN0494</v>
          </cell>
        </row>
        <row r="676">
          <cell r="A676" t="str">
            <v>TN0495</v>
          </cell>
        </row>
        <row r="677">
          <cell r="A677" t="str">
            <v>TN0498</v>
          </cell>
        </row>
        <row r="678">
          <cell r="A678" t="str">
            <v>TN0502</v>
          </cell>
        </row>
        <row r="679">
          <cell r="A679" t="str">
            <v>TN0511</v>
          </cell>
        </row>
        <row r="680">
          <cell r="A680" t="str">
            <v>TN0512</v>
          </cell>
        </row>
        <row r="681">
          <cell r="A681" t="str">
            <v>TN0513</v>
          </cell>
        </row>
        <row r="682">
          <cell r="A682" t="str">
            <v>TN0517</v>
          </cell>
        </row>
        <row r="683">
          <cell r="A683" t="str">
            <v>TN0524</v>
          </cell>
        </row>
        <row r="684">
          <cell r="A684" t="str">
            <v>YN0118</v>
          </cell>
        </row>
        <row r="685">
          <cell r="A685" t="str">
            <v>YN0123</v>
          </cell>
        </row>
        <row r="686">
          <cell r="A686" t="str">
            <v>YN0127</v>
          </cell>
        </row>
        <row r="687">
          <cell r="A687" t="str">
            <v>YN0174</v>
          </cell>
        </row>
        <row r="688">
          <cell r="A688" t="str">
            <v>YN0179</v>
          </cell>
        </row>
        <row r="689">
          <cell r="A689" t="str">
            <v>YN0224</v>
          </cell>
        </row>
        <row r="690">
          <cell r="A690" t="str">
            <v>YN0242</v>
          </cell>
        </row>
        <row r="691">
          <cell r="A691" t="str">
            <v>YN0302</v>
          </cell>
        </row>
        <row r="692">
          <cell r="A692" t="str">
            <v>YN0319</v>
          </cell>
        </row>
        <row r="693">
          <cell r="A693" t="str">
            <v>YN0933</v>
          </cell>
        </row>
        <row r="694">
          <cell r="A694" t="str">
            <v>YN0942</v>
          </cell>
        </row>
        <row r="695">
          <cell r="A695" t="str">
            <v>YN0991</v>
          </cell>
        </row>
        <row r="696">
          <cell r="A696" t="str">
            <v>YN1065</v>
          </cell>
        </row>
        <row r="697">
          <cell r="A697" t="str">
            <v>YN1088</v>
          </cell>
        </row>
        <row r="698">
          <cell r="A698" t="str">
            <v>YN1159</v>
          </cell>
        </row>
        <row r="699">
          <cell r="A699" t="str">
            <v>YN1198</v>
          </cell>
        </row>
        <row r="700">
          <cell r="A700" t="str">
            <v>YN1200</v>
          </cell>
        </row>
        <row r="701">
          <cell r="A701" t="str">
            <v>YN1201</v>
          </cell>
        </row>
        <row r="702">
          <cell r="A702" t="str">
            <v>YN1202</v>
          </cell>
        </row>
        <row r="703">
          <cell r="A703" t="str">
            <v>YN1203</v>
          </cell>
        </row>
        <row r="704">
          <cell r="A704" t="str">
            <v>YN1209</v>
          </cell>
        </row>
        <row r="705">
          <cell r="A705" t="str">
            <v>YN1241</v>
          </cell>
        </row>
        <row r="706">
          <cell r="A706" t="str">
            <v>YN1266</v>
          </cell>
        </row>
        <row r="707">
          <cell r="A707" t="str">
            <v>YN1267</v>
          </cell>
        </row>
        <row r="708">
          <cell r="A708" t="str">
            <v>YN1272</v>
          </cell>
        </row>
        <row r="709">
          <cell r="A709" t="str">
            <v>YN1273</v>
          </cell>
        </row>
        <row r="710">
          <cell r="A710" t="str">
            <v>YN1306</v>
          </cell>
        </row>
        <row r="711">
          <cell r="A711" t="str">
            <v>YN1307</v>
          </cell>
        </row>
        <row r="712">
          <cell r="A712" t="str">
            <v>YN1339</v>
          </cell>
        </row>
        <row r="713">
          <cell r="A713" t="str">
            <v>YN1340</v>
          </cell>
        </row>
        <row r="714">
          <cell r="A714" t="str">
            <v>YN1345</v>
          </cell>
        </row>
        <row r="715">
          <cell r="A715" t="str">
            <v>YN1346</v>
          </cell>
        </row>
        <row r="716">
          <cell r="A716" t="str">
            <v>YN1347</v>
          </cell>
        </row>
        <row r="717">
          <cell r="A717" t="str">
            <v>YN1348</v>
          </cell>
        </row>
        <row r="718">
          <cell r="A718" t="str">
            <v>YN1349</v>
          </cell>
        </row>
        <row r="719">
          <cell r="A719" t="str">
            <v>YN1350</v>
          </cell>
        </row>
        <row r="720">
          <cell r="A720" t="str">
            <v>YN1351</v>
          </cell>
        </row>
        <row r="721">
          <cell r="A721" t="str">
            <v>YN1352</v>
          </cell>
        </row>
        <row r="722">
          <cell r="A722" t="str">
            <v>YN1353</v>
          </cell>
        </row>
        <row r="723">
          <cell r="A723" t="str">
            <v>YN1354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43" unboundColumnsRight="9">
    <queryTableFields count="44">
      <queryTableField id="38" name="Site Lease ID" tableColumnId="1"/>
      <queryTableField id="92" name="Mytel ID" tableColumnId="34"/>
      <queryTableField id="1" name="AT Site ID" tableColumnId="22"/>
      <queryTableField id="52" name="Rev" tableColumnId="15"/>
      <queryTableField id="53" name="Batch" tableColumnId="16"/>
      <queryTableField id="136" name="03tower_info.CW Vendor" tableColumnId="44"/>
      <queryTableField id="107" name="For Printing" tableColumnId="30"/>
      <queryTableField id="39" name="Regional Manager" tableColumnId="2"/>
      <queryTableField id="40" name="Site Type" tableColumnId="3"/>
      <queryTableField id="41" name="Tower Height" tableColumnId="4"/>
      <queryTableField id="42" name="Region" tableColumnId="5"/>
      <queryTableField id="43" name="City" tableColumnId="6"/>
      <queryTableField id="44" name="Longitude" tableColumnId="7"/>
      <queryTableField id="128" name="10colo_app.Batch_No" tableColumnId="39"/>
      <queryTableField id="133" name="10colo_app.Colo_Application_Date" tableColumnId="42"/>
      <queryTableField id="123" name="10colo_app.General Comment" tableColumnId="38"/>
      <queryTableField id="139" name="10colo_app.Lower limit 2" tableColumnId="46"/>
      <queryTableField id="45" name="Latitude" tableColumnId="8"/>
      <queryTableField id="46" name="Rooftop Height" tableColumnId="9"/>
      <queryTableField id="90" name="Number of Tenants" tableColumnId="33"/>
      <queryTableField id="129" name="10colo_app.Rev" tableColumnId="40"/>
      <queryTableField id="140" name="10colo_app.Upper limit 2" tableColumnId="47"/>
      <queryTableField id="47" name="Application Status" tableColumnId="10"/>
      <queryTableField id="48" name="Tower Extension" tableColumnId="11"/>
      <queryTableField id="49" name="Application Approval Date" tableColumnId="12"/>
      <queryTableField id="50" name="Vertical Lower" tableColumnId="13"/>
      <queryTableField id="51" name="Vertical Upper" tableColumnId="14"/>
      <queryTableField id="54" name="Mandatory Completion Date" tableColumnId="17"/>
      <queryTableField id="55" name="Initial Term" tableColumnId="23"/>
      <queryTableField id="114" name="40site_lease.Other_Rent_If_Known" tableColumnId="26"/>
      <queryTableField id="56" name="Power Model" tableColumnId="24"/>
      <queryTableField id="96" name="Access/HUB" tableColumnId="36"/>
      <queryTableField id="115" name="40site_lease.Site Lease Date" tableColumnId="29"/>
      <queryTableField id="116" name="40site_lease.Commencement_Date" tableColumnId="31"/>
      <queryTableField id="98" name="Grid Connection Date" tableColumnId="19"/>
      <queryTableField id="99" dataBound="0" tableColumnId="20"/>
      <queryTableField id="100" dataBound="0" tableColumnId="18"/>
      <queryTableField id="103" dataBound="0" tableColumnId="27"/>
      <queryTableField id="102" dataBound="0" tableColumnId="25"/>
      <queryTableField id="101" dataBound="0" tableColumnId="21"/>
      <queryTableField id="104" dataBound="0" tableColumnId="28"/>
      <queryTableField id="132" dataBound="0" tableColumnId="41"/>
      <queryTableField id="135" dataBound="0" tableColumnId="43"/>
      <queryTableField id="138" dataBound="0"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MySQL" displayName="MySQL" ref="A1:AR2" tableType="queryTable" totalsRowShown="0">
  <autoFilter ref="A1:AR2" xr:uid="{9586CC77-FDAF-4B20-BBB5-CBCA5E734AD5}"/>
  <tableColumns count="44">
    <tableColumn id="1" xr3:uid="{00000000-0010-0000-0000-000001000000}" uniqueName="1" name="Site Lease ID" queryTableFieldId="38"/>
    <tableColumn id="34" xr3:uid="{00000000-0010-0000-0000-000022000000}" uniqueName="34" name="Mytel ID" queryTableFieldId="92" dataDxfId="30"/>
    <tableColumn id="22" xr3:uid="{00000000-0010-0000-0000-000016000000}" uniqueName="22" name="AT Site ID" queryTableFieldId="1" dataDxfId="29"/>
    <tableColumn id="15" xr3:uid="{00000000-0010-0000-0000-00000F000000}" uniqueName="15" name="Rev" queryTableFieldId="52"/>
    <tableColumn id="16" xr3:uid="{00000000-0010-0000-0000-000010000000}" uniqueName="16" name="Batch" queryTableFieldId="53" dataDxfId="28"/>
    <tableColumn id="44" xr3:uid="{00000000-0010-0000-0000-00002C000000}" uniqueName="44" name="03tower_info.CW Vendor" queryTableFieldId="136" dataDxfId="27"/>
    <tableColumn id="30" xr3:uid="{00000000-0010-0000-0000-00001E000000}" uniqueName="30" name="For Printing" queryTableFieldId="107" dataDxfId="26"/>
    <tableColumn id="2" xr3:uid="{00000000-0010-0000-0000-000002000000}" uniqueName="2" name="Regional Manager" queryTableFieldId="39" dataDxfId="25"/>
    <tableColumn id="3" xr3:uid="{00000000-0010-0000-0000-000003000000}" uniqueName="3" name="Site Type" queryTableFieldId="40" dataDxfId="24"/>
    <tableColumn id="4" xr3:uid="{00000000-0010-0000-0000-000004000000}" uniqueName="4" name="Tower Height" queryTableFieldId="41"/>
    <tableColumn id="5" xr3:uid="{00000000-0010-0000-0000-000005000000}" uniqueName="5" name="Region" queryTableFieldId="42" dataDxfId="23"/>
    <tableColumn id="6" xr3:uid="{00000000-0010-0000-0000-000006000000}" uniqueName="6" name="City" queryTableFieldId="43" dataDxfId="22"/>
    <tableColumn id="7" xr3:uid="{00000000-0010-0000-0000-000007000000}" uniqueName="7" name="Longitude" queryTableFieldId="44"/>
    <tableColumn id="39" xr3:uid="{00000000-0010-0000-0000-000027000000}" uniqueName="39" name="10colo_app.Batch_No" queryTableFieldId="128"/>
    <tableColumn id="42" xr3:uid="{00000000-0010-0000-0000-00002A000000}" uniqueName="42" name="10colo_app.Colo_Application_Date" queryTableFieldId="133" dataDxfId="21"/>
    <tableColumn id="38" xr3:uid="{00000000-0010-0000-0000-000026000000}" uniqueName="38" name="10colo_app.General Comment" queryTableFieldId="123" dataDxfId="20"/>
    <tableColumn id="46" xr3:uid="{00000000-0010-0000-0000-00002E000000}" uniqueName="46" name="10colo_app.Lower limit 2" queryTableFieldId="139"/>
    <tableColumn id="8" xr3:uid="{00000000-0010-0000-0000-000008000000}" uniqueName="8" name="Latitude" queryTableFieldId="45"/>
    <tableColumn id="9" xr3:uid="{00000000-0010-0000-0000-000009000000}" uniqueName="9" name="Rooftop Height" queryTableFieldId="46"/>
    <tableColumn id="33" xr3:uid="{00000000-0010-0000-0000-000021000000}" uniqueName="33" name="Number of Tenants" queryTableFieldId="90"/>
    <tableColumn id="40" xr3:uid="{00000000-0010-0000-0000-000028000000}" uniqueName="40" name="10colo_app.Rev" queryTableFieldId="129"/>
    <tableColumn id="47" xr3:uid="{00000000-0010-0000-0000-00002F000000}" uniqueName="47" name="10colo_app.Upper limit 2" queryTableFieldId="140"/>
    <tableColumn id="10" xr3:uid="{00000000-0010-0000-0000-00000A000000}" uniqueName="10" name="Application Status" queryTableFieldId="47" dataDxfId="19"/>
    <tableColumn id="11" xr3:uid="{00000000-0010-0000-0000-00000B000000}" uniqueName="11" name="Tower Extension" queryTableFieldId="48"/>
    <tableColumn id="12" xr3:uid="{00000000-0010-0000-0000-00000C000000}" uniqueName="12" name="Application Approval Date" queryTableFieldId="49" dataDxfId="18"/>
    <tableColumn id="13" xr3:uid="{00000000-0010-0000-0000-00000D000000}" uniqueName="13" name="Vertical Lower" queryTableFieldId="50" dataDxfId="17"/>
    <tableColumn id="14" xr3:uid="{00000000-0010-0000-0000-00000E000000}" uniqueName="14" name="Vertical Upper" queryTableFieldId="51" dataDxfId="16"/>
    <tableColumn id="17" xr3:uid="{00000000-0010-0000-0000-000011000000}" uniqueName="17" name="Mandatory Completion Date" queryTableFieldId="54" dataDxfId="15"/>
    <tableColumn id="23" xr3:uid="{00000000-0010-0000-0000-000017000000}" uniqueName="23" name="Initial Term" queryTableFieldId="55" dataDxfId="14"/>
    <tableColumn id="26" xr3:uid="{00000000-0010-0000-0000-00001A000000}" uniqueName="26" name="40site_lease.Other_Rent_If_Known" queryTableFieldId="114" dataDxfId="13"/>
    <tableColumn id="24" xr3:uid="{00000000-0010-0000-0000-000018000000}" uniqueName="24" name="Power Model" queryTableFieldId="56" dataDxfId="12"/>
    <tableColumn id="36" xr3:uid="{00000000-0010-0000-0000-000024000000}" uniqueName="36" name="Access/HUB" queryTableFieldId="96" dataDxfId="11"/>
    <tableColumn id="29" xr3:uid="{00000000-0010-0000-0000-00001D000000}" uniqueName="29" name="40site_lease.Site Lease Date" queryTableFieldId="115" dataDxfId="10"/>
    <tableColumn id="31" xr3:uid="{00000000-0010-0000-0000-00001F000000}" uniqueName="31" name="40site_lease.Commencement_Date" queryTableFieldId="116" dataDxfId="9"/>
    <tableColumn id="19" xr3:uid="{00000000-0010-0000-0000-000013000000}" uniqueName="19" name="Grid Connection Date" queryTableFieldId="98" dataDxfId="8"/>
    <tableColumn id="20" xr3:uid="{00000000-0010-0000-0000-000014000000}" uniqueName="20" name="Site Type 2" queryTableFieldId="99" dataDxfId="7">
      <calculatedColumnFormula>IF(MySQL[[#This Row],[Site Type]]="GBT","Green field",
IF(MySQL[[#This Row],[Site Type]]="RTP","Roof top",MySQL[[#This Row],[Site Type]]))</calculatedColumnFormula>
    </tableColumn>
    <tableColumn id="18" xr3:uid="{00000000-0010-0000-0000-000012000000}" uniqueName="18" name="Additional Vertical Space Payment" queryTableFieldId="100" dataDxfId="6">
      <calculatedColumnFormula>IF(MySQL[[#This Row],[Vertical Upper]]-MySQL[[#This Row],[Vertical Lower]]+MySQL[[#This Row],[10colo_app.Upper limit 2]]-MySQL[[#This Row],[10colo_app.Lower limit 2]]&gt;5,100*(MySQL[[#This Row],[Vertical Upper]]-MySQL[[#This Row],[Vertical Lower]]+MySQL[[#This Row],[10colo_app.Upper limit 2]]-MySQL[[#This Row],[10colo_app.Lower limit 2]]-5),0)</calculatedColumnFormula>
    </tableColumn>
    <tableColumn id="27" xr3:uid="{00000000-0010-0000-0000-00001B000000}" uniqueName="27" name="Is Extension" queryTableFieldId="103" dataDxfId="5">
      <calculatedColumnFormula>IF(MySQL[[#This Row],[Tower Extension]]&gt;0,TRUE,FALSE)</calculatedColumnFormula>
    </tableColumn>
    <tableColumn id="25" xr3:uid="{00000000-0010-0000-0000-000019000000}" uniqueName="25" name="Count Extension" queryTableFieldId="102" dataDxfId="4">
      <calculatedColumnFormula>IF(MySQL[[#This Row],[Is Extension]]=TRUE,COUNTIF($AL$2:AL2,TRUE),0)</calculatedColumnFormula>
    </tableColumn>
    <tableColumn id="21" xr3:uid="{00000000-0010-0000-0000-000015000000}" uniqueName="21" name="Tower Extension Fee" queryTableFieldId="101" dataDxfId="3">
      <calculatedColumnFormula>IF(MySQL[[#This Row],[Count Extension]]&lt;0.12*676,0,3500)</calculatedColumnFormula>
    </tableColumn>
    <tableColumn id="28" xr3:uid="{00000000-0010-0000-0000-00001C000000}" uniqueName="28" name="Colo App Excel" queryTableFieldId="104" dataDxfId="2">
      <calculatedColumnFormula>CONCATENATE(MySQL[[#This Row],[AT Site ID]],"_",MySQL[[#This Row],[Mytel ID]],"_Rev ",MySQL[[#This Row],[10colo_app.Rev]],".xlsb")</calculatedColumnFormula>
    </tableColumn>
    <tableColumn id="41" xr3:uid="{00000000-0010-0000-0000-000029000000}" uniqueName="41" name="Test Colo app Rev" queryTableFieldId="132" dataDxfId="1">
      <calculatedColumnFormula>MySQL[[#This Row],[Application Approval Date]]&gt;=MySQL[[#This Row],[10colo_app.Colo_Application_Date]]</calculatedColumnFormula>
    </tableColumn>
    <tableColumn id="43" xr3:uid="{00000000-0010-0000-0000-00002B000000}" uniqueName="43" name="Test Site Lease Rev" queryTableFieldId="135" dataDxfId="0">
      <calculatedColumnFormula>IF(MySQL[[#This Row],[40site_lease.Site Lease Date]]&lt;&gt;"",MySQL[[#This Row],[40site_lease.Site Lease Date]]&gt;=MySQL[[#This Row],[Application Approval Date]],"")</calculatedColumnFormula>
    </tableColumn>
    <tableColumn id="45" xr3:uid="{00000000-0010-0000-0000-00002D000000}" uniqueName="45" name="EPA Calculation" queryTableFieldId="13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EPACalculation" displayName="EPACalculation" ref="B2:C6" totalsRowShown="0">
  <autoFilter ref="B2:C6" xr:uid="{00000000-0009-0000-0100-000001000000}"/>
  <tableColumns count="2">
    <tableColumn id="1" xr3:uid="{00000000-0010-0000-0100-000001000000}" name="Antenna"/>
    <tableColumn id="2" xr3:uid="{00000000-0010-0000-0100-000002000000}" name="EP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outlinePr summaryBelow="0" summaryRight="0"/>
    <pageSetUpPr fitToPage="1"/>
  </sheetPr>
  <dimension ref="A1:AB845"/>
  <sheetViews>
    <sheetView zoomScaleNormal="100" workbookViewId="0">
      <selection activeCell="R3" sqref="R3:U3"/>
    </sheetView>
  </sheetViews>
  <sheetFormatPr defaultColWidth="0" defaultRowHeight="15" outlineLevelCol="1" x14ac:dyDescent="0.25"/>
  <cols>
    <col min="1" max="1" width="9.140625" style="16" customWidth="1"/>
    <col min="2" max="2" width="3" style="16" hidden="1" customWidth="1"/>
    <col min="3" max="3" width="9.140625" style="16" customWidth="1"/>
    <col min="4" max="4" width="12.7109375" style="16" bestFit="1" customWidth="1"/>
    <col min="5" max="7" width="9.140625" style="16" customWidth="1"/>
    <col min="8" max="8" width="16" style="16" customWidth="1"/>
    <col min="9" max="9" width="9.42578125" style="16" bestFit="1" customWidth="1"/>
    <col min="10" max="12" width="9.140625" style="16" customWidth="1"/>
    <col min="13" max="13" width="2.5703125" style="16" customWidth="1"/>
    <col min="14" max="14" width="9.140625" style="47" customWidth="1" outlineLevel="1"/>
    <col min="15" max="16" width="9.140625" style="16" customWidth="1" outlineLevel="1"/>
    <col min="17" max="17" width="31.140625" style="47" customWidth="1" outlineLevel="1"/>
    <col min="18" max="20" width="9.140625" style="47" customWidth="1" outlineLevel="1"/>
    <col min="21" max="21" width="16.28515625" style="47" bestFit="1" customWidth="1" outlineLevel="1"/>
    <col min="22" max="27" width="9.140625" style="47" customWidth="1" outlineLevel="1"/>
    <col min="28" max="16384" width="9.140625" style="16" hidden="1"/>
  </cols>
  <sheetData>
    <row r="1" spans="1:28" s="7" customFormat="1" x14ac:dyDescent="0.25">
      <c r="A1" s="17"/>
      <c r="B1" s="37"/>
      <c r="C1" s="17"/>
      <c r="D1" s="17"/>
      <c r="E1" s="17"/>
      <c r="F1" s="17"/>
      <c r="G1" s="17"/>
      <c r="H1" s="17"/>
      <c r="I1" s="17"/>
      <c r="J1" s="17"/>
      <c r="K1" s="17"/>
      <c r="L1" s="17"/>
      <c r="M1" s="17"/>
      <c r="N1" s="1"/>
      <c r="Q1" s="1"/>
      <c r="R1" s="1"/>
      <c r="S1" s="1"/>
      <c r="T1" s="1"/>
      <c r="U1" s="1"/>
      <c r="V1" s="1"/>
      <c r="W1" s="1"/>
      <c r="X1" s="1"/>
      <c r="Y1" s="1"/>
      <c r="Z1" s="1"/>
      <c r="AA1" s="1"/>
    </row>
    <row r="2" spans="1:28" s="7" customFormat="1" x14ac:dyDescent="0.25">
      <c r="A2" s="17"/>
      <c r="B2" s="37"/>
      <c r="C2" s="111" t="s">
        <v>365</v>
      </c>
      <c r="D2" s="111"/>
      <c r="E2" s="111"/>
      <c r="F2" s="111"/>
      <c r="G2" s="111"/>
      <c r="H2" s="111"/>
      <c r="I2" s="111"/>
      <c r="J2" s="111"/>
      <c r="K2" s="111"/>
      <c r="L2" s="111"/>
      <c r="M2" s="17"/>
      <c r="N2" s="1"/>
      <c r="O2" s="121" t="s">
        <v>26</v>
      </c>
      <c r="P2" s="121"/>
      <c r="T2" s="1"/>
      <c r="U2" s="1"/>
      <c r="V2" s="1"/>
      <c r="W2" s="1"/>
      <c r="X2" s="1"/>
      <c r="Y2" s="1"/>
      <c r="Z2" s="1"/>
      <c r="AA2" s="1"/>
    </row>
    <row r="3" spans="1:28" s="7" customFormat="1" x14ac:dyDescent="0.25">
      <c r="A3" s="17"/>
      <c r="B3" s="37"/>
      <c r="C3" s="17"/>
      <c r="D3" s="17"/>
      <c r="E3" s="17"/>
      <c r="F3" s="17"/>
      <c r="G3" s="17"/>
      <c r="H3" s="17"/>
      <c r="I3" s="17"/>
      <c r="J3" s="17"/>
      <c r="K3" s="17"/>
      <c r="L3" s="76" t="str">
        <f>IFERROR(IF(VLOOKUP(PrintID,MySQL[],Form!R12,FALSE)&gt;0,VLOOKUP(PrintID,MySQL[],Form!R12,FALSE),""),"")</f>
        <v/>
      </c>
      <c r="M3" s="17"/>
      <c r="N3" s="1"/>
      <c r="O3" s="2" t="s">
        <v>25</v>
      </c>
      <c r="P3" s="80">
        <v>718</v>
      </c>
      <c r="Q3" s="51" t="s">
        <v>319</v>
      </c>
      <c r="R3" s="112" t="e">
        <f>HYPERLINK(AppFolder&amp;AppName)</f>
        <v>#N/A</v>
      </c>
      <c r="S3" s="112"/>
      <c r="T3" s="112"/>
      <c r="U3" s="112"/>
      <c r="V3" s="1"/>
      <c r="W3" s="1"/>
      <c r="X3" s="1"/>
      <c r="Y3" s="1"/>
      <c r="Z3" s="1"/>
      <c r="AA3" s="1"/>
    </row>
    <row r="4" spans="1:28" s="7" customFormat="1" x14ac:dyDescent="0.25">
      <c r="A4" s="17"/>
      <c r="B4" s="37"/>
      <c r="C4" s="122" t="s">
        <v>342</v>
      </c>
      <c r="D4" s="122"/>
      <c r="E4" s="122"/>
      <c r="F4" s="122"/>
      <c r="G4" s="17"/>
      <c r="H4" s="17"/>
      <c r="I4" s="17"/>
      <c r="J4" s="17"/>
      <c r="K4" s="17"/>
      <c r="L4" s="17"/>
      <c r="M4" s="17"/>
      <c r="N4" s="1"/>
      <c r="O4" s="2" t="s">
        <v>27</v>
      </c>
      <c r="P4" s="2" t="str">
        <f>IFERROR(_xlfn.NUMBERVALUE(VLOOKUP(PrintID,MySQL[],MATCH(O4,MySQL!$1:$1,0),FALSE)),"")</f>
        <v/>
      </c>
      <c r="Q4" s="30" t="s">
        <v>335</v>
      </c>
      <c r="R4" s="116" t="s">
        <v>361</v>
      </c>
      <c r="S4" s="117"/>
      <c r="T4" s="117"/>
      <c r="U4" s="117"/>
      <c r="V4" s="117"/>
      <c r="W4" s="117"/>
      <c r="X4" s="117"/>
      <c r="Y4" s="118"/>
      <c r="Z4" s="1"/>
      <c r="AA4" s="1"/>
    </row>
    <row r="5" spans="1:28" s="7" customFormat="1" x14ac:dyDescent="0.25">
      <c r="A5" s="17"/>
      <c r="B5" s="37"/>
      <c r="C5" s="17"/>
      <c r="D5" s="17"/>
      <c r="E5" s="17"/>
      <c r="F5" s="17"/>
      <c r="G5" s="17"/>
      <c r="H5" s="17"/>
      <c r="I5" s="17"/>
      <c r="J5" s="17"/>
      <c r="K5" s="17"/>
      <c r="L5" s="17"/>
      <c r="M5" s="17"/>
      <c r="N5" s="1"/>
      <c r="O5" s="2" t="s">
        <v>1</v>
      </c>
      <c r="P5" s="2" t="str">
        <f>IFERROR(_xlfn.NUMBERVALUE(VLOOKUP(PrintID,MySQL[],MATCH(O5,MySQL!$1:$1,0),FALSE)),"")</f>
        <v/>
      </c>
      <c r="Q5" s="30" t="s">
        <v>336</v>
      </c>
      <c r="R5" s="113" t="e">
        <f>VLOOKUP(PrintID,MySQL[],MATCH("Colo App Excel",MySQL!$1:$1,0),FALSE)</f>
        <v>#N/A</v>
      </c>
      <c r="S5" s="114"/>
      <c r="T5" s="114"/>
      <c r="U5" s="115"/>
      <c r="V5" s="1"/>
      <c r="W5" s="1"/>
      <c r="X5" s="1"/>
      <c r="Y5" s="1"/>
      <c r="Z5" s="1"/>
      <c r="AA5" s="1"/>
    </row>
    <row r="6" spans="1:28" s="7" customFormat="1" x14ac:dyDescent="0.25">
      <c r="A6" s="17"/>
      <c r="B6" s="37"/>
      <c r="C6" s="18" t="s">
        <v>354</v>
      </c>
      <c r="D6" s="17"/>
      <c r="E6" s="17"/>
      <c r="F6" s="17"/>
      <c r="G6" s="17"/>
      <c r="H6" s="17"/>
      <c r="I6" s="17"/>
      <c r="J6" s="17"/>
      <c r="K6" s="17"/>
      <c r="L6" s="17"/>
      <c r="M6" s="17"/>
      <c r="N6" s="1"/>
      <c r="O6" s="2" t="s">
        <v>140</v>
      </c>
      <c r="P6" s="3" t="str">
        <f>IFERROR(IF(VLOOKUP(PrintID,MySQL[],MATCH(O6,MySQL!$1:$1,0),FALSE)=0,"",
VLOOKUP(PrintID,MySQL[],MATCH(O6,MySQL!$1:$1,0),FALSE)),"")</f>
        <v/>
      </c>
      <c r="Q6" s="1"/>
      <c r="R6" s="1"/>
      <c r="S6" s="1"/>
      <c r="T6" s="1"/>
      <c r="U6" s="1"/>
      <c r="V6" s="1"/>
      <c r="W6" s="1"/>
      <c r="X6" s="1"/>
      <c r="Y6" s="1"/>
      <c r="Z6" s="1"/>
      <c r="AA6" s="1"/>
    </row>
    <row r="7" spans="1:28" s="7" customFormat="1" x14ac:dyDescent="0.25">
      <c r="A7" s="17"/>
      <c r="B7" s="37"/>
      <c r="C7" s="17" t="s">
        <v>360</v>
      </c>
      <c r="D7" s="17"/>
      <c r="E7" s="17"/>
      <c r="F7" s="17"/>
      <c r="G7" s="17"/>
      <c r="H7" s="17"/>
      <c r="I7" s="17"/>
      <c r="J7" s="17"/>
      <c r="K7" s="17"/>
      <c r="L7" s="17"/>
      <c r="M7" s="17"/>
      <c r="N7" s="1"/>
      <c r="O7" s="4" t="s">
        <v>141</v>
      </c>
      <c r="P7" s="5">
        <f>MAX(MySQL[Site Lease ID])</f>
        <v>679</v>
      </c>
      <c r="Q7" s="52" t="s">
        <v>337</v>
      </c>
      <c r="R7" s="119" t="str">
        <f ca="1">IFERROR(INDIRECT(CONCATENATE("'[",AppName,"]Sheet1'!A7")),"Not Imported")</f>
        <v>Not Imported</v>
      </c>
      <c r="S7" s="120"/>
      <c r="T7" s="1"/>
      <c r="U7" s="1"/>
      <c r="V7" s="1"/>
      <c r="W7" s="1"/>
      <c r="X7" s="1"/>
      <c r="Y7" s="1"/>
      <c r="Z7" s="1"/>
      <c r="AA7" s="1"/>
    </row>
    <row r="8" spans="1:28" s="7" customFormat="1" x14ac:dyDescent="0.25">
      <c r="A8" s="17"/>
      <c r="B8" s="37"/>
      <c r="C8" s="17"/>
      <c r="D8" s="17"/>
      <c r="E8" s="17"/>
      <c r="F8" s="17"/>
      <c r="G8" s="17"/>
      <c r="H8" s="17"/>
      <c r="I8" s="17"/>
      <c r="J8" s="17"/>
      <c r="K8" s="17"/>
      <c r="L8" s="17"/>
      <c r="M8" s="17"/>
      <c r="N8" s="1"/>
      <c r="O8" s="4" t="s">
        <v>142</v>
      </c>
      <c r="P8" s="5">
        <f>COUNTIF(MySQL[For Printing],"Yes")</f>
        <v>0</v>
      </c>
      <c r="Q8" s="1"/>
      <c r="R8" s="1"/>
      <c r="S8" s="1"/>
      <c r="T8" s="1"/>
      <c r="U8" s="1"/>
      <c r="V8" s="1"/>
      <c r="W8" s="1"/>
      <c r="X8" s="1"/>
      <c r="Y8" s="1"/>
      <c r="Z8" s="1"/>
      <c r="AA8" s="1"/>
    </row>
    <row r="9" spans="1:28" s="7" customFormat="1" ht="77.25" customHeight="1" x14ac:dyDescent="0.25">
      <c r="A9" s="17"/>
      <c r="B9" s="37"/>
      <c r="C9" s="105" t="s">
        <v>363</v>
      </c>
      <c r="D9" s="105"/>
      <c r="E9" s="105"/>
      <c r="F9" s="105"/>
      <c r="G9" s="105"/>
      <c r="H9" s="105"/>
      <c r="I9" s="105"/>
      <c r="J9" s="105"/>
      <c r="K9" s="105"/>
      <c r="L9" s="105"/>
      <c r="M9" s="19"/>
      <c r="N9" s="1"/>
      <c r="O9" s="1"/>
      <c r="P9" s="1"/>
      <c r="Q9" s="1"/>
      <c r="R9" s="1"/>
      <c r="S9" s="1"/>
      <c r="T9" s="1"/>
      <c r="U9" s="1"/>
      <c r="V9" s="1"/>
      <c r="W9" s="1"/>
      <c r="X9" s="1"/>
      <c r="Y9" s="1"/>
      <c r="Z9" s="1"/>
      <c r="AA9" s="1"/>
    </row>
    <row r="10" spans="1:28" s="7" customFormat="1" x14ac:dyDescent="0.25">
      <c r="A10" s="17"/>
      <c r="B10" s="37"/>
      <c r="C10" s="20"/>
      <c r="D10" s="20"/>
      <c r="E10" s="20"/>
      <c r="F10" s="20"/>
      <c r="G10" s="20"/>
      <c r="H10" s="20"/>
      <c r="I10" s="20"/>
      <c r="J10" s="20"/>
      <c r="K10" s="20"/>
      <c r="L10" s="17"/>
      <c r="M10" s="17"/>
      <c r="N10" s="1"/>
      <c r="O10" s="1"/>
      <c r="P10" s="1"/>
      <c r="Q10" s="1"/>
      <c r="R10" s="1"/>
      <c r="S10" s="1"/>
      <c r="T10" s="1"/>
      <c r="U10" s="1"/>
      <c r="V10" s="1"/>
      <c r="W10" s="1"/>
      <c r="X10" s="1"/>
      <c r="Y10" s="1"/>
      <c r="Z10" s="1"/>
      <c r="AA10" s="1"/>
    </row>
    <row r="11" spans="1:28" s="7" customFormat="1" x14ac:dyDescent="0.25">
      <c r="A11" s="17"/>
      <c r="B11" s="37"/>
      <c r="C11" s="21" t="s">
        <v>245</v>
      </c>
      <c r="D11" s="17"/>
      <c r="E11" s="17"/>
      <c r="F11" s="17"/>
      <c r="G11" s="17"/>
      <c r="H11" s="17"/>
      <c r="I11" s="17"/>
      <c r="J11" s="17"/>
      <c r="K11" s="17"/>
      <c r="L11" s="17"/>
      <c r="M11" s="17"/>
      <c r="N11" s="1"/>
      <c r="O11" s="1"/>
      <c r="P11" s="1"/>
      <c r="Q11" s="1"/>
      <c r="R11" s="1"/>
      <c r="S11" s="1"/>
      <c r="T11" s="1"/>
      <c r="U11" s="1"/>
      <c r="V11" s="1"/>
      <c r="W11" s="1"/>
      <c r="X11" s="1"/>
      <c r="Y11" s="1"/>
      <c r="Z11" s="1"/>
      <c r="AA11" s="1"/>
    </row>
    <row r="12" spans="1:28" s="7" customFormat="1" x14ac:dyDescent="0.25">
      <c r="A12" s="17"/>
      <c r="B12" s="37"/>
      <c r="C12" s="17"/>
      <c r="D12" s="17"/>
      <c r="E12" s="17"/>
      <c r="F12" s="17"/>
      <c r="G12" s="17"/>
      <c r="H12" s="17"/>
      <c r="I12" s="17"/>
      <c r="J12" s="17"/>
      <c r="K12" s="17"/>
      <c r="L12" s="17"/>
      <c r="M12" s="17"/>
      <c r="N12" s="1"/>
      <c r="O12" s="1"/>
      <c r="P12" s="1"/>
      <c r="Q12" s="66" t="s">
        <v>1</v>
      </c>
      <c r="R12" s="1">
        <f>MATCH(Q12,MySQL!$1:$1,0)</f>
        <v>4</v>
      </c>
      <c r="S12" s="1"/>
      <c r="T12" s="1"/>
      <c r="U12" s="1"/>
      <c r="V12" s="1"/>
      <c r="W12" s="1"/>
      <c r="X12" s="1"/>
      <c r="Y12" s="1"/>
      <c r="Z12" s="1"/>
      <c r="AA12" s="1"/>
    </row>
    <row r="13" spans="1:28" s="7" customFormat="1" x14ac:dyDescent="0.25">
      <c r="A13" s="17"/>
      <c r="B13" s="37"/>
      <c r="C13" s="17" t="s">
        <v>246</v>
      </c>
      <c r="D13" s="17"/>
      <c r="E13" s="17"/>
      <c r="F13" s="17"/>
      <c r="G13" s="17" t="e">
        <f>VLOOKUP(PrintID,MySQL[],Form!R13,FALSE)</f>
        <v>#N/A</v>
      </c>
      <c r="H13" s="17"/>
      <c r="I13" s="17"/>
      <c r="J13" s="17"/>
      <c r="K13" s="17"/>
      <c r="L13" s="17"/>
      <c r="M13" s="17"/>
      <c r="N13" s="1"/>
      <c r="O13" s="1"/>
      <c r="P13" s="1"/>
      <c r="Q13" s="67" t="s">
        <v>0</v>
      </c>
      <c r="R13" s="1">
        <f>MATCH(Q13,MySQL!$1:$1,0)</f>
        <v>3</v>
      </c>
      <c r="S13" s="1"/>
      <c r="T13" s="1"/>
      <c r="U13" s="1"/>
      <c r="V13" s="1"/>
      <c r="W13" s="1"/>
      <c r="X13" s="1"/>
      <c r="Y13" s="1"/>
      <c r="Z13" s="1"/>
      <c r="AA13" s="1"/>
    </row>
    <row r="14" spans="1:28" s="7" customFormat="1" x14ac:dyDescent="0.25">
      <c r="A14" s="17"/>
      <c r="B14" s="37"/>
      <c r="C14" s="17" t="s">
        <v>247</v>
      </c>
      <c r="D14" s="17"/>
      <c r="E14" s="17"/>
      <c r="F14" s="17"/>
      <c r="G14" s="17" t="e">
        <f>VLOOKUP(PrintID,MySQL[],Form!R14,FALSE)</f>
        <v>#N/A</v>
      </c>
      <c r="H14" s="17"/>
      <c r="I14" s="17"/>
      <c r="J14" s="17"/>
      <c r="K14" s="17"/>
      <c r="L14" s="17"/>
      <c r="M14" s="17"/>
      <c r="N14" s="1"/>
      <c r="O14" s="1"/>
      <c r="P14" s="1"/>
      <c r="Q14" s="66" t="s">
        <v>28</v>
      </c>
      <c r="R14" s="1">
        <f>MATCH(Q14,MySQL!$1:$1,0)</f>
        <v>2</v>
      </c>
      <c r="S14" s="1"/>
      <c r="T14" s="1"/>
      <c r="U14" s="1"/>
      <c r="V14" s="1"/>
      <c r="W14" s="1"/>
      <c r="X14" s="1"/>
      <c r="Y14" s="1"/>
      <c r="Z14" s="1"/>
      <c r="AA14" s="1"/>
    </row>
    <row r="15" spans="1:28" s="7" customFormat="1" x14ac:dyDescent="0.25">
      <c r="A15" s="17"/>
      <c r="B15" s="37"/>
      <c r="C15" s="17" t="s">
        <v>248</v>
      </c>
      <c r="D15" s="17"/>
      <c r="E15" s="17"/>
      <c r="F15" s="17"/>
      <c r="G15" s="17" t="e">
        <f>VLOOKUP(PrintID,MySQL[],Form!R15,FALSE)</f>
        <v>#N/A</v>
      </c>
      <c r="H15" s="17"/>
      <c r="I15" s="17"/>
      <c r="J15" s="17"/>
      <c r="K15" s="17"/>
      <c r="L15" s="17"/>
      <c r="M15" s="17"/>
      <c r="N15" s="1"/>
      <c r="O15" s="1"/>
      <c r="P15" s="1"/>
      <c r="Q15" s="66" t="s">
        <v>369</v>
      </c>
      <c r="R15" s="1">
        <f>MATCH(Q15,MySQL!$1:$1,0)</f>
        <v>11</v>
      </c>
      <c r="S15" s="1"/>
      <c r="T15" s="1"/>
      <c r="U15" s="1"/>
      <c r="V15" s="1"/>
      <c r="W15" s="1"/>
      <c r="X15" s="1"/>
      <c r="Y15" s="1"/>
      <c r="Z15" s="1"/>
      <c r="AA15" s="1"/>
    </row>
    <row r="16" spans="1:28" s="7" customFormat="1" x14ac:dyDescent="0.25">
      <c r="A16" s="17"/>
      <c r="B16" s="37"/>
      <c r="C16" s="17" t="s">
        <v>249</v>
      </c>
      <c r="D16" s="17"/>
      <c r="E16" s="17"/>
      <c r="F16" s="17"/>
      <c r="G16" s="17" t="e">
        <f>VLOOKUP(PrintID,MySQL[],Form!R16,FALSE)</f>
        <v>#N/A</v>
      </c>
      <c r="H16" s="17"/>
      <c r="I16" s="17"/>
      <c r="J16" s="17"/>
      <c r="K16" s="17"/>
      <c r="L16" s="17"/>
      <c r="M16" s="17"/>
      <c r="N16" s="1"/>
      <c r="O16" s="1"/>
      <c r="P16" s="1"/>
      <c r="Q16" s="66" t="s">
        <v>370</v>
      </c>
      <c r="R16" s="1">
        <f>MATCH(Q16,MySQL!$1:$1,0)</f>
        <v>12</v>
      </c>
      <c r="S16" s="1"/>
      <c r="T16" s="1"/>
      <c r="U16" s="1"/>
      <c r="V16" s="1"/>
      <c r="W16" s="1"/>
      <c r="X16" s="1"/>
      <c r="Y16" s="1"/>
      <c r="Z16" s="1"/>
      <c r="AA16" s="1"/>
      <c r="AB16" s="10"/>
    </row>
    <row r="17" spans="1:27" s="7" customFormat="1" x14ac:dyDescent="0.25">
      <c r="A17" s="17"/>
      <c r="B17" s="37"/>
      <c r="C17" s="17"/>
      <c r="D17" s="17"/>
      <c r="E17" s="17"/>
      <c r="F17" s="17"/>
      <c r="G17" s="17"/>
      <c r="H17" s="17"/>
      <c r="I17" s="17"/>
      <c r="J17" s="17"/>
      <c r="K17" s="17"/>
      <c r="L17" s="17"/>
      <c r="M17" s="17"/>
      <c r="N17" s="1"/>
      <c r="O17" s="1"/>
      <c r="P17" s="1"/>
      <c r="Q17" s="1"/>
      <c r="R17" s="1"/>
      <c r="S17" s="1"/>
      <c r="T17" s="1"/>
      <c r="U17" s="1"/>
      <c r="V17" s="1"/>
      <c r="W17" s="1"/>
      <c r="X17" s="1"/>
      <c r="Y17" s="1"/>
      <c r="Z17" s="1"/>
      <c r="AA17" s="1"/>
    </row>
    <row r="18" spans="1:27" s="7" customFormat="1" x14ac:dyDescent="0.25">
      <c r="A18" s="17"/>
      <c r="B18" s="37"/>
      <c r="C18" s="21" t="s">
        <v>250</v>
      </c>
      <c r="D18" s="17"/>
      <c r="E18" s="17"/>
      <c r="F18" s="17"/>
      <c r="G18" s="17"/>
      <c r="H18" s="17"/>
      <c r="I18" s="17"/>
      <c r="J18" s="17"/>
      <c r="K18" s="17"/>
      <c r="L18" s="17"/>
      <c r="M18" s="17"/>
      <c r="N18" s="1"/>
      <c r="O18" s="1"/>
      <c r="P18" s="1"/>
      <c r="Q18" s="1"/>
      <c r="R18" s="1"/>
      <c r="S18" s="1"/>
      <c r="T18" s="1"/>
      <c r="U18" s="1"/>
      <c r="V18" s="1"/>
      <c r="W18" s="1"/>
      <c r="X18" s="1"/>
      <c r="Y18" s="1"/>
      <c r="Z18" s="1"/>
      <c r="AA18" s="1"/>
    </row>
    <row r="19" spans="1:27" s="7" customFormat="1" x14ac:dyDescent="0.25">
      <c r="A19" s="17"/>
      <c r="B19" s="37"/>
      <c r="C19" s="21"/>
      <c r="D19" s="17"/>
      <c r="E19" s="17"/>
      <c r="F19" s="17"/>
      <c r="G19" s="17"/>
      <c r="H19" s="17"/>
      <c r="I19" s="17"/>
      <c r="J19" s="17"/>
      <c r="K19" s="17"/>
      <c r="L19" s="17"/>
      <c r="M19" s="17"/>
      <c r="N19" s="1"/>
      <c r="O19" s="1"/>
      <c r="P19" s="1"/>
      <c r="Q19" s="1"/>
      <c r="R19" s="1"/>
      <c r="S19" s="1"/>
      <c r="T19" s="1"/>
      <c r="U19" s="1"/>
      <c r="V19" s="1"/>
      <c r="W19" s="1"/>
      <c r="X19" s="1"/>
      <c r="Y19" s="1"/>
      <c r="Z19" s="1"/>
      <c r="AA19" s="1"/>
    </row>
    <row r="20" spans="1:27" s="7" customFormat="1" x14ac:dyDescent="0.25">
      <c r="A20" s="17"/>
      <c r="B20" s="37"/>
      <c r="C20" s="17" t="s">
        <v>251</v>
      </c>
      <c r="D20" s="17"/>
      <c r="E20" s="17"/>
      <c r="F20" s="17"/>
      <c r="G20" s="17" t="e">
        <f>VLOOKUP(PrintID,MySQL[],Form!R20,FALSE)</f>
        <v>#N/A</v>
      </c>
      <c r="H20" s="17"/>
      <c r="I20" s="17"/>
      <c r="J20" s="17"/>
      <c r="K20" s="17"/>
      <c r="L20" s="17"/>
      <c r="M20" s="17"/>
      <c r="N20" s="1"/>
      <c r="O20" s="1"/>
      <c r="P20" s="1"/>
      <c r="Q20" s="66" t="s">
        <v>372</v>
      </c>
      <c r="R20" s="1">
        <f>MATCH(Q20,MySQL!$1:$1,0)</f>
        <v>18</v>
      </c>
      <c r="S20" s="1"/>
      <c r="T20" s="1"/>
      <c r="U20" s="1"/>
      <c r="V20" s="1"/>
      <c r="W20" s="1"/>
      <c r="X20" s="1"/>
      <c r="Y20" s="1"/>
      <c r="Z20" s="1"/>
      <c r="AA20" s="1"/>
    </row>
    <row r="21" spans="1:27" s="7" customFormat="1" x14ac:dyDescent="0.25">
      <c r="A21" s="17"/>
      <c r="B21" s="37"/>
      <c r="C21" s="17" t="s">
        <v>252</v>
      </c>
      <c r="D21" s="17"/>
      <c r="E21" s="17"/>
      <c r="F21" s="17"/>
      <c r="G21" s="17" t="e">
        <f>VLOOKUP(PrintID,MySQL[],Form!R21,FALSE)</f>
        <v>#N/A</v>
      </c>
      <c r="H21" s="17"/>
      <c r="I21" s="17"/>
      <c r="J21" s="17"/>
      <c r="K21" s="17"/>
      <c r="L21" s="17"/>
      <c r="M21" s="17"/>
      <c r="N21" s="1"/>
      <c r="O21" s="1"/>
      <c r="P21" s="1"/>
      <c r="Q21" s="66" t="s">
        <v>371</v>
      </c>
      <c r="R21" s="1">
        <f>MATCH(Q21,MySQL!$1:$1,0)</f>
        <v>13</v>
      </c>
      <c r="S21" s="1"/>
      <c r="T21" s="1"/>
      <c r="U21" s="1"/>
      <c r="V21" s="1"/>
      <c r="W21" s="1"/>
      <c r="X21" s="1"/>
      <c r="Y21" s="1"/>
      <c r="Z21" s="1"/>
      <c r="AA21" s="1"/>
    </row>
    <row r="22" spans="1:27" s="7" customFormat="1" x14ac:dyDescent="0.25">
      <c r="A22" s="17"/>
      <c r="B22" s="37"/>
      <c r="C22" s="17"/>
      <c r="D22" s="17"/>
      <c r="E22" s="17"/>
      <c r="F22" s="17"/>
      <c r="G22" s="17"/>
      <c r="H22" s="17"/>
      <c r="I22" s="17"/>
      <c r="J22" s="17"/>
      <c r="K22" s="17"/>
      <c r="L22" s="17"/>
      <c r="M22" s="17"/>
      <c r="N22" s="1"/>
      <c r="O22" s="1"/>
      <c r="P22" s="1"/>
      <c r="Q22" s="1"/>
      <c r="R22" s="1"/>
      <c r="S22" s="1"/>
      <c r="T22" s="1"/>
      <c r="U22" s="1"/>
      <c r="V22" s="1"/>
      <c r="W22" s="1"/>
      <c r="X22" s="1"/>
      <c r="Y22" s="1"/>
      <c r="Z22" s="1"/>
      <c r="AA22" s="1"/>
    </row>
    <row r="23" spans="1:27" s="7" customFormat="1" x14ac:dyDescent="0.25">
      <c r="A23" s="17"/>
      <c r="B23" s="37"/>
      <c r="C23" s="21" t="s">
        <v>253</v>
      </c>
      <c r="D23" s="17"/>
      <c r="E23" s="17"/>
      <c r="F23" s="17"/>
      <c r="G23" s="17"/>
      <c r="H23" s="17"/>
      <c r="I23" s="17"/>
      <c r="J23" s="17"/>
      <c r="K23" s="17"/>
      <c r="L23" s="17"/>
      <c r="M23" s="17"/>
      <c r="N23" s="1"/>
      <c r="O23" s="1"/>
      <c r="P23" s="1"/>
      <c r="Q23" s="1"/>
      <c r="R23" s="1"/>
      <c r="S23" s="1"/>
      <c r="T23" s="1"/>
      <c r="U23" s="1"/>
      <c r="V23" s="1"/>
      <c r="W23" s="1"/>
      <c r="X23" s="1"/>
      <c r="Y23" s="1"/>
      <c r="Z23" s="1"/>
      <c r="AA23" s="1"/>
    </row>
    <row r="24" spans="1:27" s="7" customFormat="1" x14ac:dyDescent="0.25">
      <c r="A24" s="17"/>
      <c r="B24" s="37"/>
      <c r="C24" s="17"/>
      <c r="D24" s="17"/>
      <c r="E24" s="17"/>
      <c r="F24" s="17"/>
      <c r="G24" s="17"/>
      <c r="H24" s="17"/>
      <c r="I24" s="17"/>
      <c r="J24" s="17"/>
      <c r="K24" s="17"/>
      <c r="L24" s="17"/>
      <c r="M24" s="17"/>
      <c r="N24" s="1"/>
      <c r="O24" s="1"/>
      <c r="P24" s="1"/>
      <c r="Q24" s="1"/>
      <c r="R24" s="1"/>
      <c r="S24" s="1"/>
      <c r="T24" s="1"/>
      <c r="U24" s="1"/>
      <c r="V24" s="1"/>
      <c r="W24" s="1"/>
      <c r="X24" s="1"/>
      <c r="Y24" s="1"/>
      <c r="Z24" s="1"/>
      <c r="AA24" s="1"/>
    </row>
    <row r="25" spans="1:27" s="7" customFormat="1" x14ac:dyDescent="0.25">
      <c r="A25" s="17"/>
      <c r="B25" s="37"/>
      <c r="C25" s="17" t="s">
        <v>291</v>
      </c>
      <c r="D25" s="17"/>
      <c r="E25" s="17"/>
      <c r="F25" s="17"/>
      <c r="G25" s="34" t="e">
        <f>VLOOKUP(PrintID,MySQL[],Form!R25,FALSE)</f>
        <v>#N/A</v>
      </c>
      <c r="H25" s="17"/>
      <c r="I25" s="17"/>
      <c r="J25" s="17"/>
      <c r="K25" s="17"/>
      <c r="L25" s="17"/>
      <c r="M25" s="17"/>
      <c r="N25" s="1"/>
      <c r="O25" s="1"/>
      <c r="P25" s="1"/>
      <c r="Q25" s="66" t="s">
        <v>144</v>
      </c>
      <c r="R25" s="1">
        <f>MATCH(Q25,MySQL!$1:$1,0)</f>
        <v>9</v>
      </c>
      <c r="S25" s="1"/>
      <c r="T25" s="1" t="s">
        <v>292</v>
      </c>
      <c r="U25" s="1"/>
      <c r="V25" s="1"/>
      <c r="W25" s="1"/>
      <c r="X25" s="1"/>
      <c r="Y25" s="1"/>
      <c r="Z25" s="1"/>
      <c r="AA25" s="1"/>
    </row>
    <row r="26" spans="1:27" s="7" customFormat="1" x14ac:dyDescent="0.25">
      <c r="A26" s="17"/>
      <c r="B26" s="37"/>
      <c r="C26" s="17" t="s">
        <v>254</v>
      </c>
      <c r="D26" s="17"/>
      <c r="E26" s="17"/>
      <c r="F26" s="17"/>
      <c r="G26" s="17" t="e">
        <f>VLOOKUP(PrintID,MySQL[],Form!R26,FALSE)</f>
        <v>#N/A</v>
      </c>
      <c r="H26" s="17"/>
      <c r="I26" s="17"/>
      <c r="J26" s="17"/>
      <c r="K26" s="17"/>
      <c r="L26" s="17"/>
      <c r="M26" s="17"/>
      <c r="N26" s="1"/>
      <c r="O26" s="1"/>
      <c r="P26" s="1"/>
      <c r="Q26" s="66" t="s">
        <v>317</v>
      </c>
      <c r="R26" s="1">
        <f>MATCH(Q26,MySQL!$1:$1,0)</f>
        <v>10</v>
      </c>
      <c r="S26" s="1"/>
      <c r="T26" s="1"/>
      <c r="U26" s="1"/>
      <c r="V26" s="1"/>
      <c r="W26" s="1"/>
      <c r="X26" s="1"/>
      <c r="Y26" s="1"/>
      <c r="Z26" s="1"/>
      <c r="AA26" s="1"/>
    </row>
    <row r="27" spans="1:27" s="7" customFormat="1" x14ac:dyDescent="0.25">
      <c r="A27" s="17"/>
      <c r="B27" s="37"/>
      <c r="C27" s="17" t="s">
        <v>255</v>
      </c>
      <c r="D27" s="17"/>
      <c r="E27" s="17"/>
      <c r="F27" s="17"/>
      <c r="G27" s="17" t="e">
        <f>VLOOKUP(PrintID,MySQL[],Form!R27,FALSE)</f>
        <v>#N/A</v>
      </c>
      <c r="H27" s="17"/>
      <c r="I27" s="17"/>
      <c r="J27" s="17"/>
      <c r="K27" s="17"/>
      <c r="L27" s="17"/>
      <c r="M27" s="17"/>
      <c r="N27" s="1"/>
      <c r="O27" s="1"/>
      <c r="P27" s="1"/>
      <c r="Q27" s="66" t="s">
        <v>373</v>
      </c>
      <c r="R27" s="1">
        <f>MATCH(Q27,MySQL!$1:$1,0)</f>
        <v>19</v>
      </c>
      <c r="S27" s="1"/>
      <c r="T27" s="1"/>
      <c r="U27" s="1"/>
      <c r="V27" s="1"/>
      <c r="W27" s="1"/>
      <c r="X27" s="1"/>
      <c r="Y27" s="1"/>
      <c r="Z27" s="1"/>
      <c r="AA27" s="1"/>
    </row>
    <row r="28" spans="1:27" s="7" customFormat="1" x14ac:dyDescent="0.25">
      <c r="A28" s="17"/>
      <c r="B28" s="37"/>
      <c r="C28" s="17"/>
      <c r="D28" s="17"/>
      <c r="E28" s="17"/>
      <c r="F28" s="17"/>
      <c r="G28" s="35"/>
      <c r="H28" s="17"/>
      <c r="I28" s="17"/>
      <c r="J28" s="17"/>
      <c r="K28" s="17"/>
      <c r="L28" s="17"/>
      <c r="M28" s="17"/>
      <c r="N28" s="1"/>
      <c r="O28" s="1"/>
      <c r="P28" s="1"/>
      <c r="Q28" s="1"/>
      <c r="R28" s="1"/>
      <c r="S28" s="1"/>
      <c r="T28" s="1"/>
      <c r="U28" s="1"/>
      <c r="V28" s="1"/>
      <c r="W28" s="1"/>
      <c r="X28" s="1"/>
      <c r="Y28" s="1"/>
      <c r="Z28" s="1"/>
      <c r="AA28" s="1"/>
    </row>
    <row r="29" spans="1:27" s="7" customFormat="1" x14ac:dyDescent="0.25">
      <c r="A29" s="17"/>
      <c r="B29" s="37"/>
      <c r="C29" s="107" t="s">
        <v>358</v>
      </c>
      <c r="D29" s="107"/>
      <c r="E29" s="107"/>
      <c r="F29" s="17"/>
      <c r="G29" s="17" t="e">
        <f>VLOOKUP(PrintID,MySQL[],Form!R29,FALSE)</f>
        <v>#N/A</v>
      </c>
      <c r="H29" s="17"/>
      <c r="I29" s="17"/>
      <c r="J29" s="17"/>
      <c r="K29" s="17"/>
      <c r="L29" s="17"/>
      <c r="M29" s="17"/>
      <c r="N29" s="1"/>
      <c r="O29" s="1"/>
      <c r="P29" s="1"/>
      <c r="Q29" s="66" t="s">
        <v>377</v>
      </c>
      <c r="R29" s="1">
        <f>MATCH(Q29,MySQL!$1:$1,0)</f>
        <v>20</v>
      </c>
      <c r="S29" s="1"/>
      <c r="T29" s="1"/>
      <c r="U29" s="1"/>
      <c r="V29" s="1"/>
      <c r="W29" s="1"/>
      <c r="X29" s="1"/>
      <c r="Y29" s="1"/>
      <c r="Z29" s="1"/>
      <c r="AA29" s="1"/>
    </row>
    <row r="30" spans="1:27" s="7" customFormat="1" x14ac:dyDescent="0.25">
      <c r="A30" s="17"/>
      <c r="B30" s="37"/>
      <c r="C30" s="17"/>
      <c r="D30" s="17"/>
      <c r="E30" s="17"/>
      <c r="F30" s="17"/>
      <c r="G30" s="34"/>
      <c r="H30" s="17"/>
      <c r="I30" s="17"/>
      <c r="J30" s="17"/>
      <c r="K30" s="17"/>
      <c r="L30" s="17"/>
      <c r="M30" s="17"/>
      <c r="N30" s="1"/>
      <c r="O30" s="1"/>
      <c r="P30" s="1"/>
      <c r="Q30" s="1"/>
      <c r="R30" s="1"/>
      <c r="S30" s="1"/>
      <c r="T30" s="1"/>
      <c r="U30" s="1"/>
      <c r="V30" s="1"/>
      <c r="W30" s="1"/>
      <c r="X30" s="1"/>
      <c r="Y30" s="1"/>
      <c r="Z30" s="1"/>
      <c r="AA30" s="1"/>
    </row>
    <row r="31" spans="1:27" s="7" customFormat="1" x14ac:dyDescent="0.25">
      <c r="A31" s="17"/>
      <c r="B31" s="37"/>
      <c r="C31" s="21" t="s">
        <v>256</v>
      </c>
      <c r="D31" s="17"/>
      <c r="E31" s="17"/>
      <c r="F31" s="17"/>
      <c r="G31" s="17" t="e">
        <f>VLOOKUP(PrintID,MySQL[],Form!R31,FALSE)</f>
        <v>#N/A</v>
      </c>
      <c r="H31" s="17"/>
      <c r="I31" s="17"/>
      <c r="J31" s="17"/>
      <c r="K31" s="17"/>
      <c r="L31" s="17"/>
      <c r="M31" s="17"/>
      <c r="N31" s="1"/>
      <c r="O31" s="1"/>
      <c r="P31" s="1"/>
      <c r="Q31" s="66" t="s">
        <v>144</v>
      </c>
      <c r="R31" s="1">
        <f>MATCH(Q31,MySQL!$1:$1,0)</f>
        <v>9</v>
      </c>
      <c r="S31" s="1"/>
      <c r="T31" s="1" t="s">
        <v>298</v>
      </c>
      <c r="U31" s="1" t="s">
        <v>299</v>
      </c>
      <c r="V31" s="1" t="s">
        <v>300</v>
      </c>
      <c r="W31" s="1" t="s">
        <v>301</v>
      </c>
      <c r="X31" s="1" t="s">
        <v>302</v>
      </c>
      <c r="Y31" s="1" t="s">
        <v>303</v>
      </c>
      <c r="Z31" s="1" t="s">
        <v>304</v>
      </c>
      <c r="AA31" s="1"/>
    </row>
    <row r="32" spans="1:27" s="7" customFormat="1" x14ac:dyDescent="0.25">
      <c r="A32" s="17"/>
      <c r="B32" s="37"/>
      <c r="C32" s="21"/>
      <c r="D32" s="17"/>
      <c r="E32" s="17"/>
      <c r="F32" s="17"/>
      <c r="G32" s="34"/>
      <c r="H32" s="17"/>
      <c r="I32" s="17"/>
      <c r="J32" s="17"/>
      <c r="K32" s="17"/>
      <c r="L32" s="17"/>
      <c r="M32" s="17"/>
      <c r="N32" s="1"/>
      <c r="O32" s="1"/>
      <c r="P32" s="1"/>
      <c r="Q32" s="1"/>
      <c r="R32" s="1"/>
      <c r="S32" s="1"/>
      <c r="T32" s="1"/>
      <c r="U32" s="1"/>
      <c r="V32" s="1"/>
      <c r="W32" s="1"/>
      <c r="X32" s="1"/>
      <c r="Y32" s="1"/>
      <c r="Z32" s="1"/>
      <c r="AA32" s="1"/>
    </row>
    <row r="33" spans="1:27" s="7" customFormat="1" x14ac:dyDescent="0.25">
      <c r="A33" s="17"/>
      <c r="B33" s="37"/>
      <c r="C33" s="21"/>
      <c r="D33" s="17"/>
      <c r="E33" s="17"/>
      <c r="F33" s="17"/>
      <c r="G33" s="34"/>
      <c r="H33" s="17"/>
      <c r="I33" s="17"/>
      <c r="J33" s="17"/>
      <c r="K33" s="17"/>
      <c r="L33" s="17"/>
      <c r="M33" s="17"/>
      <c r="N33" s="1"/>
      <c r="O33" s="1"/>
      <c r="P33" s="1"/>
      <c r="Q33" s="1"/>
      <c r="R33" s="1"/>
      <c r="S33" s="1"/>
      <c r="T33" s="1"/>
      <c r="U33" s="1"/>
      <c r="V33" s="1"/>
      <c r="W33" s="1"/>
      <c r="X33" s="1"/>
      <c r="Y33" s="1"/>
      <c r="Z33" s="1"/>
      <c r="AA33" s="1"/>
    </row>
    <row r="34" spans="1:27" s="7" customFormat="1" x14ac:dyDescent="0.25">
      <c r="A34" s="17"/>
      <c r="B34" s="37"/>
      <c r="C34" s="21"/>
      <c r="D34" s="17"/>
      <c r="E34" s="17"/>
      <c r="F34" s="17"/>
      <c r="G34" s="34"/>
      <c r="H34" s="17"/>
      <c r="I34" s="17"/>
      <c r="J34" s="17"/>
      <c r="K34" s="17"/>
      <c r="L34" s="17"/>
      <c r="M34" s="17"/>
      <c r="N34" s="1"/>
      <c r="O34" s="1"/>
      <c r="P34" s="1"/>
      <c r="Q34" s="1"/>
      <c r="R34" s="1"/>
      <c r="S34" s="1"/>
      <c r="T34" s="1"/>
      <c r="U34" s="1"/>
      <c r="V34" s="1"/>
      <c r="W34" s="1"/>
      <c r="X34" s="1"/>
      <c r="Y34" s="1"/>
      <c r="Z34" s="1"/>
      <c r="AA34" s="1"/>
    </row>
    <row r="35" spans="1:27" s="7" customFormat="1" x14ac:dyDescent="0.25">
      <c r="A35" s="17"/>
      <c r="B35" s="37"/>
      <c r="C35" s="21"/>
      <c r="D35" s="17"/>
      <c r="E35" s="17"/>
      <c r="F35" s="17"/>
      <c r="G35" s="34"/>
      <c r="H35" s="17"/>
      <c r="I35" s="17"/>
      <c r="J35" s="17"/>
      <c r="K35" s="17"/>
      <c r="L35" s="17"/>
      <c r="M35" s="17"/>
      <c r="N35" s="1"/>
      <c r="O35" s="1"/>
      <c r="P35" s="1"/>
      <c r="Q35" s="1"/>
      <c r="R35" s="1"/>
      <c r="S35" s="1"/>
      <c r="T35" s="1"/>
      <c r="U35" s="1"/>
      <c r="V35" s="1"/>
      <c r="W35" s="1"/>
      <c r="X35" s="1"/>
      <c r="Y35" s="1"/>
      <c r="Z35" s="1"/>
      <c r="AA35" s="1"/>
    </row>
    <row r="36" spans="1:27" s="7" customFormat="1" x14ac:dyDescent="0.25">
      <c r="A36" s="17"/>
      <c r="B36" s="37"/>
      <c r="C36" s="21"/>
      <c r="D36" s="17"/>
      <c r="E36" s="17"/>
      <c r="F36" s="17"/>
      <c r="G36" s="34"/>
      <c r="H36" s="17"/>
      <c r="I36" s="17"/>
      <c r="J36" s="17"/>
      <c r="K36" s="17"/>
      <c r="L36" s="17"/>
      <c r="M36" s="17"/>
      <c r="N36" s="1"/>
      <c r="O36" s="1"/>
      <c r="P36" s="1"/>
      <c r="Q36" s="1"/>
      <c r="R36" s="1"/>
      <c r="S36" s="1"/>
      <c r="T36" s="1"/>
      <c r="U36" s="1"/>
      <c r="V36" s="1"/>
      <c r="W36" s="1"/>
      <c r="X36" s="1"/>
      <c r="Y36" s="1"/>
      <c r="Z36" s="1"/>
      <c r="AA36" s="1"/>
    </row>
    <row r="37" spans="1:27" s="7" customFormat="1" x14ac:dyDescent="0.25">
      <c r="A37" s="17"/>
      <c r="B37" s="37"/>
      <c r="C37" s="21"/>
      <c r="D37" s="17"/>
      <c r="E37" s="17"/>
      <c r="F37" s="17"/>
      <c r="G37" s="34"/>
      <c r="H37" s="17"/>
      <c r="I37" s="17"/>
      <c r="J37" s="17"/>
      <c r="K37" s="17"/>
      <c r="L37" s="17"/>
      <c r="M37" s="17"/>
      <c r="N37" s="1"/>
      <c r="O37" s="1"/>
      <c r="P37" s="1"/>
      <c r="Q37" s="1"/>
      <c r="R37" s="1"/>
      <c r="S37" s="1"/>
      <c r="T37" s="1"/>
      <c r="U37" s="1"/>
      <c r="V37" s="1"/>
      <c r="W37" s="1"/>
      <c r="X37" s="1"/>
      <c r="Y37" s="1"/>
      <c r="Z37" s="1"/>
      <c r="AA37" s="1"/>
    </row>
    <row r="38" spans="1:27" s="7" customFormat="1" x14ac:dyDescent="0.25">
      <c r="A38" s="17"/>
      <c r="B38" s="37"/>
      <c r="C38" s="21"/>
      <c r="D38" s="17"/>
      <c r="E38" s="17"/>
      <c r="F38" s="17"/>
      <c r="G38" s="34"/>
      <c r="H38" s="17"/>
      <c r="I38" s="17"/>
      <c r="J38" s="17"/>
      <c r="K38" s="17"/>
      <c r="L38" s="17"/>
      <c r="M38" s="17"/>
      <c r="N38" s="1"/>
      <c r="O38" s="1"/>
      <c r="P38" s="1"/>
      <c r="Q38" s="1"/>
      <c r="R38" s="1"/>
      <c r="S38" s="1"/>
      <c r="T38" s="1"/>
      <c r="U38" s="1"/>
      <c r="V38" s="1"/>
      <c r="W38" s="1"/>
      <c r="X38" s="1"/>
      <c r="Y38" s="1"/>
      <c r="Z38" s="1"/>
      <c r="AA38" s="1"/>
    </row>
    <row r="39" spans="1:27" s="7" customFormat="1" x14ac:dyDescent="0.25">
      <c r="A39" s="17"/>
      <c r="B39" s="37"/>
      <c r="C39" s="24"/>
      <c r="D39" s="24"/>
      <c r="E39" s="24"/>
      <c r="F39" s="24"/>
      <c r="G39" s="17"/>
      <c r="H39" s="17"/>
      <c r="I39" s="17"/>
      <c r="J39" s="17"/>
      <c r="K39" s="17"/>
      <c r="L39" s="17"/>
      <c r="M39" s="17"/>
      <c r="N39" s="1"/>
      <c r="O39" s="1"/>
      <c r="P39" s="1"/>
      <c r="Q39" s="1"/>
      <c r="R39" s="1"/>
      <c r="S39" s="1"/>
      <c r="T39" s="1"/>
      <c r="U39" s="1"/>
      <c r="V39" s="1"/>
      <c r="W39" s="1"/>
      <c r="X39" s="1"/>
      <c r="Y39" s="1"/>
      <c r="Z39" s="1"/>
      <c r="AA39" s="1"/>
    </row>
    <row r="40" spans="1:27" s="7" customFormat="1" ht="53.25" customHeight="1" x14ac:dyDescent="0.25">
      <c r="A40" s="17"/>
      <c r="B40" s="37"/>
      <c r="C40" s="104" t="s">
        <v>836</v>
      </c>
      <c r="D40" s="104"/>
      <c r="E40" s="104"/>
      <c r="F40" s="104"/>
      <c r="G40" s="104"/>
      <c r="H40" s="104"/>
      <c r="I40" s="104"/>
      <c r="J40" s="104"/>
      <c r="K40" s="104"/>
      <c r="L40" s="104"/>
      <c r="M40" s="17"/>
      <c r="N40" s="1"/>
      <c r="O40" s="1"/>
      <c r="P40" s="1"/>
      <c r="Q40" s="1"/>
      <c r="R40" s="1"/>
      <c r="S40" s="1"/>
      <c r="T40" s="1"/>
      <c r="U40" s="1"/>
      <c r="V40" s="1"/>
      <c r="W40" s="1"/>
      <c r="X40" s="1"/>
      <c r="Y40" s="1"/>
      <c r="Z40" s="1"/>
      <c r="AA40" s="1"/>
    </row>
    <row r="41" spans="1:27" s="7" customFormat="1" ht="30" customHeight="1" x14ac:dyDescent="0.25">
      <c r="A41" s="17"/>
      <c r="B41" s="37"/>
      <c r="C41" s="109" t="str">
        <f>IF(RevNo&lt;&gt;"","[2] For the avoidance of doubt, any previous Site Lease Agreement for this Site is null and void and superseded by this Site Lease Agreement.","")</f>
        <v/>
      </c>
      <c r="D41" s="109"/>
      <c r="E41" s="109"/>
      <c r="F41" s="109"/>
      <c r="G41" s="109"/>
      <c r="H41" s="109"/>
      <c r="I41" s="109"/>
      <c r="J41" s="109"/>
      <c r="K41" s="109"/>
      <c r="L41" s="109"/>
      <c r="M41" s="17"/>
      <c r="N41" s="1"/>
      <c r="O41" s="1"/>
      <c r="P41" s="1"/>
      <c r="Q41" s="1"/>
      <c r="R41" s="1"/>
      <c r="S41" s="1"/>
      <c r="T41" s="1"/>
      <c r="U41" s="1"/>
      <c r="V41" s="1"/>
      <c r="W41" s="1"/>
      <c r="X41" s="1"/>
      <c r="Y41" s="1"/>
      <c r="Z41" s="1"/>
      <c r="AA41" s="1"/>
    </row>
    <row r="42" spans="1:27" s="7" customFormat="1" x14ac:dyDescent="0.25">
      <c r="A42" s="17"/>
      <c r="B42" s="37"/>
      <c r="C42" s="21" t="s">
        <v>257</v>
      </c>
      <c r="D42" s="17"/>
      <c r="E42" s="17"/>
      <c r="F42" s="17"/>
      <c r="G42" s="17"/>
      <c r="H42" s="17"/>
      <c r="I42" s="17"/>
      <c r="J42" s="17"/>
      <c r="K42" s="17"/>
      <c r="L42" s="17"/>
      <c r="M42" s="17"/>
      <c r="N42" s="1"/>
      <c r="O42" s="1"/>
      <c r="P42" s="1"/>
      <c r="Q42" s="1"/>
      <c r="R42" s="1"/>
      <c r="S42" s="1"/>
      <c r="T42" s="1"/>
      <c r="U42" s="1"/>
      <c r="V42" s="1"/>
      <c r="W42" s="1"/>
      <c r="X42" s="1"/>
      <c r="Y42" s="1"/>
      <c r="Z42" s="1"/>
      <c r="AA42" s="1"/>
    </row>
    <row r="43" spans="1:27" s="7" customFormat="1" x14ac:dyDescent="0.25">
      <c r="A43" s="17"/>
      <c r="B43" s="37"/>
      <c r="C43" s="17"/>
      <c r="D43" s="17"/>
      <c r="E43" s="17"/>
      <c r="F43" s="17"/>
      <c r="G43" s="17"/>
      <c r="H43" s="17"/>
      <c r="I43" s="17"/>
      <c r="J43" s="17"/>
      <c r="K43" s="17"/>
      <c r="L43" s="17"/>
      <c r="M43" s="17"/>
      <c r="N43" s="1"/>
      <c r="O43" s="1"/>
      <c r="P43" s="1"/>
      <c r="Q43" s="1"/>
      <c r="R43" s="1"/>
      <c r="S43" s="1"/>
      <c r="T43" s="1"/>
      <c r="U43" s="1"/>
      <c r="V43" s="1"/>
      <c r="W43" s="1"/>
      <c r="X43" s="1"/>
      <c r="Y43" s="1"/>
      <c r="Z43" s="1"/>
      <c r="AA43" s="1"/>
    </row>
    <row r="44" spans="1:27" s="7" customFormat="1" x14ac:dyDescent="0.25">
      <c r="A44" s="17"/>
      <c r="B44" s="37"/>
      <c r="C44" s="17" t="s">
        <v>355</v>
      </c>
      <c r="D44" s="17"/>
      <c r="E44" s="17"/>
      <c r="F44" s="17"/>
      <c r="G44" s="17"/>
      <c r="H44" s="23" t="e">
        <f>IF(G135="Permanent Grid",1200,1235)</f>
        <v>#N/A</v>
      </c>
      <c r="I44" s="17"/>
      <c r="J44" s="17"/>
      <c r="K44" s="17"/>
      <c r="L44" s="17"/>
      <c r="M44" s="17"/>
      <c r="N44" s="1"/>
      <c r="O44" s="1"/>
      <c r="P44" s="1"/>
      <c r="Q44" s="69" t="s">
        <v>258</v>
      </c>
      <c r="R44" s="1" t="e">
        <f>MATCH(Q44,MySQL!$1:$1,0)</f>
        <v>#N/A</v>
      </c>
      <c r="S44" s="1"/>
      <c r="T44" s="1"/>
      <c r="U44" s="1"/>
      <c r="V44" s="1"/>
      <c r="W44" s="1"/>
      <c r="X44" s="1"/>
      <c r="Y44" s="1"/>
      <c r="Z44" s="1"/>
      <c r="AA44" s="1"/>
    </row>
    <row r="45" spans="1:27" s="7" customFormat="1" x14ac:dyDescent="0.25">
      <c r="A45" s="17"/>
      <c r="B45" s="37"/>
      <c r="C45" s="17" t="s">
        <v>259</v>
      </c>
      <c r="D45" s="17"/>
      <c r="E45" s="17"/>
      <c r="F45" s="17"/>
      <c r="G45" s="17"/>
      <c r="H45" s="23">
        <f ca="1">AdditionalEPA*100</f>
        <v>0</v>
      </c>
      <c r="I45" s="17"/>
      <c r="J45" s="17"/>
      <c r="K45" s="17"/>
      <c r="L45" s="17"/>
      <c r="M45" s="17"/>
      <c r="N45" s="1"/>
      <c r="O45" s="1"/>
      <c r="P45" s="1"/>
      <c r="Q45" s="50" t="s">
        <v>259</v>
      </c>
      <c r="R45" s="50" t="e">
        <f>MATCH(Q45,MySQL!$1:$1,0)</f>
        <v>#N/A</v>
      </c>
      <c r="S45" s="50"/>
      <c r="T45" s="50" t="s">
        <v>288</v>
      </c>
      <c r="U45" s="1"/>
      <c r="V45" s="1"/>
      <c r="W45" s="1"/>
      <c r="X45" s="1"/>
      <c r="Y45" s="1"/>
      <c r="Z45" s="1"/>
      <c r="AA45" s="1"/>
    </row>
    <row r="46" spans="1:27" s="7" customFormat="1" x14ac:dyDescent="0.25">
      <c r="A46" s="17"/>
      <c r="B46" s="37"/>
      <c r="C46" s="17" t="s">
        <v>260</v>
      </c>
      <c r="D46" s="17"/>
      <c r="E46" s="17"/>
      <c r="F46" s="17"/>
      <c r="G46" s="17"/>
      <c r="H46" s="23" t="e">
        <f>VLOOKUP(PrintID,MySQL[],Form!R46,FALSE)</f>
        <v>#N/A</v>
      </c>
      <c r="I46" s="17"/>
      <c r="J46" s="17"/>
      <c r="K46" s="17"/>
      <c r="L46" s="17"/>
      <c r="M46" s="17"/>
      <c r="N46" s="1"/>
      <c r="O46" s="1"/>
      <c r="P46" s="1"/>
      <c r="Q46" s="68" t="s">
        <v>260</v>
      </c>
      <c r="R46" s="1">
        <f>MATCH(Q46,MySQL!$1:$1,0)</f>
        <v>37</v>
      </c>
      <c r="S46" s="1"/>
      <c r="T46" s="1" t="s">
        <v>289</v>
      </c>
      <c r="U46" s="1"/>
      <c r="V46" s="1"/>
      <c r="W46" s="1"/>
      <c r="X46" s="1"/>
      <c r="Y46" s="1"/>
      <c r="Z46" s="1"/>
      <c r="AA46" s="1"/>
    </row>
    <row r="47" spans="1:27" s="7" customFormat="1" x14ac:dyDescent="0.25">
      <c r="A47" s="17"/>
      <c r="B47" s="37"/>
      <c r="C47" s="17" t="s">
        <v>261</v>
      </c>
      <c r="D47" s="17"/>
      <c r="E47" s="17"/>
      <c r="F47" s="17"/>
      <c r="G47" s="17"/>
      <c r="H47" s="23">
        <f ca="1">AdditionalGround*25</f>
        <v>0</v>
      </c>
      <c r="I47" s="17"/>
      <c r="J47" s="17"/>
      <c r="K47" s="17"/>
      <c r="L47" s="17"/>
      <c r="M47" s="17"/>
      <c r="N47" s="1"/>
      <c r="O47" s="1"/>
      <c r="P47" s="1"/>
      <c r="Q47" s="50" t="s">
        <v>261</v>
      </c>
      <c r="R47" s="1" t="e">
        <f>MATCH(Q47,MySQL!$1:$1,0)</f>
        <v>#N/A</v>
      </c>
      <c r="S47" s="1"/>
      <c r="T47" s="1"/>
      <c r="U47" s="1"/>
      <c r="V47" s="1"/>
      <c r="W47" s="1"/>
      <c r="X47" s="1"/>
      <c r="Y47" s="1"/>
      <c r="Z47" s="1"/>
      <c r="AA47" s="1"/>
    </row>
    <row r="48" spans="1:27" s="7" customFormat="1" x14ac:dyDescent="0.25">
      <c r="A48" s="17"/>
      <c r="B48" s="37"/>
      <c r="C48" s="17" t="s">
        <v>347</v>
      </c>
      <c r="D48" s="17"/>
      <c r="E48" s="17"/>
      <c r="F48" s="17"/>
      <c r="G48" s="23" t="s">
        <v>348</v>
      </c>
      <c r="H48" s="23"/>
      <c r="I48" s="17"/>
      <c r="J48" s="17"/>
      <c r="K48" s="17"/>
      <c r="L48" s="17"/>
      <c r="M48" s="17"/>
      <c r="N48" s="1"/>
      <c r="O48" s="1"/>
      <c r="P48" s="1"/>
      <c r="Q48" s="1" t="s">
        <v>262</v>
      </c>
      <c r="R48" s="1" t="e">
        <f>MATCH(Q48,MySQL!$1:$1,0)</f>
        <v>#N/A</v>
      </c>
      <c r="S48" s="1"/>
      <c r="T48" s="1"/>
      <c r="U48" s="1"/>
      <c r="V48" s="1"/>
      <c r="W48" s="1"/>
      <c r="X48" s="1"/>
      <c r="Y48" s="1"/>
      <c r="Z48" s="1"/>
      <c r="AA48" s="1"/>
    </row>
    <row r="49" spans="1:27" s="7" customFormat="1" x14ac:dyDescent="0.25">
      <c r="A49" s="17"/>
      <c r="B49" s="37"/>
      <c r="C49" s="17" t="s">
        <v>357</v>
      </c>
      <c r="D49" s="17"/>
      <c r="E49" s="17"/>
      <c r="F49" s="17"/>
      <c r="G49" s="23" t="s">
        <v>348</v>
      </c>
      <c r="H49" s="23"/>
      <c r="I49" s="17"/>
      <c r="J49" s="17"/>
      <c r="K49" s="17"/>
      <c r="L49" s="17"/>
      <c r="M49" s="17"/>
      <c r="N49" s="1"/>
      <c r="O49" s="1"/>
      <c r="P49" s="1"/>
      <c r="Q49" s="1"/>
      <c r="R49" s="1"/>
      <c r="S49" s="1"/>
      <c r="T49" s="1"/>
      <c r="U49" s="1"/>
      <c r="V49" s="1"/>
      <c r="W49" s="1"/>
      <c r="X49" s="1"/>
      <c r="Y49" s="1"/>
      <c r="Z49" s="1"/>
      <c r="AA49" s="1"/>
    </row>
    <row r="50" spans="1:27" s="7" customFormat="1" x14ac:dyDescent="0.25">
      <c r="A50" s="17"/>
      <c r="B50" s="37"/>
      <c r="C50" s="24"/>
      <c r="D50" s="24"/>
      <c r="E50" s="24"/>
      <c r="F50" s="24"/>
      <c r="G50" s="24"/>
      <c r="H50" s="24"/>
      <c r="I50" s="17"/>
      <c r="J50" s="17"/>
      <c r="K50" s="17"/>
      <c r="L50" s="17"/>
      <c r="M50" s="17"/>
      <c r="N50" s="1"/>
      <c r="O50" s="1"/>
      <c r="P50" s="1"/>
      <c r="Q50" s="1"/>
      <c r="R50" s="1"/>
      <c r="S50" s="1"/>
      <c r="T50" s="1"/>
      <c r="U50" s="1"/>
      <c r="V50" s="1"/>
      <c r="W50" s="1"/>
      <c r="X50" s="1"/>
      <c r="Y50" s="1"/>
      <c r="Z50" s="1"/>
      <c r="AA50" s="1"/>
    </row>
    <row r="51" spans="1:27" s="7" customFormat="1" x14ac:dyDescent="0.25">
      <c r="A51" s="17"/>
      <c r="B51" s="37"/>
      <c r="C51" s="25"/>
      <c r="D51" s="25"/>
      <c r="E51" s="25"/>
      <c r="F51" s="25"/>
      <c r="G51" s="25"/>
      <c r="H51" s="25"/>
      <c r="I51" s="17"/>
      <c r="J51" s="17"/>
      <c r="K51" s="17"/>
      <c r="L51" s="17"/>
      <c r="M51" s="17"/>
      <c r="N51" s="1"/>
      <c r="O51" s="1"/>
      <c r="P51" s="1"/>
      <c r="Q51" s="1"/>
      <c r="R51" s="1"/>
      <c r="S51" s="1"/>
      <c r="T51" s="1"/>
      <c r="U51" s="1"/>
      <c r="V51" s="1"/>
      <c r="W51" s="1"/>
      <c r="X51" s="1"/>
      <c r="Y51" s="1"/>
      <c r="Z51" s="1"/>
      <c r="AA51" s="1"/>
    </row>
    <row r="52" spans="1:27" s="7" customFormat="1" x14ac:dyDescent="0.25">
      <c r="A52" s="17"/>
      <c r="B52" s="37"/>
      <c r="C52" s="17"/>
      <c r="D52" s="17"/>
      <c r="E52" s="17"/>
      <c r="F52" s="18" t="s">
        <v>263</v>
      </c>
      <c r="G52" s="17"/>
      <c r="H52" s="23" t="e">
        <f>SUM(H44:H47)</f>
        <v>#N/A</v>
      </c>
      <c r="I52" s="17"/>
      <c r="J52" s="17"/>
      <c r="K52" s="17"/>
      <c r="L52" s="17"/>
      <c r="M52" s="17"/>
      <c r="N52" s="1"/>
      <c r="O52" s="1"/>
      <c r="P52" s="1"/>
      <c r="Q52" s="1"/>
      <c r="R52" s="1"/>
      <c r="S52" s="1"/>
      <c r="T52" s="1"/>
      <c r="U52" s="1"/>
      <c r="V52" s="1"/>
      <c r="W52" s="1"/>
      <c r="X52" s="1"/>
      <c r="Y52" s="1"/>
      <c r="Z52" s="1"/>
      <c r="AA52" s="1"/>
    </row>
    <row r="53" spans="1:27" s="7" customFormat="1" x14ac:dyDescent="0.25">
      <c r="A53" s="17"/>
      <c r="B53" s="37"/>
      <c r="C53" s="17"/>
      <c r="D53" s="17"/>
      <c r="E53" s="17"/>
      <c r="F53" s="17"/>
      <c r="G53" s="17"/>
      <c r="H53" s="17"/>
      <c r="I53" s="17"/>
      <c r="J53" s="17"/>
      <c r="K53" s="17"/>
      <c r="L53" s="17"/>
      <c r="M53" s="17"/>
      <c r="N53" s="1"/>
      <c r="O53" s="1"/>
      <c r="P53" s="1"/>
      <c r="Q53" s="1"/>
      <c r="R53" s="1"/>
      <c r="S53" s="1"/>
      <c r="T53" s="1"/>
      <c r="U53" s="1"/>
      <c r="V53" s="1"/>
      <c r="W53" s="1"/>
      <c r="X53" s="1"/>
      <c r="Y53" s="1"/>
      <c r="Z53" s="1"/>
      <c r="AA53" s="1"/>
    </row>
    <row r="54" spans="1:27" s="7" customFormat="1" x14ac:dyDescent="0.25">
      <c r="A54" s="17"/>
      <c r="B54" s="37"/>
      <c r="C54" s="21" t="s">
        <v>264</v>
      </c>
      <c r="D54" s="17"/>
      <c r="E54" s="17"/>
      <c r="F54" s="17"/>
      <c r="G54" s="17"/>
      <c r="H54" s="17"/>
      <c r="I54" s="17"/>
      <c r="J54" s="17"/>
      <c r="K54" s="17"/>
      <c r="L54" s="17"/>
      <c r="M54" s="17"/>
      <c r="N54" s="1"/>
      <c r="O54" s="1"/>
      <c r="P54" s="1"/>
      <c r="Q54" s="1"/>
      <c r="R54" s="1"/>
      <c r="S54" s="1"/>
      <c r="T54" s="1"/>
      <c r="U54" s="1"/>
      <c r="V54" s="1"/>
      <c r="W54" s="1"/>
      <c r="X54" s="1"/>
      <c r="Y54" s="1"/>
      <c r="Z54" s="1"/>
      <c r="AA54" s="1"/>
    </row>
    <row r="55" spans="1:27" s="7" customFormat="1" x14ac:dyDescent="0.25">
      <c r="A55" s="17"/>
      <c r="B55" s="37"/>
      <c r="C55" s="17"/>
      <c r="D55" s="17"/>
      <c r="E55" s="17"/>
      <c r="F55" s="17"/>
      <c r="G55" s="17"/>
      <c r="H55" s="17"/>
      <c r="I55" s="17"/>
      <c r="J55" s="17"/>
      <c r="K55" s="17"/>
      <c r="L55" s="17"/>
      <c r="M55" s="17"/>
      <c r="N55" s="1"/>
      <c r="O55" s="1"/>
      <c r="P55" s="1"/>
      <c r="Q55" s="1"/>
      <c r="R55" s="1"/>
      <c r="S55" s="1"/>
      <c r="T55" s="1"/>
      <c r="U55" s="1"/>
      <c r="V55" s="1"/>
      <c r="W55" s="1"/>
      <c r="X55" s="1"/>
      <c r="Y55" s="1"/>
      <c r="Z55" s="1"/>
      <c r="AA55" s="1"/>
    </row>
    <row r="56" spans="1:27" s="7" customFormat="1" x14ac:dyDescent="0.25">
      <c r="A56" s="17"/>
      <c r="B56" s="37"/>
      <c r="C56" s="17" t="s">
        <v>305</v>
      </c>
      <c r="D56" s="17"/>
      <c r="E56" s="17"/>
      <c r="F56" s="17"/>
      <c r="G56" s="34" t="e">
        <f>IF(T56&gt;0,"Yes","No")</f>
        <v>#N/A</v>
      </c>
      <c r="H56" s="17"/>
      <c r="I56" s="17"/>
      <c r="J56" s="17"/>
      <c r="K56" s="17"/>
      <c r="L56" s="17"/>
      <c r="M56" s="17"/>
      <c r="N56" s="1"/>
      <c r="O56" s="1"/>
      <c r="P56" s="1"/>
      <c r="Q56" s="66" t="s">
        <v>375</v>
      </c>
      <c r="R56" s="1">
        <f>MATCH(Q56,MySQL!$1:$1,0)</f>
        <v>24</v>
      </c>
      <c r="S56" s="1"/>
      <c r="T56" s="1" t="e">
        <f>VLOOKUP(PrintID,MySQL[],Form!R56,FALSE)</f>
        <v>#N/A</v>
      </c>
      <c r="U56" s="1"/>
      <c r="V56" s="1"/>
      <c r="W56" s="1"/>
      <c r="X56" s="1"/>
      <c r="Y56" s="1"/>
      <c r="Z56" s="1"/>
      <c r="AA56" s="1"/>
    </row>
    <row r="57" spans="1:27" s="7" customFormat="1" x14ac:dyDescent="0.25">
      <c r="A57" s="17"/>
      <c r="B57" s="37"/>
      <c r="C57" s="17" t="s">
        <v>306</v>
      </c>
      <c r="D57" s="17"/>
      <c r="E57" s="17"/>
      <c r="F57" s="17"/>
      <c r="G57" s="22" t="e">
        <f>T56</f>
        <v>#N/A</v>
      </c>
      <c r="H57" s="17"/>
      <c r="I57" s="17"/>
      <c r="J57" s="17"/>
      <c r="K57" s="17"/>
      <c r="L57" s="17"/>
      <c r="M57" s="17"/>
      <c r="N57" s="1"/>
      <c r="O57" s="1"/>
      <c r="P57" s="1"/>
      <c r="Q57" s="1"/>
      <c r="R57" s="1"/>
      <c r="S57" s="1"/>
      <c r="T57" s="1"/>
      <c r="U57" s="1"/>
      <c r="V57" s="1"/>
      <c r="W57" s="1"/>
      <c r="X57" s="1"/>
      <c r="Y57" s="1"/>
      <c r="Z57" s="1"/>
      <c r="AA57" s="1"/>
    </row>
    <row r="58" spans="1:27" s="7" customFormat="1" x14ac:dyDescent="0.25">
      <c r="A58" s="17"/>
      <c r="B58" s="37"/>
      <c r="C58" s="17"/>
      <c r="D58" s="17"/>
      <c r="E58" s="17"/>
      <c r="F58" s="17"/>
      <c r="G58" s="17"/>
      <c r="H58" s="17"/>
      <c r="I58" s="17"/>
      <c r="J58" s="17"/>
      <c r="K58" s="17"/>
      <c r="L58" s="17"/>
      <c r="M58" s="17"/>
      <c r="N58" s="1"/>
      <c r="O58" s="1"/>
      <c r="P58" s="1"/>
      <c r="Q58" s="1"/>
      <c r="R58" s="1"/>
      <c r="S58" s="1"/>
      <c r="T58" s="1"/>
      <c r="U58" s="1"/>
      <c r="V58" s="1"/>
      <c r="W58" s="1"/>
      <c r="X58" s="1"/>
      <c r="Y58" s="1"/>
      <c r="Z58" s="1"/>
      <c r="AA58" s="1"/>
    </row>
    <row r="59" spans="1:27" s="7" customFormat="1" x14ac:dyDescent="0.25">
      <c r="A59" s="17"/>
      <c r="B59" s="37"/>
      <c r="C59" s="17" t="s">
        <v>265</v>
      </c>
      <c r="D59" s="17"/>
      <c r="E59" s="17"/>
      <c r="F59" s="108" t="e">
        <f>VLOOKUP(PrintID,MySQL[],Form!R59,FALSE)</f>
        <v>#N/A</v>
      </c>
      <c r="G59" s="108"/>
      <c r="H59" s="17"/>
      <c r="I59" s="17"/>
      <c r="J59" s="17"/>
      <c r="K59" s="17"/>
      <c r="L59" s="17"/>
      <c r="M59" s="17"/>
      <c r="N59" s="1"/>
      <c r="O59" s="1"/>
      <c r="P59" s="1"/>
      <c r="Q59" s="72" t="s">
        <v>265</v>
      </c>
      <c r="R59" s="1">
        <f>MATCH(Q59,MySQL!$1:$1,0)</f>
        <v>40</v>
      </c>
      <c r="S59" s="1"/>
      <c r="T59" s="1"/>
      <c r="U59" s="1"/>
      <c r="V59" s="1"/>
      <c r="W59" s="1"/>
      <c r="X59" s="1"/>
      <c r="Y59" s="1"/>
      <c r="Z59" s="1"/>
      <c r="AA59" s="1"/>
    </row>
    <row r="60" spans="1:27" s="7" customFormat="1" x14ac:dyDescent="0.25">
      <c r="A60" s="17"/>
      <c r="B60" s="37"/>
      <c r="C60" s="17"/>
      <c r="D60" s="17"/>
      <c r="E60" s="17"/>
      <c r="F60" s="17"/>
      <c r="G60" s="17"/>
      <c r="H60" s="17"/>
      <c r="I60" s="17"/>
      <c r="J60" s="17"/>
      <c r="K60" s="17"/>
      <c r="L60" s="17"/>
      <c r="M60" s="17"/>
      <c r="N60" s="1"/>
      <c r="O60" s="1"/>
      <c r="P60" s="1"/>
      <c r="Q60" s="1"/>
      <c r="R60" s="1"/>
      <c r="S60" s="1"/>
      <c r="T60" s="1"/>
      <c r="U60" s="1"/>
      <c r="V60" s="1"/>
      <c r="W60" s="1"/>
      <c r="X60" s="1"/>
      <c r="Y60" s="1"/>
      <c r="Z60" s="1"/>
      <c r="AA60" s="1"/>
    </row>
    <row r="61" spans="1:27" s="7" customFormat="1" x14ac:dyDescent="0.25">
      <c r="A61" s="17"/>
      <c r="B61" s="37"/>
      <c r="C61" s="17"/>
      <c r="D61" s="17"/>
      <c r="E61" s="17"/>
      <c r="F61" s="17"/>
      <c r="G61" s="17"/>
      <c r="H61" s="17"/>
      <c r="I61" s="17"/>
      <c r="J61" s="17"/>
      <c r="K61" s="17"/>
      <c r="L61" s="17"/>
      <c r="M61" s="17"/>
      <c r="N61" s="1"/>
      <c r="O61" s="1"/>
      <c r="P61" s="1"/>
      <c r="Q61" s="1"/>
      <c r="R61" s="1"/>
      <c r="S61" s="1"/>
      <c r="T61" s="1"/>
      <c r="U61" s="1"/>
      <c r="V61" s="1"/>
      <c r="W61" s="1"/>
      <c r="X61" s="1"/>
      <c r="Y61" s="1"/>
      <c r="Z61" s="1"/>
      <c r="AA61" s="1"/>
    </row>
    <row r="62" spans="1:27" s="7" customFormat="1" x14ac:dyDescent="0.25">
      <c r="A62" s="17"/>
      <c r="B62" s="37"/>
      <c r="C62" s="18" t="s">
        <v>266</v>
      </c>
      <c r="D62" s="17"/>
      <c r="E62" s="17"/>
      <c r="F62" s="17"/>
      <c r="G62" s="106" t="e">
        <f>IF(VLOOKUP(PrintID,MySQL[],Form!R62,FALSE)=0,"****-**-**",VLOOKUP(PrintID,MySQL[],Form!R62,FALSE))</f>
        <v>#N/A</v>
      </c>
      <c r="H62" s="106"/>
      <c r="I62" s="17"/>
      <c r="J62" s="17"/>
      <c r="K62" s="17"/>
      <c r="L62" s="17"/>
      <c r="M62" s="17"/>
      <c r="N62" s="1"/>
      <c r="O62" s="1"/>
      <c r="P62" s="1"/>
      <c r="Q62" s="66" t="s">
        <v>266</v>
      </c>
      <c r="R62" s="1">
        <f>MATCH(Q62,MySQL!$1:$1,0)</f>
        <v>28</v>
      </c>
      <c r="S62" s="1"/>
      <c r="T62" s="1"/>
      <c r="U62" s="1"/>
      <c r="V62" s="1"/>
      <c r="W62" s="1"/>
      <c r="X62" s="1"/>
      <c r="Y62" s="1"/>
      <c r="Z62" s="1"/>
      <c r="AA62" s="1"/>
    </row>
    <row r="63" spans="1:27" s="7" customFormat="1" x14ac:dyDescent="0.25">
      <c r="A63" s="17"/>
      <c r="B63" s="37"/>
      <c r="C63" s="17"/>
      <c r="D63" s="17"/>
      <c r="E63" s="17"/>
      <c r="F63" s="17"/>
      <c r="G63" s="17"/>
      <c r="H63" s="17"/>
      <c r="I63" s="17"/>
      <c r="J63" s="17"/>
      <c r="K63" s="17"/>
      <c r="L63" s="17"/>
      <c r="M63" s="17"/>
      <c r="N63" s="1"/>
      <c r="O63" s="1"/>
      <c r="P63" s="1"/>
      <c r="Q63" s="1"/>
      <c r="R63" s="1"/>
      <c r="S63" s="1"/>
      <c r="T63" s="1"/>
      <c r="U63" s="1"/>
      <c r="V63" s="1"/>
      <c r="W63" s="1"/>
      <c r="X63" s="1"/>
      <c r="Y63" s="1"/>
      <c r="Z63" s="1"/>
      <c r="AA63" s="1"/>
    </row>
    <row r="64" spans="1:27" s="7" customFormat="1" x14ac:dyDescent="0.25">
      <c r="A64" s="17"/>
      <c r="B64" s="37"/>
      <c r="C64" s="17"/>
      <c r="D64" s="17"/>
      <c r="E64" s="17"/>
      <c r="F64" s="17"/>
      <c r="G64" s="17"/>
      <c r="H64" s="17"/>
      <c r="I64" s="17"/>
      <c r="J64" s="17"/>
      <c r="K64" s="17"/>
      <c r="L64" s="17"/>
      <c r="M64" s="17"/>
      <c r="N64" s="1"/>
      <c r="O64" s="1"/>
      <c r="P64" s="1"/>
      <c r="Q64" s="1"/>
      <c r="R64" s="1"/>
      <c r="S64" s="1"/>
      <c r="T64" s="1"/>
      <c r="U64" s="1"/>
      <c r="V64" s="1"/>
      <c r="W64" s="1"/>
      <c r="X64" s="1"/>
      <c r="Y64" s="1"/>
      <c r="Z64" s="1"/>
      <c r="AA64" s="1"/>
    </row>
    <row r="65" spans="1:27" s="7" customFormat="1" x14ac:dyDescent="0.25">
      <c r="A65" s="17"/>
      <c r="B65" s="37"/>
      <c r="C65" s="17" t="s">
        <v>267</v>
      </c>
      <c r="D65" s="17"/>
      <c r="E65" s="17"/>
      <c r="F65" s="17"/>
      <c r="G65" s="106" t="e">
        <f>VLOOKUP(PrintID,MySQL[],Form!R65,FALSE)</f>
        <v>#N/A</v>
      </c>
      <c r="H65" s="106"/>
      <c r="I65" s="17"/>
      <c r="J65" s="17"/>
      <c r="K65" s="17"/>
      <c r="L65" s="17"/>
      <c r="M65" s="17"/>
      <c r="N65" s="1"/>
      <c r="O65" s="1"/>
      <c r="P65" s="1"/>
      <c r="Q65" s="66" t="s">
        <v>267</v>
      </c>
      <c r="R65" s="1">
        <f>MATCH(Q65,MySQL!$1:$1,0)</f>
        <v>29</v>
      </c>
      <c r="S65" s="1"/>
      <c r="T65" s="1"/>
      <c r="U65" s="1"/>
      <c r="V65" s="1"/>
      <c r="W65" s="1"/>
      <c r="X65" s="1"/>
      <c r="Y65" s="1"/>
      <c r="Z65" s="1"/>
      <c r="AA65" s="1"/>
    </row>
    <row r="66" spans="1:27" s="7" customFormat="1" x14ac:dyDescent="0.25">
      <c r="A66" s="17"/>
      <c r="B66" s="37"/>
      <c r="C66" s="17"/>
      <c r="D66" s="17"/>
      <c r="E66" s="17"/>
      <c r="F66" s="17"/>
      <c r="G66" s="17"/>
      <c r="H66" s="17"/>
      <c r="I66" s="17"/>
      <c r="J66" s="17"/>
      <c r="K66" s="17"/>
      <c r="L66" s="17"/>
      <c r="M66" s="17"/>
      <c r="N66" s="1"/>
      <c r="O66" s="1"/>
      <c r="P66" s="1"/>
      <c r="Q66" s="1"/>
      <c r="R66" s="1"/>
      <c r="S66" s="1"/>
      <c r="T66" s="1"/>
      <c r="U66" s="1"/>
      <c r="V66" s="1"/>
      <c r="W66" s="1"/>
      <c r="X66" s="1"/>
      <c r="Y66" s="1"/>
      <c r="Z66" s="1"/>
      <c r="AA66" s="1"/>
    </row>
    <row r="67" spans="1:27" s="7" customFormat="1" ht="29.25" customHeight="1" x14ac:dyDescent="0.25">
      <c r="A67" s="17"/>
      <c r="B67" s="37"/>
      <c r="C67" s="105" t="s">
        <v>349</v>
      </c>
      <c r="D67" s="105"/>
      <c r="E67" s="105"/>
      <c r="F67" s="105"/>
      <c r="G67" s="105"/>
      <c r="H67" s="105"/>
      <c r="I67" s="105"/>
      <c r="J67" s="105"/>
      <c r="K67" s="105"/>
      <c r="L67" s="105"/>
      <c r="M67" s="19"/>
      <c r="N67" s="1"/>
      <c r="O67" s="1"/>
      <c r="P67" s="1"/>
      <c r="Q67" s="1"/>
      <c r="R67" s="1"/>
      <c r="S67" s="1"/>
      <c r="T67" s="1"/>
      <c r="U67" s="1"/>
      <c r="V67" s="1"/>
      <c r="W67" s="1"/>
      <c r="X67" s="1"/>
      <c r="Y67" s="1"/>
      <c r="Z67" s="1"/>
      <c r="AA67" s="1"/>
    </row>
    <row r="68" spans="1:27" s="7" customFormat="1" x14ac:dyDescent="0.25">
      <c r="A68" s="17"/>
      <c r="B68" s="37"/>
      <c r="C68" s="17"/>
      <c r="D68" s="17"/>
      <c r="E68" s="17"/>
      <c r="F68" s="17"/>
      <c r="G68" s="17"/>
      <c r="H68" s="17"/>
      <c r="I68" s="17"/>
      <c r="J68" s="17"/>
      <c r="K68" s="17"/>
      <c r="L68" s="17"/>
      <c r="M68" s="17"/>
      <c r="N68" s="1"/>
      <c r="O68" s="1"/>
      <c r="P68" s="1"/>
      <c r="Q68" s="1"/>
      <c r="R68" s="1"/>
      <c r="S68" s="1"/>
      <c r="T68" s="1"/>
      <c r="U68" s="1"/>
      <c r="V68" s="1"/>
      <c r="W68" s="1"/>
      <c r="X68" s="1"/>
      <c r="Y68" s="1"/>
      <c r="Z68" s="1"/>
      <c r="AA68" s="1"/>
    </row>
    <row r="69" spans="1:27" s="7" customFormat="1" ht="15" customHeight="1" x14ac:dyDescent="0.25">
      <c r="A69" s="17"/>
      <c r="B69" s="37"/>
      <c r="C69" s="21" t="s">
        <v>268</v>
      </c>
      <c r="D69" s="17"/>
      <c r="E69" s="17"/>
      <c r="F69" s="17"/>
      <c r="G69" s="17"/>
      <c r="H69" s="17"/>
      <c r="I69" s="17"/>
      <c r="J69" s="17"/>
      <c r="K69" s="17"/>
      <c r="L69" s="17"/>
      <c r="M69" s="17"/>
      <c r="N69" s="1"/>
      <c r="O69" s="1"/>
      <c r="P69" s="1"/>
      <c r="Q69" s="66" t="s">
        <v>295</v>
      </c>
      <c r="R69" s="1">
        <f>MATCH(Q69,MySQL!$1:$1,0)</f>
        <v>26</v>
      </c>
      <c r="S69" s="1"/>
      <c r="T69" s="1" t="e">
        <f>VLOOKUP(PrintID,MySQL[],Form!R69,FALSE)</f>
        <v>#N/A</v>
      </c>
      <c r="U69" s="78" t="s">
        <v>844</v>
      </c>
      <c r="V69" s="79" t="e">
        <f>"Location on the Premises:  The vertical area from "&amp;$T$69&amp;"  meters to "&amp;$T$70&amp;" meters on the Tower (measured from the base of the Tower). [3]"</f>
        <v>#N/A</v>
      </c>
      <c r="W69" s="1"/>
      <c r="X69" s="1"/>
      <c r="Y69" s="1"/>
      <c r="Z69" s="1"/>
      <c r="AA69" s="1"/>
    </row>
    <row r="70" spans="1:27" s="7" customFormat="1" x14ac:dyDescent="0.25">
      <c r="A70" s="17"/>
      <c r="B70" s="37"/>
      <c r="C70" s="17"/>
      <c r="D70" s="17"/>
      <c r="E70" s="17"/>
      <c r="F70" s="17"/>
      <c r="G70" s="17"/>
      <c r="H70" s="17"/>
      <c r="I70" s="17"/>
      <c r="J70" s="17"/>
      <c r="K70" s="17"/>
      <c r="L70" s="17"/>
      <c r="M70" s="17"/>
      <c r="N70" s="1"/>
      <c r="O70" s="1"/>
      <c r="P70" s="1"/>
      <c r="Q70" s="66" t="s">
        <v>296</v>
      </c>
      <c r="R70" s="1">
        <f>MATCH(Q70,MySQL!$1:$1,0)</f>
        <v>27</v>
      </c>
      <c r="S70" s="1"/>
      <c r="T70" s="1" t="e">
        <f>VLOOKUP(PrintID,MySQL[],Form!R70,FALSE)</f>
        <v>#N/A</v>
      </c>
      <c r="U70" s="78" t="s">
        <v>845</v>
      </c>
      <c r="V70" s="79" t="e">
        <f>CONCATENATE("Location on the Premises:  The vertical area from ",$T$69,"  meters to ",
$T$70," meters and ",
$T$71," meters to ",
$T$72," meters on the Tower (measured from the base of the Tower). [3]")</f>
        <v>#N/A</v>
      </c>
      <c r="W70" s="1"/>
      <c r="X70" s="1"/>
      <c r="Y70" s="1"/>
      <c r="Z70" s="1"/>
      <c r="AA70" s="1"/>
    </row>
    <row r="71" spans="1:27" s="7" customFormat="1" ht="30" customHeight="1" x14ac:dyDescent="0.25">
      <c r="A71" s="17"/>
      <c r="B71" s="37"/>
      <c r="C71" s="105" t="e">
        <f>IF(T71=0,V69,V70)</f>
        <v>#N/A</v>
      </c>
      <c r="D71" s="105"/>
      <c r="E71" s="105"/>
      <c r="F71" s="105"/>
      <c r="G71" s="105"/>
      <c r="H71" s="105"/>
      <c r="I71" s="105"/>
      <c r="J71" s="105"/>
      <c r="K71" s="105"/>
      <c r="L71" s="105"/>
      <c r="M71" s="19"/>
      <c r="N71" s="1"/>
      <c r="O71" s="1"/>
      <c r="P71" s="1"/>
      <c r="Q71" s="66" t="s">
        <v>842</v>
      </c>
      <c r="R71" s="1">
        <f>MATCH(Q71,MySQL!$1:$1,0)</f>
        <v>17</v>
      </c>
      <c r="S71" s="1"/>
      <c r="T71" s="1" t="e">
        <f>VLOOKUP(PrintID,MySQL[],Form!R71,FALSE)</f>
        <v>#N/A</v>
      </c>
      <c r="U71" s="1"/>
      <c r="V71" s="1"/>
      <c r="W71" s="1"/>
      <c r="X71" s="1"/>
      <c r="Y71" s="1"/>
      <c r="Z71" s="1"/>
      <c r="AA71" s="1"/>
    </row>
    <row r="72" spans="1:27" s="7" customFormat="1" x14ac:dyDescent="0.25">
      <c r="A72" s="17"/>
      <c r="B72" s="37"/>
      <c r="C72" s="54"/>
      <c r="D72" s="54"/>
      <c r="E72" s="54"/>
      <c r="F72" s="54"/>
      <c r="G72" s="54"/>
      <c r="H72" s="54"/>
      <c r="I72" s="54"/>
      <c r="J72" s="54"/>
      <c r="K72" s="54"/>
      <c r="L72" s="54"/>
      <c r="M72" s="54"/>
      <c r="N72" s="1"/>
      <c r="O72" s="1"/>
      <c r="P72" s="1"/>
      <c r="Q72" s="66" t="s">
        <v>843</v>
      </c>
      <c r="R72" s="1">
        <f>MATCH(Q72,MySQL!$1:$1,0)</f>
        <v>22</v>
      </c>
      <c r="S72" s="1"/>
      <c r="T72" s="1" t="e">
        <f>VLOOKUP(PrintID,MySQL[],Form!R72,FALSE)</f>
        <v>#N/A</v>
      </c>
      <c r="U72" s="1"/>
      <c r="V72" s="1"/>
      <c r="W72" s="1"/>
      <c r="X72" s="1"/>
      <c r="Y72" s="1"/>
      <c r="Z72" s="1"/>
      <c r="AA72" s="1"/>
    </row>
    <row r="73" spans="1:27" s="7" customFormat="1" x14ac:dyDescent="0.25">
      <c r="A73" s="17"/>
      <c r="B73" s="37"/>
      <c r="C73" s="54"/>
      <c r="D73" s="54"/>
      <c r="E73" s="54"/>
      <c r="F73" s="54"/>
      <c r="G73" s="54"/>
      <c r="H73" s="54"/>
      <c r="I73" s="54"/>
      <c r="J73" s="54"/>
      <c r="K73" s="54"/>
      <c r="L73" s="54"/>
      <c r="M73" s="54"/>
      <c r="N73" s="1"/>
      <c r="O73" s="1"/>
      <c r="P73" s="1"/>
      <c r="Q73" s="1"/>
      <c r="R73" s="1"/>
      <c r="S73" s="1"/>
      <c r="T73" s="1"/>
      <c r="U73" s="1"/>
      <c r="V73" s="1"/>
      <c r="W73" s="1"/>
      <c r="X73" s="1"/>
      <c r="Y73" s="1"/>
      <c r="Z73" s="1"/>
      <c r="AA73" s="1"/>
    </row>
    <row r="74" spans="1:27" s="7" customFormat="1" x14ac:dyDescent="0.25">
      <c r="A74" s="17"/>
      <c r="B74" s="37"/>
      <c r="C74" s="54"/>
      <c r="D74" s="54"/>
      <c r="E74" s="54"/>
      <c r="F74" s="54"/>
      <c r="G74" s="54"/>
      <c r="H74" s="54"/>
      <c r="I74" s="54"/>
      <c r="J74" s="54"/>
      <c r="K74" s="54"/>
      <c r="L74" s="54"/>
      <c r="M74" s="54"/>
      <c r="N74" s="1"/>
      <c r="O74" s="1"/>
      <c r="P74" s="1"/>
      <c r="Q74" s="1"/>
      <c r="R74" s="1"/>
      <c r="S74" s="1"/>
      <c r="T74" s="1"/>
      <c r="U74" s="1"/>
      <c r="V74" s="1"/>
      <c r="W74" s="1"/>
      <c r="X74" s="1"/>
      <c r="Y74" s="1"/>
      <c r="Z74" s="1"/>
      <c r="AA74" s="1"/>
    </row>
    <row r="75" spans="1:27" s="7" customFormat="1" x14ac:dyDescent="0.25">
      <c r="A75" s="17"/>
      <c r="B75" s="37"/>
      <c r="C75" s="54"/>
      <c r="D75" s="54"/>
      <c r="E75" s="54"/>
      <c r="F75" s="54"/>
      <c r="G75" s="54"/>
      <c r="H75" s="54"/>
      <c r="I75" s="54"/>
      <c r="J75" s="54"/>
      <c r="K75" s="54"/>
      <c r="L75" s="54"/>
      <c r="M75" s="54"/>
      <c r="N75" s="1"/>
      <c r="O75" s="1"/>
      <c r="P75" s="1"/>
      <c r="Q75" s="1"/>
      <c r="R75" s="1"/>
      <c r="S75" s="1"/>
      <c r="T75" s="1"/>
      <c r="U75" s="1"/>
      <c r="V75" s="1"/>
      <c r="W75" s="1"/>
      <c r="X75" s="1"/>
      <c r="Y75" s="1"/>
      <c r="Z75" s="1"/>
      <c r="AA75" s="1"/>
    </row>
    <row r="76" spans="1:27" s="7" customFormat="1" x14ac:dyDescent="0.25">
      <c r="A76" s="17"/>
      <c r="B76" s="37"/>
      <c r="C76" s="54"/>
      <c r="D76" s="54"/>
      <c r="E76" s="54"/>
      <c r="F76" s="54"/>
      <c r="G76" s="54"/>
      <c r="H76" s="54"/>
      <c r="I76" s="54"/>
      <c r="J76" s="54"/>
      <c r="K76" s="54"/>
      <c r="L76" s="54"/>
      <c r="M76" s="54"/>
      <c r="N76" s="1"/>
      <c r="O76" s="1"/>
      <c r="P76" s="1"/>
      <c r="Q76" s="1"/>
      <c r="R76" s="1"/>
      <c r="S76" s="1"/>
      <c r="T76" s="1"/>
      <c r="U76" s="1"/>
      <c r="V76" s="1"/>
      <c r="W76" s="1"/>
      <c r="X76" s="1"/>
      <c r="Y76" s="1"/>
      <c r="Z76" s="1"/>
      <c r="AA76" s="1"/>
    </row>
    <row r="77" spans="1:27" s="7" customFormat="1" x14ac:dyDescent="0.25">
      <c r="A77" s="17"/>
      <c r="B77" s="37"/>
      <c r="C77" s="54"/>
      <c r="D77" s="54"/>
      <c r="E77" s="54"/>
      <c r="F77" s="54"/>
      <c r="G77" s="54"/>
      <c r="H77" s="54"/>
      <c r="I77" s="54"/>
      <c r="J77" s="54"/>
      <c r="K77" s="54"/>
      <c r="L77" s="54"/>
      <c r="M77" s="54"/>
      <c r="N77" s="1"/>
      <c r="O77" s="1"/>
      <c r="P77" s="1"/>
      <c r="Q77" s="1"/>
      <c r="R77" s="1"/>
      <c r="S77" s="1"/>
      <c r="T77" s="1"/>
      <c r="U77" s="1"/>
      <c r="V77" s="1"/>
      <c r="W77" s="1"/>
      <c r="X77" s="1"/>
      <c r="Y77" s="1"/>
      <c r="Z77" s="1"/>
      <c r="AA77" s="1"/>
    </row>
    <row r="78" spans="1:27" s="7" customFormat="1" x14ac:dyDescent="0.25">
      <c r="A78" s="17"/>
      <c r="B78" s="37"/>
      <c r="C78" s="54"/>
      <c r="D78" s="54"/>
      <c r="E78" s="54"/>
      <c r="F78" s="54"/>
      <c r="G78" s="54"/>
      <c r="H78" s="54"/>
      <c r="I78" s="54"/>
      <c r="J78" s="54"/>
      <c r="K78" s="54"/>
      <c r="L78" s="54"/>
      <c r="M78" s="54"/>
      <c r="N78" s="1"/>
      <c r="O78" s="1"/>
      <c r="P78" s="1"/>
      <c r="Q78" s="1"/>
      <c r="R78" s="1"/>
      <c r="S78" s="1"/>
      <c r="T78" s="1"/>
      <c r="U78" s="1"/>
      <c r="V78" s="1"/>
      <c r="W78" s="1"/>
      <c r="X78" s="1"/>
      <c r="Y78" s="1"/>
      <c r="Z78" s="1"/>
      <c r="AA78" s="1"/>
    </row>
    <row r="79" spans="1:27" s="7" customFormat="1" x14ac:dyDescent="0.25">
      <c r="A79" s="17"/>
      <c r="B79" s="37"/>
      <c r="C79" s="55"/>
      <c r="D79" s="55"/>
      <c r="E79" s="55"/>
      <c r="F79" s="55"/>
      <c r="G79" s="54"/>
      <c r="H79" s="54"/>
      <c r="I79" s="54"/>
      <c r="J79" s="54"/>
      <c r="K79" s="54"/>
      <c r="L79" s="54"/>
      <c r="M79" s="53"/>
      <c r="N79" s="1"/>
      <c r="O79" s="1"/>
      <c r="P79" s="1"/>
      <c r="Q79" s="1"/>
      <c r="R79" s="1"/>
      <c r="S79" s="1"/>
      <c r="T79" s="1"/>
      <c r="U79" s="1"/>
      <c r="V79" s="1"/>
      <c r="W79" s="1"/>
      <c r="X79" s="1"/>
      <c r="Y79" s="1"/>
      <c r="Z79" s="1"/>
      <c r="AA79" s="1"/>
    </row>
    <row r="80" spans="1:27" s="7" customFormat="1" ht="27" customHeight="1" x14ac:dyDescent="0.25">
      <c r="A80" s="17"/>
      <c r="B80" s="37"/>
      <c r="C80" s="104" t="s">
        <v>356</v>
      </c>
      <c r="D80" s="104"/>
      <c r="E80" s="104"/>
      <c r="F80" s="104"/>
      <c r="G80" s="104"/>
      <c r="H80" s="104"/>
      <c r="I80" s="104"/>
      <c r="J80" s="104"/>
      <c r="K80" s="104"/>
      <c r="L80" s="104"/>
      <c r="M80" s="17"/>
      <c r="N80" s="1"/>
      <c r="O80" s="1"/>
      <c r="P80" s="1"/>
      <c r="Q80" s="1"/>
      <c r="R80" s="1"/>
      <c r="S80" s="1"/>
      <c r="T80" s="1"/>
      <c r="U80" s="1"/>
      <c r="V80" s="1"/>
      <c r="W80" s="1"/>
      <c r="X80" s="1"/>
      <c r="Y80" s="1"/>
      <c r="Z80" s="1"/>
      <c r="AA80" s="1"/>
    </row>
    <row r="81" spans="1:27" s="7" customFormat="1" ht="27" customHeight="1" x14ac:dyDescent="0.25">
      <c r="A81" s="17"/>
      <c r="B81" s="37"/>
      <c r="C81" s="110" t="s">
        <v>350</v>
      </c>
      <c r="D81" s="110"/>
      <c r="E81" s="110"/>
      <c r="F81" s="110"/>
      <c r="G81" s="110"/>
      <c r="H81" s="110"/>
      <c r="I81" s="110"/>
      <c r="J81" s="110"/>
      <c r="K81" s="110"/>
      <c r="L81" s="110"/>
      <c r="M81" s="17"/>
      <c r="N81" s="1"/>
      <c r="O81" s="1"/>
      <c r="P81" s="1"/>
      <c r="Q81" s="1"/>
      <c r="R81" s="1"/>
      <c r="S81" s="1"/>
      <c r="T81" s="1"/>
      <c r="U81" s="1"/>
      <c r="V81" s="1"/>
      <c r="W81" s="1"/>
      <c r="X81" s="1"/>
      <c r="Y81" s="1"/>
      <c r="Z81" s="1"/>
      <c r="AA81" s="1"/>
    </row>
    <row r="82" spans="1:27" s="7" customFormat="1" x14ac:dyDescent="0.25">
      <c r="A82" s="17"/>
      <c r="B82" s="37"/>
      <c r="C82" s="21" t="s">
        <v>351</v>
      </c>
      <c r="D82" s="17"/>
      <c r="E82" s="17"/>
      <c r="F82" s="17"/>
      <c r="G82" s="17"/>
      <c r="H82" s="17"/>
      <c r="I82" s="17"/>
      <c r="J82" s="17"/>
      <c r="K82" s="17"/>
      <c r="L82" s="17"/>
      <c r="M82" s="17"/>
      <c r="N82" s="1"/>
      <c r="O82" s="1"/>
      <c r="P82" s="1"/>
      <c r="Q82" s="1"/>
      <c r="R82" s="1"/>
      <c r="S82" s="1"/>
      <c r="T82" s="1"/>
      <c r="U82" s="1"/>
      <c r="V82" s="1"/>
      <c r="W82" s="1"/>
      <c r="X82" s="1"/>
      <c r="Y82" s="1"/>
      <c r="Z82" s="1"/>
      <c r="AA82" s="1"/>
    </row>
    <row r="83" spans="1:27" s="7" customFormat="1" ht="31.5" customHeight="1" x14ac:dyDescent="0.25">
      <c r="A83" s="17"/>
      <c r="B83" s="37"/>
      <c r="C83" s="17"/>
      <c r="D83" s="17"/>
      <c r="E83" s="17"/>
      <c r="F83" s="17"/>
      <c r="G83" s="17"/>
      <c r="H83" s="17"/>
      <c r="I83" s="17"/>
      <c r="J83" s="17"/>
      <c r="K83" s="17"/>
      <c r="L83" s="17"/>
      <c r="M83" s="17"/>
      <c r="N83" s="1"/>
      <c r="O83" s="1"/>
      <c r="P83" s="1"/>
      <c r="Q83" s="1"/>
      <c r="R83" s="1"/>
      <c r="S83" s="1"/>
      <c r="T83" s="1"/>
      <c r="U83" s="1"/>
      <c r="V83" s="1"/>
      <c r="W83" s="1"/>
      <c r="X83" s="1"/>
      <c r="Y83" s="1"/>
      <c r="Z83" s="1"/>
      <c r="AA83" s="1"/>
    </row>
    <row r="84" spans="1:27" s="37" customFormat="1" hidden="1" x14ac:dyDescent="0.25">
      <c r="C84" s="37" t="s">
        <v>321</v>
      </c>
      <c r="D84" s="37" t="s">
        <v>323</v>
      </c>
      <c r="E84" s="37" t="s">
        <v>324</v>
      </c>
      <c r="F84" s="37" t="s">
        <v>326</v>
      </c>
      <c r="G84" s="37" t="s">
        <v>322</v>
      </c>
      <c r="H84" s="37" t="s">
        <v>328</v>
      </c>
      <c r="I84" s="37" t="s">
        <v>329</v>
      </c>
      <c r="N84" s="39"/>
      <c r="O84" s="39"/>
      <c r="P84" s="39"/>
      <c r="T84" s="39"/>
      <c r="U84" s="39"/>
      <c r="V84" s="39"/>
      <c r="W84" s="39"/>
      <c r="X84" s="39"/>
      <c r="Y84" s="39"/>
      <c r="Z84" s="39"/>
      <c r="AA84" s="39"/>
    </row>
    <row r="85" spans="1:27" s="7" customFormat="1" x14ac:dyDescent="0.25">
      <c r="A85" s="17"/>
      <c r="B85" s="37"/>
      <c r="C85" s="95" t="s">
        <v>320</v>
      </c>
      <c r="D85" s="96"/>
      <c r="E85" s="96"/>
      <c r="F85" s="96"/>
      <c r="G85" s="96"/>
      <c r="H85" s="96"/>
      <c r="I85" s="97"/>
      <c r="J85" s="95" t="s">
        <v>269</v>
      </c>
      <c r="K85" s="96"/>
      <c r="L85" s="97"/>
      <c r="M85" s="26"/>
      <c r="N85" s="1"/>
      <c r="O85" s="1"/>
      <c r="P85" s="1"/>
      <c r="Q85" s="1"/>
      <c r="R85" s="1"/>
      <c r="S85" s="1"/>
      <c r="T85" s="1"/>
      <c r="U85" s="1"/>
      <c r="V85" s="1"/>
      <c r="W85" s="1"/>
      <c r="X85" s="1"/>
      <c r="Y85" s="1"/>
      <c r="Z85" s="1"/>
      <c r="AA85" s="1"/>
    </row>
    <row r="86" spans="1:27" s="13" customFormat="1" ht="28.5" x14ac:dyDescent="0.25">
      <c r="A86" s="27"/>
      <c r="B86" s="38"/>
      <c r="C86" s="28" t="s">
        <v>139</v>
      </c>
      <c r="D86" s="28" t="s">
        <v>271</v>
      </c>
      <c r="E86" s="28" t="s">
        <v>271</v>
      </c>
      <c r="F86" s="28" t="s">
        <v>272</v>
      </c>
      <c r="G86" s="28" t="s">
        <v>273</v>
      </c>
      <c r="H86" s="28" t="s">
        <v>274</v>
      </c>
      <c r="I86" s="28" t="s">
        <v>275</v>
      </c>
      <c r="J86" s="28" t="s">
        <v>270</v>
      </c>
      <c r="K86" s="102" t="s">
        <v>276</v>
      </c>
      <c r="L86" s="103"/>
      <c r="M86" s="29"/>
      <c r="N86" s="1"/>
      <c r="O86" s="1"/>
      <c r="P86" s="1"/>
      <c r="Q86" s="1"/>
      <c r="R86" s="1"/>
      <c r="S86" s="1"/>
      <c r="T86" s="1"/>
      <c r="U86" s="1"/>
      <c r="V86" s="1"/>
      <c r="W86" s="1"/>
      <c r="X86" s="1"/>
      <c r="Y86" s="1"/>
      <c r="Z86" s="1"/>
      <c r="AA86" s="1"/>
    </row>
    <row r="87" spans="1:27" s="7" customFormat="1" x14ac:dyDescent="0.25">
      <c r="A87" s="17"/>
      <c r="B87" s="37">
        <v>15</v>
      </c>
      <c r="C87" s="30" t="str">
        <f t="shared" ref="C87:L92" ca="1" si="0">IFERROR(IF(INDIRECT(CONCATENATE("'[",AppName,"]Sheet1'!"&amp;C$84&amp;$B87))=0,"",
INDIRECT(CONCATENATE("'[",AppName,"]Sheet1'!"&amp;C$84&amp;$B87))),"")</f>
        <v/>
      </c>
      <c r="D87" s="30" t="str">
        <f t="shared" ca="1" si="0"/>
        <v/>
      </c>
      <c r="E87" s="30" t="str">
        <f t="shared" ca="1" si="0"/>
        <v/>
      </c>
      <c r="F87" s="30" t="str">
        <f t="shared" ca="1" si="0"/>
        <v/>
      </c>
      <c r="G87" s="30" t="str">
        <f t="shared" ca="1" si="0"/>
        <v/>
      </c>
      <c r="H87" s="30" t="str">
        <f t="shared" ca="1" si="0"/>
        <v/>
      </c>
      <c r="I87" s="30" t="str">
        <f t="shared" ca="1" si="0"/>
        <v/>
      </c>
      <c r="J87" s="30" t="str">
        <f t="shared" ca="1" si="0"/>
        <v/>
      </c>
      <c r="K87" s="30" t="str">
        <f t="shared" ca="1" si="0"/>
        <v/>
      </c>
      <c r="L87" s="30" t="str">
        <f t="shared" ca="1" si="0"/>
        <v/>
      </c>
      <c r="M87" s="25"/>
      <c r="N87" s="1"/>
      <c r="O87" s="1"/>
      <c r="P87" s="1"/>
      <c r="Q87" s="1"/>
      <c r="R87" s="1"/>
      <c r="S87" s="1"/>
      <c r="T87" s="1"/>
      <c r="U87" s="1"/>
      <c r="V87" s="1"/>
      <c r="W87" s="1"/>
      <c r="X87" s="1"/>
      <c r="Y87" s="1"/>
      <c r="Z87" s="1"/>
      <c r="AA87" s="1"/>
    </row>
    <row r="88" spans="1:27" s="7" customFormat="1" x14ac:dyDescent="0.25">
      <c r="A88" s="17"/>
      <c r="B88" s="37">
        <v>16</v>
      </c>
      <c r="C88" s="30" t="str">
        <f t="shared" ca="1" si="0"/>
        <v/>
      </c>
      <c r="D88" s="30" t="str">
        <f t="shared" ca="1" si="0"/>
        <v/>
      </c>
      <c r="E88" s="30" t="str">
        <f t="shared" ca="1" si="0"/>
        <v/>
      </c>
      <c r="F88" s="30" t="str">
        <f t="shared" ca="1" si="0"/>
        <v/>
      </c>
      <c r="G88" s="30" t="str">
        <f t="shared" ca="1" si="0"/>
        <v/>
      </c>
      <c r="H88" s="30" t="str">
        <f t="shared" ca="1" si="0"/>
        <v/>
      </c>
      <c r="I88" s="30" t="str">
        <f t="shared" ca="1" si="0"/>
        <v/>
      </c>
      <c r="J88" s="30" t="str">
        <f t="shared" ca="1" si="0"/>
        <v/>
      </c>
      <c r="K88" s="30" t="str">
        <f t="shared" ca="1" si="0"/>
        <v/>
      </c>
      <c r="L88" s="30" t="str">
        <f t="shared" ca="1" si="0"/>
        <v/>
      </c>
      <c r="M88" s="25"/>
      <c r="N88" s="1"/>
      <c r="O88" s="1"/>
      <c r="P88" s="1"/>
      <c r="Q88" s="33"/>
      <c r="R88" s="1"/>
      <c r="S88" s="1"/>
      <c r="T88" s="1"/>
      <c r="U88" s="1"/>
      <c r="V88" s="1"/>
      <c r="W88" s="1"/>
      <c r="X88" s="1"/>
      <c r="Y88" s="1"/>
      <c r="Z88" s="1"/>
      <c r="AA88" s="1"/>
    </row>
    <row r="89" spans="1:27" s="7" customFormat="1" x14ac:dyDescent="0.25">
      <c r="A89" s="17"/>
      <c r="B89" s="37">
        <v>17</v>
      </c>
      <c r="C89" s="30" t="str">
        <f t="shared" ca="1" si="0"/>
        <v/>
      </c>
      <c r="D89" s="30" t="str">
        <f t="shared" ca="1" si="0"/>
        <v/>
      </c>
      <c r="E89" s="30" t="str">
        <f t="shared" ca="1" si="0"/>
        <v/>
      </c>
      <c r="F89" s="30" t="str">
        <f t="shared" ca="1" si="0"/>
        <v/>
      </c>
      <c r="G89" s="30" t="str">
        <f t="shared" ca="1" si="0"/>
        <v/>
      </c>
      <c r="H89" s="30" t="str">
        <f t="shared" ca="1" si="0"/>
        <v/>
      </c>
      <c r="I89" s="30" t="str">
        <f t="shared" ca="1" si="0"/>
        <v/>
      </c>
      <c r="J89" s="30" t="str">
        <f t="shared" ca="1" si="0"/>
        <v/>
      </c>
      <c r="K89" s="30" t="str">
        <f t="shared" ca="1" si="0"/>
        <v/>
      </c>
      <c r="L89" s="30" t="str">
        <f t="shared" ca="1" si="0"/>
        <v/>
      </c>
      <c r="M89" s="25"/>
      <c r="N89" s="1"/>
      <c r="O89" s="1"/>
      <c r="P89" s="1"/>
      <c r="Q89" s="1"/>
      <c r="R89" s="1"/>
      <c r="S89" s="1"/>
      <c r="T89" s="1"/>
      <c r="U89" s="1"/>
      <c r="V89" s="1"/>
      <c r="W89" s="1"/>
      <c r="X89" s="1"/>
      <c r="Y89" s="1"/>
      <c r="Z89" s="1"/>
      <c r="AA89" s="1"/>
    </row>
    <row r="90" spans="1:27" s="7" customFormat="1" x14ac:dyDescent="0.25">
      <c r="A90" s="17"/>
      <c r="B90" s="37">
        <v>18</v>
      </c>
      <c r="C90" s="30" t="str">
        <f t="shared" ca="1" si="0"/>
        <v/>
      </c>
      <c r="D90" s="30" t="str">
        <f t="shared" ca="1" si="0"/>
        <v/>
      </c>
      <c r="E90" s="30" t="str">
        <f t="shared" ca="1" si="0"/>
        <v/>
      </c>
      <c r="F90" s="30" t="str">
        <f t="shared" ca="1" si="0"/>
        <v/>
      </c>
      <c r="G90" s="30" t="str">
        <f t="shared" ca="1" si="0"/>
        <v/>
      </c>
      <c r="H90" s="30" t="str">
        <f t="shared" ca="1" si="0"/>
        <v/>
      </c>
      <c r="I90" s="30" t="str">
        <f t="shared" ca="1" si="0"/>
        <v/>
      </c>
      <c r="J90" s="30" t="str">
        <f t="shared" ca="1" si="0"/>
        <v/>
      </c>
      <c r="K90" s="30" t="str">
        <f t="shared" ca="1" si="0"/>
        <v/>
      </c>
      <c r="L90" s="30" t="str">
        <f t="shared" ca="1" si="0"/>
        <v/>
      </c>
      <c r="M90" s="25"/>
      <c r="N90" s="1"/>
      <c r="O90" s="1"/>
      <c r="P90" s="1"/>
      <c r="Q90" s="36"/>
      <c r="R90" s="1"/>
      <c r="S90" s="1"/>
      <c r="T90" s="1"/>
      <c r="U90" s="1"/>
      <c r="V90" s="1"/>
      <c r="W90" s="1"/>
      <c r="X90" s="1"/>
      <c r="Y90" s="1"/>
      <c r="Z90" s="1"/>
      <c r="AA90" s="1"/>
    </row>
    <row r="91" spans="1:27" s="7" customFormat="1" x14ac:dyDescent="0.25">
      <c r="A91" s="17"/>
      <c r="B91" s="37">
        <v>19</v>
      </c>
      <c r="C91" s="30" t="str">
        <f t="shared" ca="1" si="0"/>
        <v/>
      </c>
      <c r="D91" s="30" t="str">
        <f t="shared" ca="1" si="0"/>
        <v/>
      </c>
      <c r="E91" s="30" t="str">
        <f t="shared" ca="1" si="0"/>
        <v/>
      </c>
      <c r="F91" s="30" t="str">
        <f t="shared" ca="1" si="0"/>
        <v/>
      </c>
      <c r="G91" s="30" t="str">
        <f t="shared" ca="1" si="0"/>
        <v/>
      </c>
      <c r="H91" s="30" t="str">
        <f t="shared" ca="1" si="0"/>
        <v/>
      </c>
      <c r="I91" s="30" t="str">
        <f t="shared" ca="1" si="0"/>
        <v/>
      </c>
      <c r="J91" s="30" t="str">
        <f t="shared" ca="1" si="0"/>
        <v/>
      </c>
      <c r="K91" s="30" t="str">
        <f t="shared" ca="1" si="0"/>
        <v/>
      </c>
      <c r="L91" s="30" t="str">
        <f t="shared" ca="1" si="0"/>
        <v/>
      </c>
      <c r="M91" s="25"/>
      <c r="N91" s="1"/>
      <c r="O91" s="1"/>
      <c r="P91" s="1"/>
      <c r="Q91" s="1"/>
      <c r="R91" s="1"/>
      <c r="S91" s="1"/>
      <c r="T91" s="1"/>
      <c r="U91" s="1"/>
      <c r="V91" s="1"/>
      <c r="W91" s="1"/>
      <c r="X91" s="1"/>
      <c r="Y91" s="1"/>
      <c r="Z91" s="1"/>
      <c r="AA91" s="1"/>
    </row>
    <row r="92" spans="1:27" s="7" customFormat="1" x14ac:dyDescent="0.25">
      <c r="A92" s="17"/>
      <c r="B92" s="37">
        <v>20</v>
      </c>
      <c r="C92" s="30" t="str">
        <f t="shared" ca="1" si="0"/>
        <v/>
      </c>
      <c r="D92" s="30" t="str">
        <f t="shared" ca="1" si="0"/>
        <v/>
      </c>
      <c r="E92" s="30" t="str">
        <f t="shared" ca="1" si="0"/>
        <v/>
      </c>
      <c r="F92" s="30" t="str">
        <f t="shared" ca="1" si="0"/>
        <v/>
      </c>
      <c r="G92" s="30" t="str">
        <f t="shared" ca="1" si="0"/>
        <v/>
      </c>
      <c r="H92" s="30" t="str">
        <f t="shared" ca="1" si="0"/>
        <v/>
      </c>
      <c r="I92" s="30" t="str">
        <f t="shared" ca="1" si="0"/>
        <v/>
      </c>
      <c r="J92" s="30" t="str">
        <f t="shared" ca="1" si="0"/>
        <v/>
      </c>
      <c r="K92" s="30" t="str">
        <f t="shared" ca="1" si="0"/>
        <v/>
      </c>
      <c r="L92" s="30" t="str">
        <f t="shared" ca="1" si="0"/>
        <v/>
      </c>
      <c r="M92" s="25"/>
      <c r="N92" s="1"/>
      <c r="O92" s="1"/>
      <c r="P92" s="1"/>
      <c r="Q92" s="1"/>
      <c r="R92" s="1"/>
      <c r="S92" s="1"/>
      <c r="T92" s="1"/>
      <c r="U92" s="1"/>
      <c r="V92" s="1"/>
      <c r="W92" s="1"/>
      <c r="X92" s="1"/>
      <c r="Y92" s="1"/>
      <c r="Z92" s="1"/>
      <c r="AA92" s="1"/>
    </row>
    <row r="93" spans="1:27" s="7" customFormat="1" x14ac:dyDescent="0.25">
      <c r="A93" s="17"/>
      <c r="B93" s="37"/>
      <c r="C93" s="17"/>
      <c r="D93" s="17"/>
      <c r="E93" s="17"/>
      <c r="F93" s="17"/>
      <c r="G93" s="17"/>
      <c r="H93" s="17"/>
      <c r="I93" s="17"/>
      <c r="J93" s="17"/>
      <c r="K93" s="17"/>
      <c r="L93" s="17"/>
      <c r="M93" s="17"/>
      <c r="N93" s="1"/>
      <c r="O93" s="1"/>
      <c r="P93" s="1"/>
      <c r="Q93" s="1"/>
      <c r="R93" s="1"/>
      <c r="S93" s="1"/>
      <c r="T93" s="1"/>
      <c r="U93" s="1"/>
      <c r="V93" s="1"/>
      <c r="W93" s="1"/>
      <c r="X93" s="1"/>
      <c r="Y93" s="1"/>
      <c r="Z93" s="1"/>
      <c r="AA93" s="1"/>
    </row>
    <row r="94" spans="1:27" s="37" customFormat="1" hidden="1" x14ac:dyDescent="0.25">
      <c r="C94" s="37" t="s">
        <v>321</v>
      </c>
      <c r="D94" s="37" t="s">
        <v>323</v>
      </c>
      <c r="E94" s="37" t="s">
        <v>324</v>
      </c>
      <c r="F94" s="37" t="s">
        <v>326</v>
      </c>
      <c r="G94" s="37" t="s">
        <v>322</v>
      </c>
      <c r="H94" s="37" t="s">
        <v>328</v>
      </c>
      <c r="I94" s="37" t="s">
        <v>329</v>
      </c>
      <c r="N94" s="39"/>
      <c r="O94" s="39"/>
      <c r="P94" s="39"/>
      <c r="T94" s="39"/>
      <c r="U94" s="39"/>
      <c r="V94" s="39"/>
      <c r="W94" s="39"/>
      <c r="X94" s="39"/>
      <c r="Y94" s="39"/>
      <c r="Z94" s="39"/>
      <c r="AA94" s="39"/>
    </row>
    <row r="95" spans="1:27" s="7" customFormat="1" x14ac:dyDescent="0.25">
      <c r="A95" s="17"/>
      <c r="B95" s="37"/>
      <c r="C95" s="95" t="s">
        <v>330</v>
      </c>
      <c r="D95" s="96"/>
      <c r="E95" s="96"/>
      <c r="F95" s="96"/>
      <c r="G95" s="96"/>
      <c r="H95" s="96"/>
      <c r="I95" s="97"/>
      <c r="J95" s="95" t="s">
        <v>269</v>
      </c>
      <c r="K95" s="96"/>
      <c r="L95" s="97"/>
      <c r="M95" s="26"/>
      <c r="N95" s="1"/>
      <c r="O95" s="1"/>
      <c r="P95" s="1"/>
      <c r="Q95" s="1"/>
      <c r="R95" s="1"/>
      <c r="S95" s="1"/>
      <c r="T95" s="1"/>
      <c r="U95" s="1"/>
      <c r="V95" s="1"/>
      <c r="W95" s="1"/>
      <c r="X95" s="1"/>
      <c r="Y95" s="1"/>
      <c r="Z95" s="1"/>
      <c r="AA95" s="1"/>
    </row>
    <row r="96" spans="1:27" s="13" customFormat="1" ht="28.5" x14ac:dyDescent="0.25">
      <c r="A96" s="27"/>
      <c r="B96" s="38"/>
      <c r="C96" s="28" t="s">
        <v>139</v>
      </c>
      <c r="D96" s="28" t="s">
        <v>271</v>
      </c>
      <c r="E96" s="28" t="s">
        <v>271</v>
      </c>
      <c r="F96" s="28" t="s">
        <v>272</v>
      </c>
      <c r="G96" s="28" t="s">
        <v>273</v>
      </c>
      <c r="H96" s="28" t="s">
        <v>274</v>
      </c>
      <c r="I96" s="28" t="s">
        <v>275</v>
      </c>
      <c r="J96" s="28" t="s">
        <v>270</v>
      </c>
      <c r="K96" s="102" t="s">
        <v>276</v>
      </c>
      <c r="L96" s="103"/>
      <c r="M96" s="29"/>
      <c r="N96" s="1"/>
      <c r="O96" s="1"/>
      <c r="P96" s="1"/>
      <c r="Q96" s="1"/>
      <c r="R96" s="1"/>
      <c r="S96" s="1"/>
      <c r="T96" s="1"/>
      <c r="U96" s="1"/>
      <c r="V96" s="1"/>
      <c r="W96" s="1"/>
      <c r="X96" s="1"/>
      <c r="Y96" s="1"/>
      <c r="Z96" s="1"/>
      <c r="AA96" s="1"/>
    </row>
    <row r="97" spans="1:27" s="7" customFormat="1" x14ac:dyDescent="0.25">
      <c r="A97" s="17"/>
      <c r="B97" s="37">
        <v>25</v>
      </c>
      <c r="C97" s="30" t="str">
        <f t="shared" ref="C97:I100" ca="1" si="1">IFERROR(IF(INDIRECT(CONCATENATE("'[",AppName,"]Sheet1'!"&amp;C$94&amp;$B97))=0,"",
INDIRECT(CONCATENATE("'[",AppName,"]Sheet1'!"&amp;C$94&amp;$B97))),"")</f>
        <v/>
      </c>
      <c r="D97" s="30" t="str">
        <f t="shared" ca="1" si="1"/>
        <v/>
      </c>
      <c r="E97" s="30" t="str">
        <f t="shared" ca="1" si="1"/>
        <v/>
      </c>
      <c r="F97" s="30" t="str">
        <f t="shared" ca="1" si="1"/>
        <v/>
      </c>
      <c r="G97" s="30" t="str">
        <f t="shared" ca="1" si="1"/>
        <v/>
      </c>
      <c r="H97" s="30" t="str">
        <f t="shared" ca="1" si="1"/>
        <v/>
      </c>
      <c r="I97" s="30" t="str">
        <f t="shared" ca="1" si="1"/>
        <v/>
      </c>
      <c r="J97" s="30" t="str">
        <f t="shared" ref="J97:L100" ca="1" si="2">IFERROR(IF(INDIRECT(CONCATENATE("'[",AppName,"]Sheet1'!"&amp;J$84&amp;$B97))=0,"",
INDIRECT(CONCATENATE("'[",AppName,"]Sheet1'!"&amp;J$84&amp;$B97))),"")</f>
        <v/>
      </c>
      <c r="K97" s="30" t="str">
        <f t="shared" ca="1" si="2"/>
        <v/>
      </c>
      <c r="L97" s="30" t="str">
        <f t="shared" ca="1" si="2"/>
        <v/>
      </c>
      <c r="M97" s="25"/>
      <c r="N97" s="1"/>
      <c r="O97" s="1"/>
      <c r="P97" s="60">
        <f ca="1">IFERROR(VLOOKUP(H97,EPACalculation[],2,FALSE),0)</f>
        <v>0</v>
      </c>
      <c r="Q97" s="1"/>
      <c r="R97" s="1"/>
      <c r="S97" s="1"/>
      <c r="T97" s="1"/>
      <c r="U97" s="1"/>
      <c r="V97" s="1"/>
      <c r="W97" s="1"/>
      <c r="X97" s="1"/>
      <c r="Y97" s="1"/>
      <c r="Z97" s="1"/>
      <c r="AA97" s="1"/>
    </row>
    <row r="98" spans="1:27" s="7" customFormat="1" x14ac:dyDescent="0.25">
      <c r="A98" s="17"/>
      <c r="B98" s="37">
        <v>26</v>
      </c>
      <c r="C98" s="30" t="str">
        <f t="shared" ca="1" si="1"/>
        <v/>
      </c>
      <c r="D98" s="30" t="str">
        <f t="shared" ca="1" si="1"/>
        <v/>
      </c>
      <c r="E98" s="30" t="str">
        <f t="shared" ca="1" si="1"/>
        <v/>
      </c>
      <c r="F98" s="30" t="str">
        <f t="shared" ca="1" si="1"/>
        <v/>
      </c>
      <c r="G98" s="30" t="str">
        <f t="shared" ca="1" si="1"/>
        <v/>
      </c>
      <c r="H98" s="30" t="str">
        <f t="shared" ca="1" si="1"/>
        <v/>
      </c>
      <c r="I98" s="30" t="str">
        <f t="shared" ca="1" si="1"/>
        <v/>
      </c>
      <c r="J98" s="30" t="str">
        <f t="shared" ca="1" si="2"/>
        <v/>
      </c>
      <c r="K98" s="30" t="str">
        <f t="shared" ca="1" si="2"/>
        <v/>
      </c>
      <c r="L98" s="30" t="str">
        <f t="shared" ca="1" si="2"/>
        <v/>
      </c>
      <c r="M98" s="25"/>
      <c r="N98" s="1"/>
      <c r="O98" s="1"/>
      <c r="P98" s="60">
        <f ca="1">IFERROR(VLOOKUP(H98,EPACalculation[],2,FALSE),0)</f>
        <v>0</v>
      </c>
      <c r="Q98" s="33"/>
      <c r="R98" s="1"/>
      <c r="S98" s="1"/>
      <c r="T98" s="1"/>
      <c r="U98" s="1"/>
      <c r="V98" s="1"/>
      <c r="W98" s="1"/>
      <c r="X98" s="1"/>
      <c r="Y98" s="1"/>
      <c r="Z98" s="1"/>
      <c r="AA98" s="1"/>
    </row>
    <row r="99" spans="1:27" s="7" customFormat="1" x14ac:dyDescent="0.25">
      <c r="A99" s="17"/>
      <c r="B99" s="37">
        <v>27</v>
      </c>
      <c r="C99" s="30" t="str">
        <f t="shared" ca="1" si="1"/>
        <v/>
      </c>
      <c r="D99" s="30" t="str">
        <f t="shared" ca="1" si="1"/>
        <v/>
      </c>
      <c r="E99" s="30" t="str">
        <f t="shared" ca="1" si="1"/>
        <v/>
      </c>
      <c r="F99" s="30" t="str">
        <f t="shared" ca="1" si="1"/>
        <v/>
      </c>
      <c r="G99" s="30" t="str">
        <f t="shared" ca="1" si="1"/>
        <v/>
      </c>
      <c r="H99" s="30" t="str">
        <f t="shared" ca="1" si="1"/>
        <v/>
      </c>
      <c r="I99" s="30" t="str">
        <f t="shared" ca="1" si="1"/>
        <v/>
      </c>
      <c r="J99" s="30" t="str">
        <f t="shared" ca="1" si="2"/>
        <v/>
      </c>
      <c r="K99" s="30" t="str">
        <f t="shared" ca="1" si="2"/>
        <v/>
      </c>
      <c r="L99" s="30" t="str">
        <f t="shared" ca="1" si="2"/>
        <v/>
      </c>
      <c r="M99" s="25"/>
      <c r="N99" s="1"/>
      <c r="O99" s="1"/>
      <c r="P99" s="60">
        <f ca="1">IFERROR(VLOOKUP(H99,EPACalculation[],2,FALSE),0)</f>
        <v>0</v>
      </c>
      <c r="Q99" s="1"/>
      <c r="R99" s="1"/>
      <c r="S99" s="1"/>
      <c r="T99" s="1"/>
      <c r="U99" s="1"/>
      <c r="V99" s="1"/>
      <c r="W99" s="1"/>
      <c r="X99" s="1"/>
      <c r="Y99" s="1"/>
      <c r="Z99" s="1"/>
      <c r="AA99" s="1"/>
    </row>
    <row r="100" spans="1:27" s="7" customFormat="1" x14ac:dyDescent="0.25">
      <c r="A100" s="17"/>
      <c r="B100" s="37">
        <v>28</v>
      </c>
      <c r="C100" s="30" t="str">
        <f t="shared" ca="1" si="1"/>
        <v/>
      </c>
      <c r="D100" s="30" t="str">
        <f t="shared" ca="1" si="1"/>
        <v/>
      </c>
      <c r="E100" s="30" t="str">
        <f t="shared" ca="1" si="1"/>
        <v/>
      </c>
      <c r="F100" s="30" t="str">
        <f t="shared" ca="1" si="1"/>
        <v/>
      </c>
      <c r="G100" s="30" t="str">
        <f t="shared" ca="1" si="1"/>
        <v/>
      </c>
      <c r="H100" s="30" t="str">
        <f t="shared" ca="1" si="1"/>
        <v/>
      </c>
      <c r="I100" s="30" t="str">
        <f t="shared" ca="1" si="1"/>
        <v/>
      </c>
      <c r="J100" s="30" t="str">
        <f t="shared" ca="1" si="2"/>
        <v/>
      </c>
      <c r="K100" s="30" t="str">
        <f t="shared" ca="1" si="2"/>
        <v/>
      </c>
      <c r="L100" s="30" t="str">
        <f t="shared" ca="1" si="2"/>
        <v/>
      </c>
      <c r="M100" s="25"/>
      <c r="N100" s="1"/>
      <c r="O100" s="1"/>
      <c r="P100" s="60">
        <f ca="1">IFERROR(VLOOKUP(H100,EPACalculation[],2,FALSE),0)</f>
        <v>0</v>
      </c>
      <c r="Q100" s="36"/>
      <c r="R100" s="1"/>
      <c r="S100" s="1"/>
      <c r="T100" s="1"/>
      <c r="U100" s="1"/>
      <c r="V100" s="1"/>
      <c r="W100" s="1"/>
      <c r="X100" s="1"/>
      <c r="Y100" s="1"/>
      <c r="Z100" s="1"/>
      <c r="AA100" s="1"/>
    </row>
    <row r="101" spans="1:27" s="7" customFormat="1" ht="9.75" customHeight="1" x14ac:dyDescent="0.25">
      <c r="A101" s="17"/>
      <c r="B101" s="37"/>
      <c r="C101" s="17"/>
      <c r="D101" s="17"/>
      <c r="E101" s="17"/>
      <c r="F101" s="17"/>
      <c r="G101" s="17"/>
      <c r="H101" s="17"/>
      <c r="I101" s="17"/>
      <c r="J101" s="17"/>
      <c r="K101" s="17"/>
      <c r="L101" s="17"/>
      <c r="M101" s="17"/>
      <c r="N101" s="1"/>
      <c r="O101" s="1"/>
      <c r="P101" s="1"/>
      <c r="Q101" s="1"/>
      <c r="R101" s="1"/>
      <c r="S101" s="1"/>
      <c r="T101" s="1"/>
      <c r="U101" s="1"/>
      <c r="V101" s="1"/>
      <c r="W101" s="1"/>
      <c r="X101" s="1"/>
      <c r="Y101" s="1"/>
      <c r="Z101" s="1"/>
      <c r="AA101" s="1"/>
    </row>
    <row r="102" spans="1:27" s="37" customFormat="1" hidden="1" x14ac:dyDescent="0.25">
      <c r="C102" s="37" t="s">
        <v>321</v>
      </c>
      <c r="D102" s="37" t="s">
        <v>323</v>
      </c>
      <c r="E102" s="37" t="s">
        <v>325</v>
      </c>
      <c r="F102" s="37" t="s">
        <v>327</v>
      </c>
      <c r="G102" s="37" t="s">
        <v>322</v>
      </c>
      <c r="H102" s="37" t="s">
        <v>329</v>
      </c>
      <c r="J102" s="37" t="s">
        <v>332</v>
      </c>
      <c r="N102" s="39"/>
      <c r="O102" s="39"/>
      <c r="P102" s="39"/>
      <c r="Q102" s="39"/>
      <c r="R102" s="39"/>
      <c r="S102" s="39"/>
      <c r="T102" s="39"/>
      <c r="U102" s="39"/>
      <c r="V102" s="39"/>
      <c r="W102" s="39"/>
      <c r="X102" s="39"/>
      <c r="Y102" s="39"/>
      <c r="Z102" s="39"/>
      <c r="AA102" s="39"/>
    </row>
    <row r="103" spans="1:27" s="7" customFormat="1" x14ac:dyDescent="0.25">
      <c r="A103" s="17"/>
      <c r="B103" s="37"/>
      <c r="C103" s="95" t="s">
        <v>331</v>
      </c>
      <c r="D103" s="96"/>
      <c r="E103" s="96"/>
      <c r="F103" s="96"/>
      <c r="G103" s="96"/>
      <c r="H103" s="96"/>
      <c r="I103" s="96"/>
      <c r="J103" s="97"/>
      <c r="K103" s="17"/>
      <c r="L103" s="41"/>
      <c r="M103" s="26"/>
      <c r="N103" s="1"/>
      <c r="O103" s="1"/>
      <c r="P103" s="1"/>
      <c r="Q103" s="1"/>
      <c r="R103" s="1"/>
      <c r="S103" s="1"/>
      <c r="T103" s="1"/>
      <c r="U103" s="1"/>
      <c r="V103" s="1"/>
      <c r="W103" s="1"/>
      <c r="X103" s="1"/>
      <c r="Y103" s="1"/>
      <c r="Z103" s="1"/>
      <c r="AA103" s="1"/>
    </row>
    <row r="104" spans="1:27" s="13" customFormat="1" ht="28.5" customHeight="1" x14ac:dyDescent="0.25">
      <c r="A104" s="27"/>
      <c r="B104" s="38"/>
      <c r="C104" s="28" t="s">
        <v>139</v>
      </c>
      <c r="D104" s="28" t="s">
        <v>270</v>
      </c>
      <c r="E104" s="28" t="s">
        <v>271</v>
      </c>
      <c r="F104" s="28" t="s">
        <v>272</v>
      </c>
      <c r="G104" s="28" t="s">
        <v>273</v>
      </c>
      <c r="H104" s="102" t="s">
        <v>274</v>
      </c>
      <c r="I104" s="103"/>
      <c r="J104" s="28" t="s">
        <v>275</v>
      </c>
      <c r="K104" s="27"/>
      <c r="L104" s="42"/>
      <c r="M104" s="29"/>
      <c r="N104" s="1"/>
      <c r="O104" s="1"/>
      <c r="P104" s="1"/>
      <c r="Q104" s="1"/>
      <c r="R104" s="1"/>
      <c r="S104" s="1"/>
      <c r="T104" s="1"/>
      <c r="U104" s="1"/>
      <c r="V104" s="1"/>
      <c r="W104" s="1"/>
      <c r="X104" s="1"/>
      <c r="Y104" s="1"/>
      <c r="Z104" s="1"/>
      <c r="AA104" s="1"/>
    </row>
    <row r="105" spans="1:27" s="7" customFormat="1" x14ac:dyDescent="0.25">
      <c r="A105" s="17"/>
      <c r="B105" s="37">
        <v>33</v>
      </c>
      <c r="C105" s="30" t="str">
        <f t="shared" ref="C105:I105" ca="1" si="3">IFERROR(IF(INDIRECT(CONCATENATE("'[",AppName,"]Sheet1'!"&amp;C$102&amp;$B105))=0,"",
INDIRECT(CONCATENATE("'[",AppName,"]Sheet1'!"&amp;C$102&amp;$B105))),"")</f>
        <v/>
      </c>
      <c r="D105" s="30" t="str">
        <f t="shared" ca="1" si="3"/>
        <v/>
      </c>
      <c r="E105" s="30" t="str">
        <f t="shared" ca="1" si="3"/>
        <v/>
      </c>
      <c r="F105" s="30" t="str">
        <f t="shared" ca="1" si="3"/>
        <v/>
      </c>
      <c r="G105" s="30" t="str">
        <f t="shared" ca="1" si="3"/>
        <v/>
      </c>
      <c r="H105" s="85" t="str">
        <f t="shared" ca="1" si="3"/>
        <v/>
      </c>
      <c r="I105" s="87" t="str">
        <f t="shared" ca="1" si="3"/>
        <v/>
      </c>
      <c r="J105" s="30" t="str">
        <f t="shared" ref="J105:J110" ca="1" si="4">IFERROR(IF(INDIRECT(CONCATENATE("'[",AppName,"]Sheet1'!"&amp;J$102&amp;$B105))=0,"",
INDIRECT(CONCATENATE("'[",AppName,"]Sheet1'!"&amp;J$102&amp;$B105))),"")</f>
        <v/>
      </c>
      <c r="K105" s="17"/>
      <c r="L105" s="25"/>
      <c r="M105" s="25"/>
      <c r="N105" s="1"/>
      <c r="O105" s="1"/>
      <c r="P105" s="1"/>
      <c r="Q105" s="1"/>
      <c r="R105" s="1"/>
      <c r="S105" s="1"/>
      <c r="T105" s="1"/>
      <c r="U105" s="1"/>
      <c r="V105" s="1"/>
      <c r="W105" s="1"/>
      <c r="X105" s="1"/>
      <c r="Y105" s="1"/>
      <c r="Z105" s="1"/>
      <c r="AA105" s="1"/>
    </row>
    <row r="106" spans="1:27" s="7" customFormat="1" x14ac:dyDescent="0.25">
      <c r="A106" s="17"/>
      <c r="B106" s="37">
        <v>34</v>
      </c>
      <c r="C106" s="30" t="str">
        <f t="shared" ref="C106:I110" ca="1" si="5">IFERROR(IF(INDIRECT(CONCATENATE("'[",AppName,"]Sheet1'!"&amp;C$102&amp;$B106))=0,"",
INDIRECT(CONCATENATE("'[",AppName,"]Sheet1'!"&amp;C$102&amp;$B106))),"")</f>
        <v/>
      </c>
      <c r="D106" s="30" t="str">
        <f t="shared" ca="1" si="5"/>
        <v/>
      </c>
      <c r="E106" s="30" t="str">
        <f t="shared" ca="1" si="5"/>
        <v/>
      </c>
      <c r="F106" s="30" t="str">
        <f t="shared" ca="1" si="5"/>
        <v/>
      </c>
      <c r="G106" s="30" t="str">
        <f t="shared" ca="1" si="5"/>
        <v/>
      </c>
      <c r="H106" s="85" t="str">
        <f t="shared" ca="1" si="5"/>
        <v/>
      </c>
      <c r="I106" s="87" t="str">
        <f t="shared" ca="1" si="5"/>
        <v/>
      </c>
      <c r="J106" s="30" t="str">
        <f t="shared" ca="1" si="4"/>
        <v/>
      </c>
      <c r="K106" s="17"/>
      <c r="L106" s="25"/>
      <c r="M106" s="25"/>
      <c r="N106" s="1"/>
      <c r="O106" s="1"/>
      <c r="P106" s="1"/>
      <c r="Q106" s="33"/>
      <c r="R106" s="1"/>
      <c r="S106" s="1"/>
      <c r="T106" s="1"/>
      <c r="U106" s="1"/>
      <c r="V106" s="1"/>
      <c r="W106" s="1"/>
      <c r="X106" s="1"/>
      <c r="Y106" s="1"/>
      <c r="Z106" s="1"/>
      <c r="AA106" s="1"/>
    </row>
    <row r="107" spans="1:27" s="7" customFormat="1" x14ac:dyDescent="0.25">
      <c r="A107" s="17"/>
      <c r="B107" s="37">
        <v>35</v>
      </c>
      <c r="C107" s="30" t="str">
        <f t="shared" ca="1" si="5"/>
        <v/>
      </c>
      <c r="D107" s="30" t="str">
        <f t="shared" ca="1" si="5"/>
        <v/>
      </c>
      <c r="E107" s="30" t="str">
        <f t="shared" ca="1" si="5"/>
        <v/>
      </c>
      <c r="F107" s="30" t="str">
        <f t="shared" ca="1" si="5"/>
        <v/>
      </c>
      <c r="G107" s="30" t="str">
        <f t="shared" ca="1" si="5"/>
        <v/>
      </c>
      <c r="H107" s="85" t="str">
        <f t="shared" ca="1" si="5"/>
        <v/>
      </c>
      <c r="I107" s="87" t="str">
        <f t="shared" ca="1" si="5"/>
        <v/>
      </c>
      <c r="J107" s="30" t="str">
        <f t="shared" ca="1" si="4"/>
        <v/>
      </c>
      <c r="K107" s="17"/>
      <c r="L107" s="25"/>
      <c r="M107" s="25"/>
      <c r="N107" s="1"/>
      <c r="O107" s="1"/>
      <c r="P107" s="1"/>
      <c r="Q107" s="1"/>
      <c r="R107" s="1"/>
      <c r="S107" s="1"/>
      <c r="T107" s="1"/>
      <c r="U107" s="1"/>
      <c r="V107" s="1"/>
      <c r="W107" s="1"/>
      <c r="X107" s="1"/>
      <c r="Y107" s="1"/>
      <c r="Z107" s="1"/>
      <c r="AA107" s="1"/>
    </row>
    <row r="108" spans="1:27" s="7" customFormat="1" x14ac:dyDescent="0.25">
      <c r="A108" s="17"/>
      <c r="B108" s="37">
        <v>36</v>
      </c>
      <c r="C108" s="30" t="str">
        <f t="shared" ca="1" si="5"/>
        <v/>
      </c>
      <c r="D108" s="30" t="str">
        <f t="shared" ca="1" si="5"/>
        <v/>
      </c>
      <c r="E108" s="30" t="str">
        <f t="shared" ca="1" si="5"/>
        <v/>
      </c>
      <c r="F108" s="30" t="str">
        <f t="shared" ca="1" si="5"/>
        <v/>
      </c>
      <c r="G108" s="30" t="str">
        <f t="shared" ca="1" si="5"/>
        <v/>
      </c>
      <c r="H108" s="85" t="str">
        <f t="shared" ca="1" si="5"/>
        <v/>
      </c>
      <c r="I108" s="87" t="str">
        <f t="shared" ca="1" si="5"/>
        <v/>
      </c>
      <c r="J108" s="30" t="str">
        <f t="shared" ca="1" si="4"/>
        <v/>
      </c>
      <c r="K108" s="17"/>
      <c r="L108" s="25"/>
      <c r="M108" s="25"/>
      <c r="N108" s="1"/>
      <c r="O108" s="1"/>
      <c r="P108" s="1"/>
      <c r="Q108" s="36"/>
      <c r="R108" s="1"/>
      <c r="S108" s="1"/>
      <c r="T108" s="1"/>
      <c r="U108" s="1"/>
      <c r="V108" s="1"/>
      <c r="W108" s="1"/>
      <c r="X108" s="1"/>
      <c r="Y108" s="1"/>
      <c r="Z108" s="1"/>
      <c r="AA108" s="1"/>
    </row>
    <row r="109" spans="1:27" s="7" customFormat="1" x14ac:dyDescent="0.25">
      <c r="A109" s="17"/>
      <c r="B109" s="37">
        <v>37</v>
      </c>
      <c r="C109" s="30" t="str">
        <f t="shared" ca="1" si="5"/>
        <v/>
      </c>
      <c r="D109" s="30" t="str">
        <f t="shared" ca="1" si="5"/>
        <v/>
      </c>
      <c r="E109" s="30" t="str">
        <f t="shared" ca="1" si="5"/>
        <v/>
      </c>
      <c r="F109" s="30" t="str">
        <f t="shared" ca="1" si="5"/>
        <v/>
      </c>
      <c r="G109" s="30" t="str">
        <f t="shared" ca="1" si="5"/>
        <v/>
      </c>
      <c r="H109" s="85" t="str">
        <f t="shared" ca="1" si="5"/>
        <v/>
      </c>
      <c r="I109" s="87" t="str">
        <f t="shared" ca="1" si="5"/>
        <v/>
      </c>
      <c r="J109" s="30" t="str">
        <f t="shared" ca="1" si="4"/>
        <v/>
      </c>
      <c r="K109" s="17"/>
      <c r="L109" s="25"/>
      <c r="M109" s="25"/>
      <c r="N109" s="1"/>
      <c r="O109" s="1"/>
      <c r="P109" s="1"/>
      <c r="Q109" s="1"/>
      <c r="R109" s="1"/>
      <c r="S109" s="1"/>
      <c r="T109" s="1"/>
      <c r="U109" s="1"/>
      <c r="V109" s="1"/>
      <c r="W109" s="1"/>
      <c r="X109" s="1"/>
      <c r="Y109" s="1"/>
      <c r="Z109" s="1"/>
      <c r="AA109" s="1"/>
    </row>
    <row r="110" spans="1:27" s="7" customFormat="1" x14ac:dyDescent="0.25">
      <c r="A110" s="17"/>
      <c r="B110" s="37">
        <v>38</v>
      </c>
      <c r="C110" s="30" t="str">
        <f t="shared" ca="1" si="5"/>
        <v/>
      </c>
      <c r="D110" s="30" t="str">
        <f t="shared" ca="1" si="5"/>
        <v/>
      </c>
      <c r="E110" s="30" t="str">
        <f t="shared" ca="1" si="5"/>
        <v/>
      </c>
      <c r="F110" s="30" t="str">
        <f t="shared" ca="1" si="5"/>
        <v/>
      </c>
      <c r="G110" s="30" t="str">
        <f t="shared" ca="1" si="5"/>
        <v/>
      </c>
      <c r="H110" s="85" t="str">
        <f t="shared" ca="1" si="5"/>
        <v/>
      </c>
      <c r="I110" s="87" t="str">
        <f t="shared" ca="1" si="5"/>
        <v/>
      </c>
      <c r="J110" s="30" t="str">
        <f t="shared" ca="1" si="4"/>
        <v/>
      </c>
      <c r="K110" s="17"/>
      <c r="L110" s="25"/>
      <c r="M110" s="25"/>
      <c r="N110" s="1"/>
      <c r="O110" s="1"/>
      <c r="P110" s="1"/>
      <c r="Q110" s="1"/>
      <c r="R110" s="1"/>
      <c r="S110" s="1"/>
      <c r="T110" s="1"/>
      <c r="U110" s="1"/>
      <c r="V110" s="1"/>
      <c r="W110" s="1"/>
      <c r="X110" s="1"/>
      <c r="Y110" s="1"/>
      <c r="Z110" s="1"/>
      <c r="AA110" s="1"/>
    </row>
    <row r="111" spans="1:27" s="46" customFormat="1" x14ac:dyDescent="0.25">
      <c r="A111" s="25"/>
      <c r="B111" s="44"/>
      <c r="C111" s="56"/>
      <c r="D111" s="56"/>
      <c r="E111" s="56"/>
      <c r="F111" s="56"/>
      <c r="G111" s="56"/>
      <c r="H111" s="43"/>
      <c r="I111" s="43"/>
      <c r="J111" s="25"/>
      <c r="K111" s="25"/>
      <c r="L111" s="25"/>
      <c r="M111" s="25"/>
      <c r="N111" s="45"/>
      <c r="O111" s="45"/>
      <c r="P111" s="45"/>
      <c r="Q111" s="45"/>
      <c r="R111" s="45"/>
      <c r="S111" s="45"/>
      <c r="T111" s="45"/>
      <c r="U111" s="45"/>
      <c r="V111" s="45"/>
      <c r="W111" s="45"/>
      <c r="X111" s="45"/>
      <c r="Y111" s="45"/>
      <c r="Z111" s="45"/>
      <c r="AA111" s="45"/>
    </row>
    <row r="112" spans="1:27" s="46" customFormat="1" x14ac:dyDescent="0.25">
      <c r="A112" s="25"/>
      <c r="B112" s="44"/>
      <c r="C112" s="57" t="s">
        <v>341</v>
      </c>
      <c r="D112" s="25"/>
      <c r="E112" s="25"/>
      <c r="F112" s="25"/>
      <c r="G112" s="25"/>
      <c r="H112" s="58"/>
      <c r="I112" s="58"/>
      <c r="J112" s="25"/>
      <c r="K112" s="25"/>
      <c r="L112" s="25"/>
      <c r="M112" s="25"/>
      <c r="N112" s="45"/>
      <c r="O112" s="45"/>
      <c r="P112" s="45"/>
      <c r="Q112" s="45"/>
      <c r="R112" s="45"/>
      <c r="S112" s="45"/>
      <c r="T112" s="45"/>
      <c r="U112" s="45"/>
      <c r="V112" s="45"/>
      <c r="W112" s="45"/>
      <c r="X112" s="45"/>
      <c r="Y112" s="45"/>
      <c r="Z112" s="45"/>
      <c r="AA112" s="45"/>
    </row>
    <row r="113" spans="1:27" s="46" customFormat="1" x14ac:dyDescent="0.25">
      <c r="A113" s="25"/>
      <c r="B113" s="44"/>
      <c r="C113" s="25"/>
      <c r="D113" s="25"/>
      <c r="E113" s="25"/>
      <c r="F113" s="25"/>
      <c r="G113" s="25"/>
      <c r="H113" s="58"/>
      <c r="I113" s="58"/>
      <c r="J113" s="25"/>
      <c r="K113" s="25"/>
      <c r="L113" s="25"/>
      <c r="M113" s="25"/>
      <c r="N113" s="45"/>
      <c r="O113" s="45"/>
      <c r="P113" s="45"/>
      <c r="Q113" s="45"/>
      <c r="R113" s="45"/>
      <c r="S113" s="45"/>
      <c r="T113" s="45"/>
      <c r="U113" s="45"/>
      <c r="V113" s="45"/>
      <c r="W113" s="45"/>
      <c r="X113" s="45"/>
      <c r="Y113" s="45"/>
      <c r="Z113" s="45"/>
      <c r="AA113" s="45"/>
    </row>
    <row r="114" spans="1:27" s="7" customFormat="1" x14ac:dyDescent="0.25">
      <c r="A114" s="17"/>
      <c r="B114" s="37"/>
      <c r="C114" s="59" t="s">
        <v>338</v>
      </c>
      <c r="D114" s="41"/>
      <c r="E114" s="41"/>
      <c r="F114" s="41"/>
      <c r="G114" s="77">
        <f ca="1">3.85+SUM(P97:P100)</f>
        <v>3.85</v>
      </c>
      <c r="H114" s="59"/>
      <c r="I114" s="59"/>
      <c r="J114" s="25"/>
      <c r="K114" s="17"/>
      <c r="L114" s="17"/>
      <c r="M114" s="25"/>
      <c r="N114" s="1"/>
      <c r="O114" s="1"/>
      <c r="P114" s="1"/>
      <c r="Q114" s="1"/>
      <c r="R114" s="1"/>
      <c r="S114" s="1"/>
      <c r="T114" s="1"/>
      <c r="U114" s="1"/>
      <c r="V114" s="1"/>
      <c r="W114" s="1"/>
      <c r="X114" s="1"/>
      <c r="Y114" s="1"/>
      <c r="Z114" s="1"/>
      <c r="AA114" s="45"/>
    </row>
    <row r="115" spans="1:27" s="7" customFormat="1" x14ac:dyDescent="0.25">
      <c r="A115" s="17"/>
      <c r="B115" s="37"/>
      <c r="C115" s="59" t="s">
        <v>339</v>
      </c>
      <c r="D115" s="41"/>
      <c r="E115" s="41"/>
      <c r="F115" s="41"/>
      <c r="G115" s="77">
        <v>6</v>
      </c>
      <c r="H115" s="17"/>
      <c r="I115" s="59"/>
      <c r="J115" s="25"/>
      <c r="K115" s="17"/>
      <c r="L115" s="17"/>
      <c r="M115" s="25"/>
      <c r="N115" s="1"/>
      <c r="O115" s="1"/>
      <c r="P115" s="1"/>
      <c r="Q115" s="1"/>
      <c r="R115" s="1"/>
      <c r="S115" s="1"/>
      <c r="T115" s="1"/>
      <c r="U115" s="1"/>
      <c r="V115" s="1"/>
      <c r="W115" s="1"/>
      <c r="X115" s="1"/>
      <c r="Y115" s="1"/>
      <c r="Z115" s="1"/>
      <c r="AA115" s="45"/>
    </row>
    <row r="116" spans="1:27" s="7" customFormat="1" x14ac:dyDescent="0.25">
      <c r="A116" s="17"/>
      <c r="B116" s="37"/>
      <c r="C116" s="59" t="s">
        <v>340</v>
      </c>
      <c r="D116" s="41"/>
      <c r="E116" s="41"/>
      <c r="F116" s="41"/>
      <c r="G116" s="77">
        <f ca="1">IF(G114&gt;G115,G114-G115,0)</f>
        <v>0</v>
      </c>
      <c r="H116" s="59"/>
      <c r="I116" s="59"/>
      <c r="J116" s="25"/>
      <c r="K116" s="17"/>
      <c r="L116" s="17"/>
      <c r="M116" s="25"/>
      <c r="N116" s="1"/>
      <c r="O116" s="1"/>
      <c r="P116" s="1"/>
      <c r="Q116" s="1"/>
      <c r="R116" s="1"/>
      <c r="S116" s="1"/>
      <c r="T116" s="1"/>
      <c r="U116" s="1"/>
      <c r="V116" s="1"/>
      <c r="W116" s="1"/>
      <c r="X116" s="1"/>
      <c r="Y116" s="1"/>
      <c r="Z116" s="1"/>
      <c r="AA116" s="45"/>
    </row>
    <row r="117" spans="1:27" s="7" customFormat="1" x14ac:dyDescent="0.25">
      <c r="A117" s="17"/>
      <c r="B117" s="37"/>
      <c r="C117" s="25"/>
      <c r="D117" s="25"/>
      <c r="E117" s="25"/>
      <c r="F117" s="25"/>
      <c r="G117" s="25"/>
      <c r="H117" s="25"/>
      <c r="I117" s="25"/>
      <c r="J117" s="25"/>
      <c r="K117" s="25"/>
      <c r="L117" s="25"/>
      <c r="M117" s="25"/>
      <c r="N117" s="1"/>
      <c r="O117" s="1"/>
      <c r="P117" s="1"/>
      <c r="Q117" s="1"/>
      <c r="R117" s="1"/>
      <c r="S117" s="1"/>
      <c r="T117" s="1"/>
      <c r="U117" s="1"/>
      <c r="V117" s="1"/>
      <c r="W117" s="1"/>
      <c r="X117" s="1"/>
      <c r="Y117" s="1"/>
      <c r="Z117" s="1"/>
      <c r="AA117" s="1"/>
    </row>
    <row r="118" spans="1:27" s="7" customFormat="1" x14ac:dyDescent="0.25">
      <c r="A118" s="17"/>
      <c r="B118" s="37"/>
      <c r="C118" s="21" t="s">
        <v>277</v>
      </c>
      <c r="D118" s="17"/>
      <c r="E118" s="17"/>
      <c r="F118" s="17"/>
      <c r="G118" s="17"/>
      <c r="H118" s="17"/>
      <c r="I118" s="17"/>
      <c r="J118" s="17"/>
      <c r="K118" s="17"/>
      <c r="L118" s="17"/>
      <c r="M118" s="17"/>
      <c r="N118" s="1"/>
      <c r="O118" s="1"/>
      <c r="P118" s="1"/>
      <c r="Q118" s="1"/>
      <c r="R118" s="1"/>
      <c r="S118" s="1"/>
      <c r="T118" s="1"/>
      <c r="U118" s="1"/>
      <c r="V118" s="1"/>
      <c r="W118" s="1"/>
      <c r="X118" s="1"/>
      <c r="Y118" s="1"/>
      <c r="Z118" s="1"/>
      <c r="AA118" s="1"/>
    </row>
    <row r="119" spans="1:27" s="7" customFormat="1" x14ac:dyDescent="0.25">
      <c r="A119" s="17"/>
      <c r="B119" s="37"/>
      <c r="C119" s="17"/>
      <c r="D119" s="17"/>
      <c r="E119" s="17"/>
      <c r="F119" s="17"/>
      <c r="G119" s="17"/>
      <c r="H119" s="17"/>
      <c r="I119" s="17"/>
      <c r="J119" s="17"/>
      <c r="K119" s="17"/>
      <c r="L119" s="17"/>
      <c r="M119" s="17"/>
      <c r="N119" s="1"/>
      <c r="O119" s="1"/>
      <c r="P119" s="1"/>
      <c r="Q119" s="1"/>
      <c r="R119" s="1"/>
      <c r="S119" s="1"/>
      <c r="T119" s="1"/>
      <c r="U119" s="1"/>
      <c r="V119" s="1"/>
      <c r="W119" s="1"/>
      <c r="X119" s="1"/>
      <c r="Y119" s="1"/>
      <c r="Z119" s="1"/>
      <c r="AA119" s="1"/>
    </row>
    <row r="120" spans="1:27" s="37" customFormat="1" ht="33.75" hidden="1" x14ac:dyDescent="0.25">
      <c r="C120" s="37" t="s">
        <v>322</v>
      </c>
      <c r="N120" s="39"/>
      <c r="O120" s="39"/>
      <c r="P120" s="39"/>
      <c r="Q120" s="40" t="s">
        <v>332</v>
      </c>
      <c r="R120" s="39"/>
      <c r="S120" s="39"/>
      <c r="T120" s="39"/>
      <c r="U120" s="39"/>
      <c r="V120" s="39"/>
      <c r="W120" s="39"/>
      <c r="X120" s="39"/>
      <c r="Y120" s="39"/>
      <c r="Z120" s="39"/>
      <c r="AA120" s="39"/>
    </row>
    <row r="121" spans="1:27" s="7" customFormat="1" x14ac:dyDescent="0.25">
      <c r="A121" s="17"/>
      <c r="B121" s="37"/>
      <c r="C121" s="95" t="s">
        <v>278</v>
      </c>
      <c r="D121" s="96"/>
      <c r="E121" s="96"/>
      <c r="F121" s="96"/>
      <c r="G121" s="96"/>
      <c r="H121" s="96"/>
      <c r="I121" s="96"/>
      <c r="J121" s="96"/>
      <c r="K121" s="96"/>
      <c r="L121" s="97"/>
      <c r="M121" s="26"/>
      <c r="N121" s="1"/>
      <c r="O121" s="1"/>
      <c r="P121" s="1"/>
      <c r="Q121" s="1"/>
      <c r="R121" s="1"/>
      <c r="S121" s="1"/>
      <c r="T121" s="1"/>
      <c r="U121" s="1"/>
      <c r="V121" s="1"/>
      <c r="W121" s="1"/>
      <c r="X121" s="1"/>
      <c r="Y121" s="1"/>
      <c r="Z121" s="1"/>
      <c r="AA121" s="1"/>
    </row>
    <row r="122" spans="1:27" s="7" customFormat="1" ht="28.5" x14ac:dyDescent="0.25">
      <c r="A122" s="17"/>
      <c r="B122" s="37"/>
      <c r="C122" s="99" t="s">
        <v>279</v>
      </c>
      <c r="D122" s="100"/>
      <c r="E122" s="100"/>
      <c r="F122" s="101"/>
      <c r="G122" s="28" t="s">
        <v>280</v>
      </c>
      <c r="H122" s="61" t="s">
        <v>281</v>
      </c>
      <c r="I122" s="99" t="s">
        <v>333</v>
      </c>
      <c r="J122" s="101"/>
      <c r="K122" s="99" t="s">
        <v>290</v>
      </c>
      <c r="L122" s="101"/>
      <c r="M122" s="26"/>
      <c r="N122" s="1"/>
      <c r="O122" s="1"/>
      <c r="P122" s="1"/>
      <c r="Q122" s="49" t="s">
        <v>334</v>
      </c>
      <c r="R122" s="1"/>
      <c r="S122" s="1"/>
      <c r="T122" s="1"/>
      <c r="U122" s="1"/>
      <c r="V122" s="1"/>
      <c r="W122" s="1"/>
      <c r="X122" s="1"/>
      <c r="Y122" s="1"/>
      <c r="Z122" s="1"/>
      <c r="AA122" s="1"/>
    </row>
    <row r="123" spans="1:27" s="7" customFormat="1" x14ac:dyDescent="0.25">
      <c r="A123" s="17"/>
      <c r="B123" s="37">
        <v>44</v>
      </c>
      <c r="C123" s="85" t="str">
        <f ca="1">IFERROR(IF(INDIRECT(CONCATENATE("'[",AppName,"]Sheet1'!"&amp;C$120&amp;$B123))=0,"",
INDIRECT(CONCATENATE("'[",AppName,"]Sheet1'!"&amp;C$120&amp;$B123))),"")</f>
        <v/>
      </c>
      <c r="D123" s="86" t="str">
        <f t="shared" ref="D123:F124" ca="1" si="6">IFERROR(IF(INDIRECT(CONCATENATE("'[",$S$86,"]Sheet1'!"&amp;D$102&amp;$B123))=0,"",
INDIRECT(CONCATENATE("'[",$S$86,"]Sheet1'!"&amp;D$102&amp;$B123))),"")</f>
        <v/>
      </c>
      <c r="E123" s="86" t="str">
        <f t="shared" ca="1" si="6"/>
        <v/>
      </c>
      <c r="F123" s="87" t="str">
        <f t="shared" ca="1" si="6"/>
        <v/>
      </c>
      <c r="G123" s="48" t="str">
        <f ca="1">IF(_xlfn.NUMBERVALUE(LEFT(Q123,3))=0,"",
_xlfn.NUMBERVALUE(LEFT(Q123,3))/1000)</f>
        <v/>
      </c>
      <c r="H123" s="48" t="str">
        <f ca="1">IF(_xlfn.NUMBERVALUE(MID(Q123,5,4))=0,"",
_xlfn.NUMBERVALUE(MID(Q123,5,4))/1000)</f>
        <v/>
      </c>
      <c r="I123" s="83" t="str">
        <f ca="1">IF(_xlfn.NUMBERVALUE(RIGHT(Q123,4))=0,"",
_xlfn.NUMBERVALUE(RIGHT(Q123,4))/1000)</f>
        <v/>
      </c>
      <c r="J123" s="84" t="str">
        <f ca="1">IFERROR(IF(INDIRECT(CONCATENATE("'[",$S$86,"]Sheet1'!"&amp;#REF!&amp;$B123))=0,"",
INDIRECT(CONCATENATE("'[",$S$86,"]Sheet1'!"&amp;#REF!&amp;$B123))),"")</f>
        <v/>
      </c>
      <c r="K123" s="93" t="str">
        <f ca="1">IF(PRODUCT(G123:H123)=0,"",PRODUCT(G123:H123))</f>
        <v/>
      </c>
      <c r="L123" s="94"/>
      <c r="M123" s="31"/>
      <c r="N123" s="1"/>
      <c r="O123" s="1"/>
      <c r="P123" s="1"/>
      <c r="Q123" s="50" t="str">
        <f ca="1">IFERROR(IF(INDIRECT(CONCATENATE("'[",AppName,"]Sheet1'!"&amp;Q$120&amp;$B123))=0,"",
INDIRECT(CONCATENATE("'[",AppName,"]Sheet1'!"&amp;Q$120&amp;$B123))),"")</f>
        <v/>
      </c>
      <c r="R123" s="1"/>
      <c r="S123" s="1"/>
      <c r="T123" s="1"/>
      <c r="U123" s="1"/>
      <c r="V123" s="1"/>
      <c r="W123" s="1"/>
      <c r="X123" s="1"/>
      <c r="Y123" s="1"/>
      <c r="Z123" s="1"/>
      <c r="AA123" s="1"/>
    </row>
    <row r="124" spans="1:27" s="7" customFormat="1" x14ac:dyDescent="0.25">
      <c r="A124" s="17"/>
      <c r="B124" s="37">
        <v>45</v>
      </c>
      <c r="C124" s="85" t="str">
        <f ca="1">IFERROR(IF(INDIRECT(CONCATENATE("'[",AppName,"]Sheet1'!"&amp;C$120&amp;$B124))=0,"",
INDIRECT(CONCATENATE("'[",AppName,"]Sheet1'!"&amp;C$120&amp;$B124))),"")</f>
        <v/>
      </c>
      <c r="D124" s="86" t="str">
        <f t="shared" ca="1" si="6"/>
        <v/>
      </c>
      <c r="E124" s="86" t="str">
        <f t="shared" ca="1" si="6"/>
        <v/>
      </c>
      <c r="F124" s="87" t="str">
        <f t="shared" ca="1" si="6"/>
        <v/>
      </c>
      <c r="G124" s="48" t="str">
        <f ca="1">IF(_xlfn.NUMBERVALUE(LEFT(Q124,3))=0,"",
_xlfn.NUMBERVALUE(LEFT(Q124,3)))</f>
        <v/>
      </c>
      <c r="H124" s="48" t="str">
        <f ca="1">IF(_xlfn.NUMBERVALUE(MID(Q124,5,4))=0,"",
_xlfn.NUMBERVALUE(MID(Q124,5,4)))</f>
        <v/>
      </c>
      <c r="I124" s="83" t="str">
        <f ca="1">IF(_xlfn.NUMBERVALUE(RIGHT(Q124,4))=0,"",
_xlfn.NUMBERVALUE(RIGHT(Q124,4)))</f>
        <v/>
      </c>
      <c r="J124" s="84" t="str">
        <f ca="1">IFERROR(IF(INDIRECT(CONCATENATE("'[",$S$86,"]Sheet1'!"&amp;#REF!&amp;$B124))=0,"",
INDIRECT(CONCATENATE("'[",$S$86,"]Sheet1'!"&amp;#REF!&amp;$B124))),"")</f>
        <v/>
      </c>
      <c r="K124" s="93" t="str">
        <f ca="1">IF(PRODUCT(G124:H124)=0,"",PRODUCT(G124:H124))</f>
        <v/>
      </c>
      <c r="L124" s="94"/>
      <c r="M124" s="31"/>
      <c r="N124" s="1"/>
      <c r="O124" s="1"/>
      <c r="P124" s="1"/>
      <c r="Q124" s="50" t="str">
        <f ca="1">IFERROR(IF(INDIRECT(CONCATENATE("'[",AppName,"]Sheet1'!"&amp;Q$120&amp;$B124))=0,"",
INDIRECT(CONCATENATE("'[",AppName,"]Sheet1'!"&amp;Q$120&amp;$B124))),"")</f>
        <v/>
      </c>
      <c r="R124" s="1"/>
      <c r="S124" s="1"/>
      <c r="T124" s="1"/>
      <c r="U124" s="1"/>
      <c r="V124" s="1"/>
      <c r="W124" s="1"/>
      <c r="X124" s="1"/>
      <c r="Y124" s="1"/>
      <c r="Z124" s="1"/>
      <c r="AA124" s="1"/>
    </row>
    <row r="125" spans="1:27" s="7" customFormat="1" x14ac:dyDescent="0.25">
      <c r="A125" s="17"/>
      <c r="B125" s="37"/>
      <c r="C125" s="17"/>
      <c r="D125" s="17"/>
      <c r="E125" s="17"/>
      <c r="F125" s="17"/>
      <c r="G125" s="91" t="s">
        <v>282</v>
      </c>
      <c r="H125" s="91"/>
      <c r="I125" s="91"/>
      <c r="J125" s="91"/>
      <c r="K125" s="88">
        <f ca="1">SUM(K123:L124)</f>
        <v>0</v>
      </c>
      <c r="L125" s="89"/>
      <c r="M125" s="31"/>
      <c r="N125" s="1"/>
      <c r="O125" s="1"/>
      <c r="P125" s="1"/>
      <c r="Q125" s="1"/>
      <c r="R125" s="1"/>
      <c r="S125" s="1"/>
      <c r="T125" s="1"/>
      <c r="U125" s="1"/>
      <c r="V125" s="1"/>
      <c r="W125" s="1"/>
      <c r="X125" s="1"/>
      <c r="Y125" s="1"/>
      <c r="Z125" s="1"/>
      <c r="AA125" s="1"/>
    </row>
    <row r="126" spans="1:27" s="7" customFormat="1" x14ac:dyDescent="0.25">
      <c r="A126" s="17"/>
      <c r="B126" s="37"/>
      <c r="C126" s="17"/>
      <c r="D126" s="17"/>
      <c r="E126" s="17"/>
      <c r="F126" s="17"/>
      <c r="G126" s="92" t="s">
        <v>283</v>
      </c>
      <c r="H126" s="92"/>
      <c r="I126" s="92"/>
      <c r="J126" s="92"/>
      <c r="K126" s="88">
        <f>1.5*2</f>
        <v>3</v>
      </c>
      <c r="L126" s="89"/>
      <c r="M126" s="31"/>
      <c r="N126" s="1"/>
      <c r="O126" s="1"/>
      <c r="P126" s="1"/>
      <c r="Q126" s="1"/>
      <c r="R126" s="1"/>
      <c r="S126" s="1"/>
      <c r="T126" s="1"/>
      <c r="U126" s="1"/>
      <c r="V126" s="1"/>
      <c r="W126" s="1"/>
      <c r="X126" s="1"/>
      <c r="Y126" s="1"/>
      <c r="Z126" s="1"/>
      <c r="AA126" s="1"/>
    </row>
    <row r="127" spans="1:27" s="7" customFormat="1" x14ac:dyDescent="0.25">
      <c r="A127" s="17"/>
      <c r="B127" s="37"/>
      <c r="C127" s="17"/>
      <c r="D127" s="17"/>
      <c r="E127" s="17"/>
      <c r="F127" s="17"/>
      <c r="G127" s="92" t="s">
        <v>284</v>
      </c>
      <c r="H127" s="92"/>
      <c r="I127" s="92"/>
      <c r="J127" s="92"/>
      <c r="K127" s="90">
        <f ca="1">IF(K125&gt;K126,K125-K126,0)</f>
        <v>0</v>
      </c>
      <c r="L127" s="90"/>
      <c r="M127" s="31"/>
      <c r="N127" s="1"/>
      <c r="O127" s="1"/>
      <c r="P127" s="1"/>
      <c r="Q127" s="1"/>
      <c r="R127" s="1"/>
      <c r="S127" s="1"/>
      <c r="T127" s="1"/>
      <c r="U127" s="1"/>
      <c r="V127" s="1"/>
      <c r="W127" s="1"/>
      <c r="X127" s="1"/>
      <c r="Y127" s="1"/>
      <c r="Z127" s="1"/>
      <c r="AA127" s="1"/>
    </row>
    <row r="128" spans="1:27" s="7" customFormat="1" x14ac:dyDescent="0.25">
      <c r="A128" s="17"/>
      <c r="B128" s="37"/>
      <c r="C128" s="17"/>
      <c r="D128" s="17"/>
      <c r="E128" s="17"/>
      <c r="F128" s="17"/>
      <c r="G128" s="17"/>
      <c r="H128" s="17"/>
      <c r="I128" s="17"/>
      <c r="J128" s="17"/>
      <c r="K128" s="17"/>
      <c r="L128" s="17"/>
      <c r="M128" s="17"/>
      <c r="N128" s="1"/>
      <c r="O128" s="1"/>
      <c r="P128" s="1"/>
      <c r="Q128" s="1"/>
      <c r="R128" s="1"/>
      <c r="S128" s="1"/>
      <c r="T128" s="1"/>
      <c r="U128" s="1"/>
      <c r="V128" s="1"/>
      <c r="W128" s="1"/>
      <c r="X128" s="1"/>
      <c r="Y128" s="1"/>
      <c r="Z128" s="1"/>
      <c r="AA128" s="1"/>
    </row>
    <row r="129" spans="1:27" s="7" customFormat="1" x14ac:dyDescent="0.25">
      <c r="A129" s="17"/>
      <c r="B129" s="37"/>
      <c r="C129" s="17"/>
      <c r="D129" s="17"/>
      <c r="E129" s="17"/>
      <c r="F129" s="17"/>
      <c r="G129" s="17"/>
      <c r="H129" s="17"/>
      <c r="I129" s="17"/>
      <c r="J129" s="17"/>
      <c r="K129" s="17"/>
      <c r="L129" s="17"/>
      <c r="M129" s="17"/>
      <c r="N129" s="1"/>
      <c r="O129" s="1"/>
      <c r="P129" s="1"/>
      <c r="Q129" s="1"/>
      <c r="R129" s="1"/>
      <c r="S129" s="1"/>
      <c r="T129" s="1"/>
      <c r="U129" s="1"/>
      <c r="V129" s="1"/>
      <c r="W129" s="1"/>
      <c r="X129" s="1"/>
      <c r="Y129" s="1"/>
      <c r="Z129" s="1"/>
      <c r="AA129" s="1"/>
    </row>
    <row r="130" spans="1:27" s="7" customFormat="1" x14ac:dyDescent="0.25">
      <c r="A130" s="16"/>
      <c r="B130" s="37"/>
      <c r="C130" s="16"/>
      <c r="D130" s="16"/>
      <c r="E130" s="16"/>
      <c r="F130" s="16"/>
      <c r="G130" s="16"/>
      <c r="H130" s="16"/>
      <c r="I130" s="16"/>
      <c r="J130" s="16"/>
      <c r="K130" s="16"/>
      <c r="L130" s="16"/>
      <c r="M130" s="16"/>
      <c r="N130" s="1"/>
      <c r="O130" s="1"/>
      <c r="P130" s="1"/>
      <c r="Q130" s="1"/>
      <c r="R130" s="1"/>
      <c r="S130" s="1"/>
      <c r="T130" s="1"/>
      <c r="U130" s="1"/>
      <c r="V130" s="1"/>
      <c r="W130" s="1"/>
      <c r="X130" s="1"/>
      <c r="Y130" s="1"/>
      <c r="Z130" s="1"/>
      <c r="AA130" s="1"/>
    </row>
    <row r="131" spans="1:27" s="7" customFormat="1" x14ac:dyDescent="0.25">
      <c r="A131" s="6"/>
      <c r="B131" s="37"/>
      <c r="C131" s="9" t="s">
        <v>352</v>
      </c>
      <c r="D131" s="6"/>
      <c r="E131" s="6"/>
      <c r="F131" s="6"/>
      <c r="G131" s="6"/>
      <c r="H131" s="6"/>
      <c r="I131" s="6"/>
      <c r="J131" s="6"/>
      <c r="K131" s="6"/>
      <c r="L131" s="6"/>
      <c r="M131" s="6"/>
      <c r="N131" s="1"/>
      <c r="O131" s="1"/>
      <c r="P131" s="1"/>
      <c r="Q131" s="1"/>
      <c r="R131" s="1"/>
      <c r="S131" s="1"/>
      <c r="T131" s="1"/>
      <c r="U131" s="1"/>
      <c r="V131" s="1"/>
      <c r="W131" s="1"/>
      <c r="X131" s="1"/>
      <c r="Y131" s="1"/>
      <c r="Z131" s="1"/>
      <c r="AA131" s="1"/>
    </row>
    <row r="132" spans="1:27" s="7" customFormat="1" x14ac:dyDescent="0.25">
      <c r="A132" s="6"/>
      <c r="B132" s="37"/>
      <c r="C132" s="6"/>
      <c r="D132" s="6"/>
      <c r="E132" s="6"/>
      <c r="F132" s="6"/>
      <c r="G132" s="6"/>
      <c r="H132" s="6"/>
      <c r="I132" s="6"/>
      <c r="J132" s="6"/>
      <c r="K132" s="6"/>
      <c r="L132" s="6"/>
      <c r="M132" s="6"/>
      <c r="N132" s="1"/>
      <c r="O132" s="1"/>
      <c r="P132" s="1"/>
      <c r="Q132" s="1"/>
      <c r="R132" s="1"/>
      <c r="S132" s="1"/>
      <c r="T132" s="1"/>
      <c r="U132" s="1"/>
      <c r="V132" s="1"/>
      <c r="W132" s="1"/>
      <c r="X132" s="1"/>
      <c r="Y132" s="1"/>
      <c r="Z132" s="1"/>
      <c r="AA132" s="1"/>
    </row>
    <row r="133" spans="1:27" s="7" customFormat="1" x14ac:dyDescent="0.25">
      <c r="A133" s="6"/>
      <c r="B133" s="37"/>
      <c r="C133" s="6" t="s">
        <v>285</v>
      </c>
      <c r="D133" s="6"/>
      <c r="E133" s="6"/>
      <c r="F133" s="6"/>
      <c r="G133" s="17" t="e">
        <f>IF(VLOOKUP(PrintID,MySQL[],Form!R133,FALSE)="","",
VLOOKUP(PrintID,MySQL[],Form!R133,FALSE))</f>
        <v>#N/A</v>
      </c>
      <c r="H133" s="6"/>
      <c r="I133" s="6"/>
      <c r="J133" s="6"/>
      <c r="K133" s="6"/>
      <c r="L133" s="6"/>
      <c r="M133" s="6"/>
      <c r="N133" s="1"/>
      <c r="O133" s="1"/>
      <c r="P133" s="1"/>
      <c r="Q133" s="68" t="s">
        <v>379</v>
      </c>
      <c r="R133" s="1">
        <f>MATCH(Q133,MySQL!$1:$1,0)</f>
        <v>36</v>
      </c>
      <c r="S133" s="1"/>
      <c r="T133" s="1" t="s">
        <v>307</v>
      </c>
      <c r="U133" s="1" t="s">
        <v>308</v>
      </c>
      <c r="V133" s="1"/>
      <c r="W133" s="1"/>
      <c r="X133" s="1"/>
      <c r="Y133" s="1"/>
      <c r="Z133" s="1"/>
      <c r="AA133" s="1"/>
    </row>
    <row r="134" spans="1:27" s="7" customFormat="1" x14ac:dyDescent="0.25">
      <c r="A134" s="6"/>
      <c r="B134" s="37"/>
      <c r="C134" s="6"/>
      <c r="D134" s="6"/>
      <c r="E134" s="6"/>
      <c r="F134" s="6"/>
      <c r="G134" s="17"/>
      <c r="H134" s="6"/>
      <c r="I134" s="6"/>
      <c r="J134" s="6"/>
      <c r="K134" s="6"/>
      <c r="L134" s="6"/>
      <c r="M134" s="6"/>
      <c r="N134" s="1"/>
      <c r="O134" s="1"/>
      <c r="P134" s="1"/>
      <c r="Q134" s="1"/>
      <c r="R134" s="1"/>
      <c r="S134" s="1"/>
      <c r="T134" s="1"/>
      <c r="U134" s="1"/>
      <c r="V134" s="1"/>
      <c r="W134" s="1"/>
      <c r="X134" s="1"/>
      <c r="Y134" s="1"/>
      <c r="Z134" s="1"/>
      <c r="AA134" s="1"/>
    </row>
    <row r="135" spans="1:27" s="7" customFormat="1" x14ac:dyDescent="0.25">
      <c r="A135" s="6"/>
      <c r="B135" s="37"/>
      <c r="C135" s="6" t="s">
        <v>293</v>
      </c>
      <c r="D135" s="6"/>
      <c r="E135" s="6"/>
      <c r="F135" s="6"/>
      <c r="G135" s="17" t="e">
        <f>IF(VLOOKUP(PrintID,MySQL[],Form!R135,FALSE)&gt;0,"Permanent Grid","No")</f>
        <v>#N/A</v>
      </c>
      <c r="H135" s="6"/>
      <c r="I135" s="6"/>
      <c r="J135" s="6"/>
      <c r="K135" s="6"/>
      <c r="L135" s="6"/>
      <c r="M135" s="6"/>
      <c r="N135" s="1"/>
      <c r="O135" s="1"/>
      <c r="P135" s="1"/>
      <c r="Q135" s="68" t="s">
        <v>378</v>
      </c>
      <c r="R135" s="1">
        <f>MATCH(Q135,MySQL!$1:$1,0)</f>
        <v>35</v>
      </c>
      <c r="S135" s="1"/>
      <c r="T135" s="1" t="s">
        <v>309</v>
      </c>
      <c r="U135" s="1" t="s">
        <v>310</v>
      </c>
      <c r="V135" s="1" t="s">
        <v>311</v>
      </c>
      <c r="W135" s="1"/>
      <c r="X135" s="1"/>
      <c r="Y135" s="1"/>
      <c r="Z135" s="1"/>
      <c r="AA135" s="1"/>
    </row>
    <row r="136" spans="1:27" s="7" customFormat="1" x14ac:dyDescent="0.25">
      <c r="A136" s="6"/>
      <c r="B136" s="37"/>
      <c r="C136" s="6"/>
      <c r="D136" s="6"/>
      <c r="E136" s="6"/>
      <c r="F136" s="6"/>
      <c r="G136" s="17"/>
      <c r="H136" s="6"/>
      <c r="I136" s="6"/>
      <c r="J136" s="6"/>
      <c r="K136" s="6"/>
      <c r="L136" s="6"/>
      <c r="M136" s="6"/>
      <c r="N136" s="1"/>
      <c r="O136" s="1"/>
      <c r="P136" s="1"/>
      <c r="Q136" s="1"/>
      <c r="R136" s="1"/>
      <c r="S136" s="1"/>
      <c r="T136" s="1"/>
      <c r="U136" s="1"/>
      <c r="V136" s="1"/>
      <c r="W136" s="1"/>
      <c r="X136" s="1"/>
      <c r="Y136" s="1"/>
      <c r="Z136" s="1"/>
      <c r="AA136" s="1"/>
    </row>
    <row r="137" spans="1:27" s="7" customFormat="1" x14ac:dyDescent="0.25">
      <c r="A137" s="6"/>
      <c r="B137" s="37"/>
      <c r="C137" s="6" t="s">
        <v>294</v>
      </c>
      <c r="D137" s="6"/>
      <c r="E137" s="6"/>
      <c r="F137" s="6"/>
      <c r="G137" s="17" t="e">
        <f>IF(VLOOKUP(PrintID,MySQL[],Form!R137,FALSE)="","",
VLOOKUP(PrintID,MySQL[],Form!R137,FALSE))</f>
        <v>#N/A</v>
      </c>
      <c r="H137" s="6"/>
      <c r="I137" s="6"/>
      <c r="J137" s="6"/>
      <c r="K137" s="6"/>
      <c r="L137" s="6"/>
      <c r="M137" s="6"/>
      <c r="N137" s="1"/>
      <c r="O137" s="1"/>
      <c r="P137" s="1"/>
      <c r="Q137" s="66" t="s">
        <v>294</v>
      </c>
      <c r="R137" s="1">
        <f>MATCH(Q137,MySQL!$1:$1,0)</f>
        <v>32</v>
      </c>
      <c r="S137" s="1"/>
      <c r="T137" s="1" t="s">
        <v>312</v>
      </c>
      <c r="U137" s="1" t="s">
        <v>313</v>
      </c>
      <c r="V137" s="1" t="s">
        <v>314</v>
      </c>
      <c r="W137" s="1"/>
      <c r="X137" s="1"/>
      <c r="Y137" s="1"/>
      <c r="Z137" s="1"/>
      <c r="AA137" s="1"/>
    </row>
    <row r="138" spans="1:27" s="7" customFormat="1" x14ac:dyDescent="0.25">
      <c r="A138" s="6"/>
      <c r="B138" s="37"/>
      <c r="C138" s="6"/>
      <c r="D138" s="6"/>
      <c r="E138" s="6"/>
      <c r="F138" s="6"/>
      <c r="G138" s="6"/>
      <c r="H138" s="6"/>
      <c r="I138" s="6"/>
      <c r="J138" s="6"/>
      <c r="K138" s="6"/>
      <c r="L138" s="6"/>
      <c r="M138" s="6"/>
      <c r="N138" s="1"/>
      <c r="O138" s="1"/>
      <c r="P138" s="1"/>
      <c r="Q138" s="1"/>
      <c r="R138" s="1"/>
      <c r="S138" s="1"/>
      <c r="T138" s="1"/>
      <c r="U138" s="1"/>
      <c r="V138" s="1"/>
      <c r="W138" s="1"/>
      <c r="X138" s="1"/>
      <c r="Y138" s="1"/>
      <c r="Z138" s="1"/>
      <c r="AA138" s="1"/>
    </row>
    <row r="139" spans="1:27" s="7" customFormat="1" x14ac:dyDescent="0.25">
      <c r="A139" s="6"/>
      <c r="B139" s="37"/>
      <c r="C139" s="6"/>
      <c r="D139" s="6"/>
      <c r="E139" s="6"/>
      <c r="F139" s="6"/>
      <c r="G139" s="6"/>
      <c r="H139" s="6"/>
      <c r="I139" s="6"/>
      <c r="J139" s="6"/>
      <c r="K139" s="6"/>
      <c r="L139" s="6"/>
      <c r="M139" s="6"/>
      <c r="N139" s="1"/>
      <c r="O139" s="1"/>
      <c r="P139" s="1"/>
      <c r="Q139" s="1"/>
      <c r="R139" s="1"/>
      <c r="S139" s="1"/>
      <c r="T139" s="1"/>
      <c r="U139" s="1"/>
      <c r="V139" s="1"/>
      <c r="W139" s="1"/>
      <c r="X139" s="1"/>
      <c r="Y139" s="1"/>
      <c r="Z139" s="1"/>
      <c r="AA139" s="1"/>
    </row>
    <row r="140" spans="1:27" s="7" customFormat="1" x14ac:dyDescent="0.25">
      <c r="A140" s="6"/>
      <c r="B140" s="37"/>
      <c r="C140" s="6"/>
      <c r="D140" s="6"/>
      <c r="E140" s="6"/>
      <c r="F140" s="6"/>
      <c r="G140" s="6"/>
      <c r="H140" s="6"/>
      <c r="I140" s="6"/>
      <c r="J140" s="6"/>
      <c r="K140" s="6"/>
      <c r="L140" s="6"/>
      <c r="M140" s="6"/>
      <c r="N140" s="1"/>
      <c r="O140" s="1"/>
      <c r="P140" s="1"/>
      <c r="Q140" s="1"/>
      <c r="R140" s="1"/>
      <c r="S140" s="1"/>
      <c r="T140" s="1"/>
      <c r="U140" s="1"/>
      <c r="V140" s="1"/>
      <c r="W140" s="1"/>
      <c r="X140" s="1"/>
      <c r="Y140" s="1"/>
      <c r="Z140" s="1"/>
      <c r="AA140" s="1"/>
    </row>
    <row r="141" spans="1:27" s="7" customFormat="1" ht="48.75" customHeight="1" x14ac:dyDescent="0.25">
      <c r="A141" s="6"/>
      <c r="B141" s="37"/>
      <c r="C141" s="98" t="s">
        <v>364</v>
      </c>
      <c r="D141" s="98"/>
      <c r="E141" s="98"/>
      <c r="F141" s="98"/>
      <c r="G141" s="98"/>
      <c r="H141" s="98"/>
      <c r="I141" s="98"/>
      <c r="J141" s="98"/>
      <c r="K141" s="98"/>
      <c r="L141" s="98"/>
      <c r="M141" s="14"/>
      <c r="N141" s="1"/>
      <c r="O141" s="1"/>
      <c r="P141" s="1"/>
      <c r="Q141" s="1"/>
      <c r="R141" s="1"/>
      <c r="S141" s="1"/>
      <c r="T141" s="1"/>
      <c r="U141" s="1"/>
      <c r="V141" s="1"/>
      <c r="W141" s="1"/>
      <c r="X141" s="1"/>
      <c r="Y141" s="1"/>
      <c r="Z141" s="1"/>
      <c r="AA141" s="1"/>
    </row>
    <row r="142" spans="1:27" s="7" customFormat="1" x14ac:dyDescent="0.25">
      <c r="A142" s="6"/>
      <c r="B142" s="37"/>
      <c r="C142" s="6"/>
      <c r="D142" s="6"/>
      <c r="E142" s="6"/>
      <c r="F142" s="6"/>
      <c r="G142" s="6"/>
      <c r="H142" s="6"/>
      <c r="I142" s="6"/>
      <c r="J142" s="6"/>
      <c r="K142" s="6"/>
      <c r="L142" s="6"/>
      <c r="M142" s="6"/>
      <c r="N142" s="1"/>
      <c r="O142" s="1"/>
      <c r="P142" s="1"/>
      <c r="Q142" s="1"/>
      <c r="R142" s="1"/>
      <c r="S142" s="1"/>
      <c r="T142" s="1"/>
      <c r="U142" s="1"/>
      <c r="V142" s="1"/>
      <c r="W142" s="1"/>
      <c r="X142" s="1"/>
      <c r="Y142" s="1"/>
      <c r="Z142" s="1"/>
      <c r="AA142" s="1"/>
    </row>
    <row r="143" spans="1:27" s="7" customFormat="1" x14ac:dyDescent="0.25">
      <c r="A143" s="6"/>
      <c r="B143" s="37"/>
      <c r="C143" s="6"/>
      <c r="D143" s="6"/>
      <c r="E143" s="6"/>
      <c r="F143" s="6"/>
      <c r="G143" s="6"/>
      <c r="H143" s="6"/>
      <c r="I143" s="6"/>
      <c r="J143" s="6"/>
      <c r="K143" s="6"/>
      <c r="L143" s="6"/>
      <c r="M143" s="6"/>
      <c r="N143" s="1"/>
      <c r="O143" s="1"/>
      <c r="P143" s="1"/>
      <c r="Q143" s="1"/>
      <c r="R143" s="1"/>
      <c r="S143" s="1"/>
      <c r="T143" s="1"/>
      <c r="U143" s="1"/>
      <c r="V143" s="1"/>
      <c r="W143" s="1"/>
      <c r="X143" s="1"/>
      <c r="Y143" s="1"/>
      <c r="Z143" s="1"/>
      <c r="AA143" s="1"/>
    </row>
    <row r="144" spans="1:27" s="7" customFormat="1" x14ac:dyDescent="0.25">
      <c r="A144" s="6"/>
      <c r="B144" s="37"/>
      <c r="C144" s="6"/>
      <c r="D144" s="6"/>
      <c r="E144" s="6"/>
      <c r="F144" s="6"/>
      <c r="G144" s="6"/>
      <c r="H144" s="6"/>
      <c r="I144" s="6"/>
      <c r="J144" s="6"/>
      <c r="K144" s="6"/>
      <c r="L144" s="6"/>
      <c r="M144" s="6"/>
      <c r="N144" s="1"/>
      <c r="O144" s="1"/>
      <c r="P144" s="1"/>
      <c r="Q144" s="1"/>
      <c r="R144" s="1"/>
      <c r="S144" s="1"/>
      <c r="T144" s="1"/>
      <c r="U144" s="1"/>
      <c r="V144" s="1"/>
      <c r="W144" s="1"/>
      <c r="X144" s="1"/>
      <c r="Y144" s="1"/>
      <c r="Z144" s="1"/>
      <c r="AA144" s="1"/>
    </row>
    <row r="145" spans="1:27" s="7" customFormat="1" x14ac:dyDescent="0.25">
      <c r="A145" s="6"/>
      <c r="B145" s="37"/>
      <c r="C145" s="6"/>
      <c r="D145" s="6"/>
      <c r="E145" s="6"/>
      <c r="F145" s="6"/>
      <c r="G145" s="6"/>
      <c r="H145" s="6"/>
      <c r="I145" s="6"/>
      <c r="J145" s="6"/>
      <c r="K145" s="6"/>
      <c r="L145" s="6"/>
      <c r="M145" s="6"/>
      <c r="N145" s="1"/>
      <c r="O145" s="1"/>
      <c r="P145" s="1"/>
      <c r="Q145" s="1"/>
      <c r="R145" s="1"/>
      <c r="S145" s="1"/>
      <c r="T145" s="1"/>
      <c r="U145" s="1"/>
      <c r="V145" s="1"/>
      <c r="W145" s="1"/>
      <c r="X145" s="1"/>
      <c r="Y145" s="1"/>
      <c r="Z145" s="1"/>
      <c r="AA145" s="1"/>
    </row>
    <row r="146" spans="1:27" s="7" customFormat="1" x14ac:dyDescent="0.25">
      <c r="A146" s="6"/>
      <c r="B146" s="37"/>
      <c r="C146" s="8" t="s">
        <v>354</v>
      </c>
      <c r="D146" s="8"/>
      <c r="E146" s="8"/>
      <c r="F146" s="8"/>
      <c r="G146" s="8"/>
      <c r="H146" s="8"/>
      <c r="I146" s="8" t="s">
        <v>353</v>
      </c>
      <c r="J146" s="8"/>
      <c r="K146" s="6"/>
      <c r="L146" s="6"/>
      <c r="M146" s="6"/>
      <c r="N146" s="1"/>
      <c r="O146" s="1"/>
      <c r="P146" s="1"/>
      <c r="Q146" s="1"/>
      <c r="R146" s="1"/>
      <c r="S146" s="1"/>
      <c r="T146" s="1"/>
      <c r="U146" s="1"/>
      <c r="V146" s="1"/>
      <c r="W146" s="1"/>
      <c r="X146" s="1"/>
      <c r="Y146" s="1"/>
      <c r="Z146" s="1"/>
      <c r="AA146" s="1"/>
    </row>
    <row r="147" spans="1:27" s="7" customFormat="1" x14ac:dyDescent="0.25">
      <c r="A147" s="6"/>
      <c r="B147" s="37"/>
      <c r="C147" s="6"/>
      <c r="D147" s="6"/>
      <c r="E147" s="6"/>
      <c r="F147" s="6"/>
      <c r="G147" s="6"/>
      <c r="H147" s="6"/>
      <c r="I147" s="6"/>
      <c r="J147" s="6"/>
      <c r="K147" s="6"/>
      <c r="L147" s="6"/>
      <c r="M147" s="6"/>
      <c r="N147" s="1"/>
      <c r="O147" s="1"/>
      <c r="P147" s="1"/>
      <c r="Q147" s="1"/>
      <c r="R147" s="1"/>
      <c r="S147" s="1"/>
      <c r="T147" s="1"/>
      <c r="U147" s="1"/>
      <c r="V147" s="1"/>
      <c r="W147" s="1"/>
      <c r="X147" s="1"/>
      <c r="Y147" s="1"/>
      <c r="Z147" s="1"/>
      <c r="AA147" s="1"/>
    </row>
    <row r="148" spans="1:27" s="7" customFormat="1" x14ac:dyDescent="0.25">
      <c r="A148" s="6"/>
      <c r="B148" s="37"/>
      <c r="C148" s="6"/>
      <c r="D148" s="6"/>
      <c r="E148" s="6"/>
      <c r="F148" s="6"/>
      <c r="G148" s="6"/>
      <c r="H148" s="6"/>
      <c r="I148" s="6"/>
      <c r="J148" s="6"/>
      <c r="K148" s="6"/>
      <c r="L148" s="6"/>
      <c r="M148" s="6"/>
      <c r="N148" s="1"/>
      <c r="O148" s="1"/>
      <c r="P148" s="1"/>
      <c r="Q148" s="1"/>
      <c r="R148" s="1"/>
      <c r="S148" s="1"/>
      <c r="T148" s="1"/>
      <c r="U148" s="1"/>
      <c r="V148" s="1"/>
      <c r="W148" s="1"/>
      <c r="X148" s="1"/>
      <c r="Y148" s="1"/>
      <c r="Z148" s="1"/>
      <c r="AA148" s="1"/>
    </row>
    <row r="149" spans="1:27" s="7" customFormat="1" x14ac:dyDescent="0.25">
      <c r="A149" s="6"/>
      <c r="B149" s="37"/>
      <c r="C149" s="6"/>
      <c r="D149" s="6"/>
      <c r="E149" s="6"/>
      <c r="F149" s="6"/>
      <c r="G149" s="6"/>
      <c r="H149" s="6"/>
      <c r="I149" s="6"/>
      <c r="J149" s="6"/>
      <c r="K149" s="6"/>
      <c r="L149" s="6"/>
      <c r="M149" s="6"/>
      <c r="N149" s="1"/>
      <c r="O149" s="1"/>
      <c r="P149" s="1"/>
      <c r="Q149" s="1"/>
      <c r="R149" s="1"/>
      <c r="S149" s="1"/>
      <c r="T149" s="1"/>
      <c r="U149" s="1"/>
      <c r="V149" s="1"/>
      <c r="W149" s="1"/>
      <c r="X149" s="1"/>
      <c r="Y149" s="1"/>
      <c r="Z149" s="1"/>
      <c r="AA149" s="1"/>
    </row>
    <row r="150" spans="1:27" s="7" customFormat="1" x14ac:dyDescent="0.25">
      <c r="A150" s="6"/>
      <c r="B150" s="37"/>
      <c r="C150" s="11"/>
      <c r="D150" s="11"/>
      <c r="E150" s="11"/>
      <c r="F150" s="11"/>
      <c r="G150" s="12"/>
      <c r="H150" s="6"/>
      <c r="I150" s="11"/>
      <c r="J150" s="11"/>
      <c r="K150" s="11"/>
      <c r="L150" s="11"/>
      <c r="M150" s="12"/>
      <c r="N150" s="1"/>
      <c r="O150" s="1"/>
      <c r="P150" s="1"/>
      <c r="Q150" s="1"/>
      <c r="R150" s="1"/>
      <c r="S150" s="1"/>
      <c r="T150" s="1"/>
      <c r="U150" s="1"/>
      <c r="V150" s="1"/>
      <c r="W150" s="1"/>
      <c r="X150" s="1"/>
      <c r="Y150" s="1"/>
      <c r="Z150" s="1"/>
      <c r="AA150" s="1"/>
    </row>
    <row r="151" spans="1:27" s="7" customFormat="1" x14ac:dyDescent="0.25">
      <c r="A151" s="6"/>
      <c r="B151" s="37"/>
      <c r="C151" s="6" t="s">
        <v>286</v>
      </c>
      <c r="D151" s="6"/>
      <c r="E151" s="6"/>
      <c r="F151" s="6"/>
      <c r="G151" s="6"/>
      <c r="H151" s="6"/>
      <c r="I151" s="6" t="s">
        <v>286</v>
      </c>
      <c r="J151" s="6" t="s">
        <v>366</v>
      </c>
      <c r="K151" s="6"/>
      <c r="L151" s="6"/>
      <c r="M151" s="6"/>
      <c r="N151" s="1"/>
      <c r="O151" s="1"/>
      <c r="P151" s="1"/>
      <c r="Q151" s="1"/>
      <c r="R151" s="1"/>
      <c r="S151" s="1"/>
      <c r="T151" s="1"/>
      <c r="U151" s="1"/>
      <c r="V151" s="1"/>
      <c r="W151" s="1"/>
      <c r="X151" s="1"/>
      <c r="Y151" s="1"/>
      <c r="Z151" s="1"/>
      <c r="AA151" s="1"/>
    </row>
    <row r="152" spans="1:27" s="7" customFormat="1" x14ac:dyDescent="0.25">
      <c r="A152" s="6"/>
      <c r="B152" s="37"/>
      <c r="C152" s="6" t="s">
        <v>287</v>
      </c>
      <c r="D152" s="6"/>
      <c r="E152" s="6"/>
      <c r="F152" s="6"/>
      <c r="G152" s="6"/>
      <c r="H152" s="6"/>
      <c r="I152" s="6" t="s">
        <v>287</v>
      </c>
      <c r="J152" s="6" t="s">
        <v>367</v>
      </c>
      <c r="K152" s="6"/>
      <c r="L152" s="6"/>
      <c r="M152" s="6"/>
      <c r="N152" s="1"/>
      <c r="O152" s="1"/>
      <c r="P152" s="1"/>
      <c r="Q152" s="1"/>
      <c r="R152" s="1"/>
      <c r="S152" s="1"/>
      <c r="T152" s="1"/>
      <c r="U152" s="1"/>
      <c r="V152" s="1"/>
      <c r="W152" s="1"/>
      <c r="X152" s="1"/>
      <c r="Y152" s="1"/>
      <c r="Z152" s="1"/>
      <c r="AA152" s="1"/>
    </row>
    <row r="153" spans="1:27" s="7" customFormat="1" x14ac:dyDescent="0.25">
      <c r="A153" s="6"/>
      <c r="B153" s="37"/>
      <c r="C153" s="6"/>
      <c r="D153" s="6"/>
      <c r="E153" s="6"/>
      <c r="F153" s="6"/>
      <c r="G153" s="6"/>
      <c r="H153" s="6"/>
      <c r="I153" s="6"/>
      <c r="J153" s="6"/>
      <c r="K153" s="6"/>
      <c r="L153" s="6"/>
      <c r="M153" s="6"/>
      <c r="N153" s="1"/>
      <c r="O153" s="1"/>
      <c r="P153" s="1"/>
      <c r="Q153" s="1"/>
      <c r="R153" s="1"/>
      <c r="S153" s="1"/>
      <c r="T153" s="1"/>
      <c r="U153" s="1"/>
      <c r="V153" s="1"/>
      <c r="W153" s="1"/>
      <c r="X153" s="1"/>
      <c r="Y153" s="1"/>
      <c r="Z153" s="1"/>
      <c r="AA153" s="1"/>
    </row>
    <row r="154" spans="1:27" s="7" customFormat="1" x14ac:dyDescent="0.25">
      <c r="A154" s="6"/>
      <c r="B154" s="37"/>
      <c r="C154" s="6"/>
      <c r="D154" s="6"/>
      <c r="E154" s="6"/>
      <c r="F154" s="6"/>
      <c r="G154" s="6"/>
      <c r="H154" s="6"/>
      <c r="I154" s="6"/>
      <c r="J154" s="6"/>
      <c r="K154" s="6"/>
      <c r="L154" s="6"/>
      <c r="M154" s="6"/>
      <c r="N154" s="1"/>
      <c r="O154" s="1"/>
      <c r="P154" s="1"/>
      <c r="Q154" s="1"/>
      <c r="R154" s="1"/>
      <c r="S154" s="1"/>
      <c r="T154" s="1"/>
      <c r="U154" s="1"/>
      <c r="V154" s="1"/>
      <c r="W154" s="1"/>
      <c r="X154" s="1"/>
      <c r="Y154" s="1"/>
      <c r="Z154" s="1"/>
      <c r="AA154" s="1"/>
    </row>
    <row r="155" spans="1:27" s="7" customFormat="1" x14ac:dyDescent="0.25">
      <c r="A155" s="6"/>
      <c r="B155" s="37"/>
      <c r="C155" s="6"/>
      <c r="D155" s="6"/>
      <c r="E155" s="6"/>
      <c r="F155" s="6"/>
      <c r="G155" s="6"/>
      <c r="H155" s="6"/>
      <c r="I155" s="6"/>
      <c r="J155" s="6"/>
      <c r="K155" s="6"/>
      <c r="L155" s="6"/>
      <c r="M155" s="6"/>
      <c r="N155" s="1"/>
      <c r="O155" s="1"/>
      <c r="P155" s="1"/>
      <c r="Q155" s="1"/>
      <c r="R155" s="1"/>
      <c r="S155" s="1"/>
      <c r="T155" s="1"/>
      <c r="U155" s="1"/>
      <c r="V155" s="1"/>
      <c r="W155" s="1"/>
      <c r="X155" s="1"/>
      <c r="Y155" s="1"/>
      <c r="Z155" s="1"/>
      <c r="AA155" s="1"/>
    </row>
    <row r="156" spans="1:27" s="7" customFormat="1" x14ac:dyDescent="0.25">
      <c r="A156" s="6"/>
      <c r="B156" s="37"/>
      <c r="C156" s="6" t="s">
        <v>343</v>
      </c>
      <c r="D156" s="6"/>
      <c r="E156" s="6"/>
      <c r="F156" s="11"/>
      <c r="G156" s="24" t="str">
        <f>IFERROR(IF(VLOOKUP(PrintID,#REF!,Form!R156,FALSE)="","",
VLOOKUP(PrintID,#REF!,Form!R156,FALSE)),"")</f>
        <v/>
      </c>
      <c r="H156" s="12"/>
      <c r="I156" s="6"/>
      <c r="J156" s="6"/>
      <c r="K156" s="6"/>
      <c r="L156" s="6"/>
      <c r="M156" s="6"/>
      <c r="N156" s="1"/>
      <c r="O156" s="1"/>
      <c r="P156" s="1"/>
      <c r="Q156" s="1" t="s">
        <v>315</v>
      </c>
      <c r="R156" s="1" t="e">
        <f>MATCH(Q156,#REF!,0)</f>
        <v>#REF!</v>
      </c>
      <c r="S156" s="1"/>
      <c r="T156" s="1"/>
      <c r="U156" s="1"/>
      <c r="V156" s="1"/>
      <c r="W156" s="1"/>
      <c r="X156" s="1"/>
      <c r="Y156" s="1"/>
      <c r="Z156" s="1"/>
      <c r="AA156" s="1"/>
    </row>
    <row r="157" spans="1:27" s="7" customFormat="1" x14ac:dyDescent="0.25">
      <c r="A157" s="6"/>
      <c r="B157" s="37"/>
      <c r="C157" s="6"/>
      <c r="D157" s="6"/>
      <c r="E157" s="6"/>
      <c r="F157" s="6"/>
      <c r="G157" s="6"/>
      <c r="H157" s="6"/>
      <c r="I157" s="6"/>
      <c r="J157" s="6"/>
      <c r="K157" s="6"/>
      <c r="L157" s="6"/>
      <c r="M157" s="6"/>
      <c r="N157" s="1"/>
      <c r="O157" s="1"/>
      <c r="P157" s="1"/>
      <c r="Q157" s="1"/>
      <c r="R157" s="1"/>
      <c r="S157" s="1"/>
      <c r="T157" s="1"/>
      <c r="U157" s="1"/>
      <c r="V157" s="1"/>
      <c r="W157" s="1"/>
      <c r="X157" s="1"/>
      <c r="Y157" s="1"/>
      <c r="Z157" s="1"/>
      <c r="AA157" s="1"/>
    </row>
    <row r="158" spans="1:27" s="7" customFormat="1" x14ac:dyDescent="0.25">
      <c r="A158" s="6"/>
      <c r="B158" s="37"/>
      <c r="C158" s="6"/>
      <c r="D158" s="6"/>
      <c r="E158" s="6"/>
      <c r="F158" s="6"/>
      <c r="G158" s="6"/>
      <c r="H158" s="6"/>
      <c r="I158" s="6"/>
      <c r="J158" s="6"/>
      <c r="K158" s="6"/>
      <c r="L158" s="6"/>
      <c r="M158" s="6"/>
      <c r="N158" s="1"/>
      <c r="O158" s="1"/>
      <c r="P158" s="1"/>
      <c r="Q158" s="1"/>
      <c r="R158" s="1"/>
      <c r="S158" s="1"/>
      <c r="T158" s="1"/>
      <c r="U158" s="1"/>
      <c r="V158" s="1"/>
      <c r="W158" s="1"/>
      <c r="X158" s="1"/>
      <c r="Y158" s="1"/>
      <c r="Z158" s="1"/>
      <c r="AA158" s="1"/>
    </row>
    <row r="159" spans="1:27" s="7" customFormat="1" x14ac:dyDescent="0.25">
      <c r="A159" s="6"/>
      <c r="B159" s="37"/>
      <c r="C159" s="6"/>
      <c r="D159" s="6"/>
      <c r="E159" s="6"/>
      <c r="F159" s="6"/>
      <c r="G159" s="6"/>
      <c r="H159" s="6"/>
      <c r="I159" s="6"/>
      <c r="J159" s="6"/>
      <c r="K159" s="6"/>
      <c r="L159" s="6"/>
      <c r="M159" s="6"/>
      <c r="N159" s="1"/>
      <c r="O159" s="1"/>
      <c r="P159" s="1"/>
      <c r="Q159" s="1"/>
      <c r="R159" s="1"/>
      <c r="S159" s="1"/>
      <c r="T159" s="1"/>
      <c r="U159" s="1"/>
      <c r="V159" s="1"/>
      <c r="W159" s="1"/>
      <c r="X159" s="1"/>
      <c r="Y159" s="1"/>
      <c r="Z159" s="1"/>
      <c r="AA159" s="1"/>
    </row>
    <row r="160" spans="1:27" s="7" customFormat="1" x14ac:dyDescent="0.25">
      <c r="A160" s="6"/>
      <c r="B160" s="37"/>
      <c r="C160" s="6"/>
      <c r="D160" s="6"/>
      <c r="E160" s="6"/>
      <c r="F160" s="6"/>
      <c r="G160" s="6"/>
      <c r="H160" s="6"/>
      <c r="I160" s="6"/>
      <c r="J160" s="6"/>
      <c r="K160" s="6"/>
      <c r="L160" s="6"/>
      <c r="M160" s="6"/>
      <c r="N160" s="1"/>
      <c r="O160" s="1"/>
      <c r="P160" s="1"/>
      <c r="Q160" s="1"/>
      <c r="R160" s="1"/>
      <c r="S160" s="1"/>
      <c r="T160" s="1"/>
      <c r="U160" s="1"/>
      <c r="V160" s="1"/>
      <c r="W160" s="1"/>
      <c r="X160" s="1"/>
      <c r="Y160" s="1"/>
      <c r="Z160" s="1"/>
      <c r="AA160" s="1"/>
    </row>
    <row r="161" spans="1:27" s="7" customFormat="1" x14ac:dyDescent="0.25">
      <c r="A161" s="6"/>
      <c r="B161" s="37"/>
      <c r="C161" s="6"/>
      <c r="D161" s="6"/>
      <c r="E161" s="6"/>
      <c r="F161" s="6"/>
      <c r="G161" s="6"/>
      <c r="H161" s="6"/>
      <c r="I161" s="6"/>
      <c r="J161" s="6"/>
      <c r="K161" s="6"/>
      <c r="L161" s="6"/>
      <c r="M161" s="6"/>
      <c r="N161" s="1"/>
      <c r="O161" s="1"/>
      <c r="P161" s="1"/>
      <c r="Q161" s="1"/>
      <c r="R161" s="1"/>
      <c r="S161" s="1"/>
      <c r="T161" s="1"/>
      <c r="U161" s="1"/>
      <c r="V161" s="1"/>
      <c r="W161" s="1"/>
      <c r="X161" s="1"/>
      <c r="Y161" s="1"/>
      <c r="Z161" s="1"/>
      <c r="AA161" s="1"/>
    </row>
    <row r="162" spans="1:27" s="7" customFormat="1" x14ac:dyDescent="0.25">
      <c r="A162" s="6"/>
      <c r="B162" s="37"/>
      <c r="C162" s="6"/>
      <c r="D162" s="6"/>
      <c r="E162" s="6"/>
      <c r="F162" s="6"/>
      <c r="G162" s="6"/>
      <c r="H162" s="6"/>
      <c r="I162" s="6"/>
      <c r="J162" s="6"/>
      <c r="K162" s="6"/>
      <c r="L162" s="6"/>
      <c r="M162" s="6"/>
      <c r="N162" s="1"/>
      <c r="O162" s="1"/>
      <c r="P162" s="1"/>
      <c r="Q162" s="1"/>
      <c r="R162" s="1"/>
      <c r="S162" s="1"/>
      <c r="T162" s="1"/>
      <c r="U162" s="1"/>
      <c r="V162" s="1"/>
      <c r="W162" s="1"/>
      <c r="X162" s="1"/>
      <c r="Y162" s="1"/>
      <c r="Z162" s="1"/>
      <c r="AA162" s="1"/>
    </row>
    <row r="163" spans="1:27" s="7" customFormat="1" x14ac:dyDescent="0.25">
      <c r="A163" s="6"/>
      <c r="B163" s="37"/>
      <c r="C163" s="6"/>
      <c r="D163" s="6"/>
      <c r="E163" s="6"/>
      <c r="F163" s="6"/>
      <c r="G163" s="6"/>
      <c r="H163" s="6"/>
      <c r="I163" s="6"/>
      <c r="J163" s="6"/>
      <c r="K163" s="6"/>
      <c r="L163" s="6"/>
      <c r="M163" s="6"/>
      <c r="N163" s="1"/>
      <c r="O163" s="1"/>
      <c r="P163" s="1"/>
      <c r="Q163" s="1"/>
      <c r="R163" s="1"/>
      <c r="S163" s="1"/>
      <c r="T163" s="1"/>
      <c r="U163" s="1"/>
      <c r="V163" s="1"/>
      <c r="W163" s="1"/>
      <c r="X163" s="1"/>
      <c r="Y163" s="1"/>
      <c r="Z163" s="1"/>
      <c r="AA163" s="1"/>
    </row>
    <row r="164" spans="1:27" s="7" customFormat="1" x14ac:dyDescent="0.25">
      <c r="A164" s="6"/>
      <c r="B164" s="37"/>
      <c r="C164" s="11"/>
      <c r="D164" s="11"/>
      <c r="E164" s="11"/>
      <c r="F164" s="11"/>
      <c r="G164" s="6"/>
      <c r="H164" s="6"/>
      <c r="I164" s="6"/>
      <c r="J164" s="6"/>
      <c r="K164" s="6"/>
      <c r="L164" s="6"/>
      <c r="M164" s="6"/>
      <c r="N164" s="1"/>
      <c r="O164" s="1"/>
      <c r="P164" s="1"/>
      <c r="Q164" s="1"/>
      <c r="R164" s="1"/>
      <c r="S164" s="1"/>
      <c r="T164" s="1"/>
      <c r="U164" s="1"/>
      <c r="V164" s="1"/>
      <c r="W164" s="1"/>
      <c r="X164" s="1"/>
      <c r="Y164" s="1"/>
      <c r="Z164" s="1"/>
      <c r="AA164" s="1"/>
    </row>
    <row r="165" spans="1:27" s="7" customFormat="1" ht="43.5" customHeight="1" x14ac:dyDescent="0.25">
      <c r="A165" s="6"/>
      <c r="B165" s="37"/>
      <c r="C165" s="82" t="s">
        <v>359</v>
      </c>
      <c r="D165" s="82"/>
      <c r="E165" s="82"/>
      <c r="F165" s="82"/>
      <c r="G165" s="82"/>
      <c r="H165" s="82"/>
      <c r="I165" s="82"/>
      <c r="J165" s="82"/>
      <c r="K165" s="82"/>
      <c r="L165" s="82"/>
      <c r="M165" s="15"/>
      <c r="N165" s="1"/>
      <c r="O165" s="1"/>
      <c r="P165" s="1"/>
      <c r="Q165" s="1"/>
      <c r="R165" s="1"/>
      <c r="S165" s="1"/>
      <c r="T165" s="1"/>
      <c r="U165" s="1"/>
      <c r="V165" s="1"/>
      <c r="W165" s="1"/>
      <c r="X165" s="1"/>
      <c r="Y165" s="1"/>
      <c r="Z165" s="1"/>
      <c r="AA165" s="1"/>
    </row>
    <row r="166" spans="1:27" x14ac:dyDescent="0.25">
      <c r="O166" s="47"/>
      <c r="P166" s="47"/>
    </row>
    <row r="168" spans="1:27" x14ac:dyDescent="0.25">
      <c r="C168" s="16" t="s">
        <v>25</v>
      </c>
      <c r="D168" s="16" t="s">
        <v>839</v>
      </c>
      <c r="E168" s="16" t="s">
        <v>338</v>
      </c>
    </row>
    <row r="169" spans="1:27" x14ac:dyDescent="0.25">
      <c r="C169" s="16">
        <v>1</v>
      </c>
      <c r="D169" s="16" t="s">
        <v>29</v>
      </c>
      <c r="E169" s="16">
        <v>3.85</v>
      </c>
    </row>
    <row r="170" spans="1:27" x14ac:dyDescent="0.25">
      <c r="C170" s="16">
        <v>2</v>
      </c>
      <c r="D170" s="16" t="s">
        <v>30</v>
      </c>
      <c r="E170" s="16">
        <v>4.21</v>
      </c>
    </row>
    <row r="171" spans="1:27" x14ac:dyDescent="0.25">
      <c r="C171" s="16">
        <v>3</v>
      </c>
      <c r="D171" s="16" t="s">
        <v>32</v>
      </c>
      <c r="E171" s="16">
        <v>3.85</v>
      </c>
    </row>
    <row r="172" spans="1:27" x14ac:dyDescent="0.25">
      <c r="C172" s="16">
        <v>4</v>
      </c>
      <c r="D172" s="16" t="s">
        <v>34</v>
      </c>
      <c r="E172" s="16">
        <v>4.21</v>
      </c>
    </row>
    <row r="173" spans="1:27" x14ac:dyDescent="0.25">
      <c r="C173" s="16">
        <v>5</v>
      </c>
      <c r="D173" s="16" t="s">
        <v>35</v>
      </c>
      <c r="E173" s="16">
        <v>3.85</v>
      </c>
    </row>
    <row r="174" spans="1:27" x14ac:dyDescent="0.25">
      <c r="C174" s="16">
        <v>6</v>
      </c>
      <c r="D174" s="16" t="s">
        <v>39</v>
      </c>
      <c r="E174" s="16">
        <v>5.28</v>
      </c>
    </row>
    <row r="175" spans="1:27" x14ac:dyDescent="0.25">
      <c r="C175" s="16">
        <v>7</v>
      </c>
      <c r="D175" s="16" t="s">
        <v>45</v>
      </c>
      <c r="E175" s="16">
        <v>4.21</v>
      </c>
    </row>
    <row r="176" spans="1:27" x14ac:dyDescent="0.25">
      <c r="C176" s="16">
        <v>8</v>
      </c>
      <c r="D176" s="16" t="s">
        <v>47</v>
      </c>
      <c r="E176" s="16">
        <v>3.85</v>
      </c>
    </row>
    <row r="177" spans="3:5" x14ac:dyDescent="0.25">
      <c r="C177" s="16">
        <v>9</v>
      </c>
      <c r="D177" s="16" t="s">
        <v>48</v>
      </c>
      <c r="E177" s="16">
        <v>3.85</v>
      </c>
    </row>
    <row r="178" spans="3:5" x14ac:dyDescent="0.25">
      <c r="C178" s="16">
        <v>10</v>
      </c>
      <c r="D178" s="16" t="s">
        <v>50</v>
      </c>
      <c r="E178" s="16">
        <v>3.85</v>
      </c>
    </row>
    <row r="179" spans="3:5" x14ac:dyDescent="0.25">
      <c r="C179" s="16">
        <v>11</v>
      </c>
      <c r="D179" s="16" t="s">
        <v>52</v>
      </c>
      <c r="E179" s="16">
        <v>3.85</v>
      </c>
    </row>
    <row r="180" spans="3:5" x14ac:dyDescent="0.25">
      <c r="C180" s="16">
        <v>12</v>
      </c>
      <c r="D180" s="16" t="s">
        <v>53</v>
      </c>
      <c r="E180" s="16">
        <v>3.85</v>
      </c>
    </row>
    <row r="181" spans="3:5" x14ac:dyDescent="0.25">
      <c r="C181" s="16">
        <v>13</v>
      </c>
      <c r="D181" s="16" t="s">
        <v>54</v>
      </c>
      <c r="E181" s="16">
        <v>3.85</v>
      </c>
    </row>
    <row r="182" spans="3:5" x14ac:dyDescent="0.25">
      <c r="C182" s="16">
        <v>14</v>
      </c>
      <c r="D182" s="16" t="s">
        <v>58</v>
      </c>
      <c r="E182" s="16">
        <v>3.85</v>
      </c>
    </row>
    <row r="183" spans="3:5" x14ac:dyDescent="0.25">
      <c r="C183" s="16">
        <v>15</v>
      </c>
      <c r="D183" s="16" t="s">
        <v>62</v>
      </c>
      <c r="E183" s="16">
        <v>4.21</v>
      </c>
    </row>
    <row r="184" spans="3:5" x14ac:dyDescent="0.25">
      <c r="C184" s="16">
        <v>16</v>
      </c>
      <c r="D184" s="16" t="s">
        <v>63</v>
      </c>
      <c r="E184" s="16">
        <v>4.21</v>
      </c>
    </row>
    <row r="185" spans="3:5" x14ac:dyDescent="0.25">
      <c r="C185" s="16">
        <v>17</v>
      </c>
      <c r="D185" s="16" t="s">
        <v>64</v>
      </c>
      <c r="E185" s="16">
        <v>4.21</v>
      </c>
    </row>
    <row r="186" spans="3:5" x14ac:dyDescent="0.25">
      <c r="C186" s="16">
        <v>18</v>
      </c>
      <c r="D186" s="16" t="s">
        <v>66</v>
      </c>
      <c r="E186" s="16">
        <v>3.85</v>
      </c>
    </row>
    <row r="187" spans="3:5" x14ac:dyDescent="0.25">
      <c r="C187" s="16">
        <v>19</v>
      </c>
      <c r="D187" s="16" t="s">
        <v>70</v>
      </c>
      <c r="E187" s="16">
        <v>4.57</v>
      </c>
    </row>
    <row r="188" spans="3:5" x14ac:dyDescent="0.25">
      <c r="C188" s="16">
        <v>20</v>
      </c>
      <c r="D188" s="16" t="s">
        <v>71</v>
      </c>
      <c r="E188" s="16">
        <v>3.85</v>
      </c>
    </row>
    <row r="189" spans="3:5" x14ac:dyDescent="0.25">
      <c r="C189" s="16">
        <v>21</v>
      </c>
      <c r="D189" s="16" t="s">
        <v>73</v>
      </c>
      <c r="E189" s="16">
        <v>4.21</v>
      </c>
    </row>
    <row r="190" spans="3:5" x14ac:dyDescent="0.25">
      <c r="C190" s="16">
        <v>22</v>
      </c>
      <c r="D190" s="16" t="s">
        <v>74</v>
      </c>
      <c r="E190" s="16">
        <v>3.85</v>
      </c>
    </row>
    <row r="191" spans="3:5" x14ac:dyDescent="0.25">
      <c r="C191" s="16">
        <v>23</v>
      </c>
      <c r="D191" s="16" t="s">
        <v>75</v>
      </c>
      <c r="E191" s="16">
        <v>4.21</v>
      </c>
    </row>
    <row r="192" spans="3:5" x14ac:dyDescent="0.25">
      <c r="C192" s="16">
        <v>24</v>
      </c>
      <c r="D192" s="16" t="s">
        <v>76</v>
      </c>
      <c r="E192" s="16">
        <v>4.21</v>
      </c>
    </row>
    <row r="193" spans="3:5" x14ac:dyDescent="0.25">
      <c r="C193" s="16">
        <v>25</v>
      </c>
      <c r="D193" s="16" t="s">
        <v>77</v>
      </c>
      <c r="E193" s="16">
        <v>5.28</v>
      </c>
    </row>
    <row r="194" spans="3:5" x14ac:dyDescent="0.25">
      <c r="C194" s="16">
        <v>26</v>
      </c>
      <c r="D194" s="16" t="s">
        <v>78</v>
      </c>
      <c r="E194" s="16">
        <v>4.21</v>
      </c>
    </row>
    <row r="195" spans="3:5" x14ac:dyDescent="0.25">
      <c r="C195" s="16">
        <v>27</v>
      </c>
      <c r="D195" s="16" t="s">
        <v>79</v>
      </c>
      <c r="E195" s="16">
        <v>3.85</v>
      </c>
    </row>
    <row r="196" spans="3:5" x14ac:dyDescent="0.25">
      <c r="C196" s="16">
        <v>28</v>
      </c>
      <c r="D196" s="16" t="s">
        <v>81</v>
      </c>
      <c r="E196" s="16">
        <v>4.21</v>
      </c>
    </row>
    <row r="197" spans="3:5" x14ac:dyDescent="0.25">
      <c r="C197" s="16">
        <v>29</v>
      </c>
      <c r="D197" s="16" t="s">
        <v>82</v>
      </c>
      <c r="E197" s="16">
        <v>4.21</v>
      </c>
    </row>
    <row r="198" spans="3:5" x14ac:dyDescent="0.25">
      <c r="C198" s="16">
        <v>30</v>
      </c>
      <c r="D198" s="16" t="s">
        <v>87</v>
      </c>
      <c r="E198" s="16">
        <v>4.21</v>
      </c>
    </row>
    <row r="199" spans="3:5" x14ac:dyDescent="0.25">
      <c r="C199" s="16">
        <v>31</v>
      </c>
      <c r="D199" s="16" t="s">
        <v>88</v>
      </c>
      <c r="E199" s="16">
        <v>4.21</v>
      </c>
    </row>
    <row r="200" spans="3:5" x14ac:dyDescent="0.25">
      <c r="C200" s="16">
        <v>32</v>
      </c>
      <c r="D200" s="16" t="s">
        <v>92</v>
      </c>
      <c r="E200" s="16">
        <v>4.21</v>
      </c>
    </row>
    <row r="201" spans="3:5" x14ac:dyDescent="0.25">
      <c r="C201" s="16">
        <v>33</v>
      </c>
      <c r="D201" s="16" t="s">
        <v>97</v>
      </c>
      <c r="E201" s="16">
        <v>3.85</v>
      </c>
    </row>
    <row r="202" spans="3:5" x14ac:dyDescent="0.25">
      <c r="C202" s="16">
        <v>34</v>
      </c>
      <c r="D202" s="16" t="s">
        <v>99</v>
      </c>
      <c r="E202" s="16">
        <v>4.21</v>
      </c>
    </row>
    <row r="203" spans="3:5" x14ac:dyDescent="0.25">
      <c r="C203" s="16">
        <v>35</v>
      </c>
      <c r="D203" s="16" t="s">
        <v>101</v>
      </c>
      <c r="E203" s="16">
        <v>4.21</v>
      </c>
    </row>
    <row r="204" spans="3:5" x14ac:dyDescent="0.25">
      <c r="C204" s="16">
        <v>36</v>
      </c>
      <c r="D204" s="16" t="s">
        <v>102</v>
      </c>
      <c r="E204" s="16">
        <v>3.85</v>
      </c>
    </row>
    <row r="205" spans="3:5" x14ac:dyDescent="0.25">
      <c r="C205" s="16">
        <v>37</v>
      </c>
      <c r="D205" s="16" t="s">
        <v>103</v>
      </c>
      <c r="E205" s="16">
        <v>4.21</v>
      </c>
    </row>
    <row r="206" spans="3:5" x14ac:dyDescent="0.25">
      <c r="C206" s="16">
        <v>38</v>
      </c>
      <c r="D206" s="16" t="s">
        <v>104</v>
      </c>
      <c r="E206" s="16">
        <v>4.6500000000000004</v>
      </c>
    </row>
    <row r="207" spans="3:5" x14ac:dyDescent="0.25">
      <c r="C207" s="16">
        <v>39</v>
      </c>
      <c r="D207" s="16" t="s">
        <v>105</v>
      </c>
      <c r="E207" s="16">
        <v>4.21</v>
      </c>
    </row>
    <row r="208" spans="3:5" x14ac:dyDescent="0.25">
      <c r="C208" s="16">
        <v>40</v>
      </c>
      <c r="D208" s="16" t="s">
        <v>106</v>
      </c>
      <c r="E208" s="16">
        <v>4.21</v>
      </c>
    </row>
    <row r="209" spans="3:5" x14ac:dyDescent="0.25">
      <c r="C209" s="16">
        <v>41</v>
      </c>
      <c r="D209" s="16" t="s">
        <v>107</v>
      </c>
      <c r="E209" s="16">
        <v>4.21</v>
      </c>
    </row>
    <row r="210" spans="3:5" x14ac:dyDescent="0.25">
      <c r="C210" s="16">
        <v>42</v>
      </c>
      <c r="D210" s="16" t="s">
        <v>108</v>
      </c>
      <c r="E210" s="16">
        <v>5.28</v>
      </c>
    </row>
    <row r="211" spans="3:5" x14ac:dyDescent="0.25">
      <c r="C211" s="16">
        <v>43</v>
      </c>
      <c r="D211" s="16" t="s">
        <v>110</v>
      </c>
      <c r="E211" s="16">
        <v>3.85</v>
      </c>
    </row>
    <row r="212" spans="3:5" x14ac:dyDescent="0.25">
      <c r="C212" s="16">
        <v>44</v>
      </c>
      <c r="D212" s="16" t="s">
        <v>112</v>
      </c>
      <c r="E212" s="16">
        <v>4.21</v>
      </c>
    </row>
    <row r="213" spans="3:5" x14ac:dyDescent="0.25">
      <c r="C213" s="16">
        <v>45</v>
      </c>
      <c r="D213" s="16" t="s">
        <v>113</v>
      </c>
      <c r="E213" s="16">
        <v>4.21</v>
      </c>
    </row>
    <row r="214" spans="3:5" x14ac:dyDescent="0.25">
      <c r="C214" s="16">
        <v>46</v>
      </c>
      <c r="D214" s="16" t="s">
        <v>114</v>
      </c>
      <c r="E214" s="16">
        <v>5.64</v>
      </c>
    </row>
    <row r="215" spans="3:5" x14ac:dyDescent="0.25">
      <c r="C215" s="16">
        <v>47</v>
      </c>
      <c r="D215" s="16" t="s">
        <v>116</v>
      </c>
      <c r="E215" s="16">
        <v>4.21</v>
      </c>
    </row>
    <row r="216" spans="3:5" x14ac:dyDescent="0.25">
      <c r="C216" s="16">
        <v>48</v>
      </c>
      <c r="D216" s="16" t="s">
        <v>117</v>
      </c>
      <c r="E216" s="16">
        <v>4.21</v>
      </c>
    </row>
    <row r="217" spans="3:5" x14ac:dyDescent="0.25">
      <c r="C217" s="16">
        <v>49</v>
      </c>
      <c r="D217" s="16" t="s">
        <v>123</v>
      </c>
      <c r="E217" s="16">
        <v>3.85</v>
      </c>
    </row>
    <row r="218" spans="3:5" x14ac:dyDescent="0.25">
      <c r="C218" s="16">
        <v>50</v>
      </c>
      <c r="D218" s="16" t="s">
        <v>124</v>
      </c>
      <c r="E218" s="16">
        <v>4.21</v>
      </c>
    </row>
    <row r="219" spans="3:5" x14ac:dyDescent="0.25">
      <c r="C219" s="16">
        <v>51</v>
      </c>
      <c r="D219" s="16" t="s">
        <v>126</v>
      </c>
      <c r="E219" s="16">
        <v>4.21</v>
      </c>
    </row>
    <row r="220" spans="3:5" x14ac:dyDescent="0.25">
      <c r="C220" s="16">
        <v>52</v>
      </c>
      <c r="D220" s="16" t="s">
        <v>128</v>
      </c>
      <c r="E220" s="16">
        <v>4.21</v>
      </c>
    </row>
    <row r="221" spans="3:5" x14ac:dyDescent="0.25">
      <c r="C221" s="16">
        <v>53</v>
      </c>
      <c r="D221" s="16" t="s">
        <v>129</v>
      </c>
      <c r="E221" s="16">
        <v>4.21</v>
      </c>
    </row>
    <row r="222" spans="3:5" x14ac:dyDescent="0.25">
      <c r="C222" s="16">
        <v>54</v>
      </c>
      <c r="D222" s="16" t="s">
        <v>130</v>
      </c>
      <c r="E222" s="16">
        <v>4.21</v>
      </c>
    </row>
    <row r="223" spans="3:5" x14ac:dyDescent="0.25">
      <c r="C223" s="16">
        <v>55</v>
      </c>
      <c r="D223" s="16" t="s">
        <v>133</v>
      </c>
      <c r="E223" s="16">
        <v>3.85</v>
      </c>
    </row>
    <row r="224" spans="3:5" x14ac:dyDescent="0.25">
      <c r="C224" s="16">
        <v>56</v>
      </c>
      <c r="D224" s="16" t="s">
        <v>134</v>
      </c>
      <c r="E224" s="16">
        <v>5.28</v>
      </c>
    </row>
    <row r="225" spans="3:5" x14ac:dyDescent="0.25">
      <c r="C225" s="16">
        <v>57</v>
      </c>
      <c r="D225" s="16" t="s">
        <v>137</v>
      </c>
      <c r="E225" s="16">
        <v>4.21</v>
      </c>
    </row>
    <row r="226" spans="3:5" x14ac:dyDescent="0.25">
      <c r="C226" s="16">
        <v>58</v>
      </c>
      <c r="D226" s="16" t="s">
        <v>31</v>
      </c>
      <c r="E226" s="16">
        <v>4.21</v>
      </c>
    </row>
    <row r="227" spans="3:5" x14ac:dyDescent="0.25">
      <c r="C227" s="16">
        <v>59</v>
      </c>
      <c r="D227" s="16" t="s">
        <v>33</v>
      </c>
      <c r="E227" s="16">
        <v>3.85</v>
      </c>
    </row>
    <row r="228" spans="3:5" x14ac:dyDescent="0.25">
      <c r="C228" s="16">
        <v>60</v>
      </c>
      <c r="D228" s="16" t="s">
        <v>36</v>
      </c>
      <c r="E228" s="16">
        <v>4.21</v>
      </c>
    </row>
    <row r="229" spans="3:5" x14ac:dyDescent="0.25">
      <c r="C229" s="16">
        <v>61</v>
      </c>
      <c r="D229" s="16" t="s">
        <v>37</v>
      </c>
      <c r="E229" s="16">
        <v>3.85</v>
      </c>
    </row>
    <row r="230" spans="3:5" x14ac:dyDescent="0.25">
      <c r="C230" s="16">
        <v>62</v>
      </c>
      <c r="D230" s="16" t="s">
        <v>15</v>
      </c>
      <c r="E230" s="16">
        <v>4.57</v>
      </c>
    </row>
    <row r="231" spans="3:5" x14ac:dyDescent="0.25">
      <c r="C231" s="16">
        <v>63</v>
      </c>
      <c r="D231" s="16" t="s">
        <v>38</v>
      </c>
      <c r="E231" s="16">
        <v>4.21</v>
      </c>
    </row>
    <row r="232" spans="3:5" x14ac:dyDescent="0.25">
      <c r="C232" s="16">
        <v>64</v>
      </c>
      <c r="D232" s="16" t="s">
        <v>40</v>
      </c>
      <c r="E232" s="16">
        <v>4.21</v>
      </c>
    </row>
    <row r="233" spans="3:5" x14ac:dyDescent="0.25">
      <c r="C233" s="16">
        <v>65</v>
      </c>
      <c r="D233" s="16" t="s">
        <v>41</v>
      </c>
      <c r="E233" s="16">
        <v>3.85</v>
      </c>
    </row>
    <row r="234" spans="3:5" x14ac:dyDescent="0.25">
      <c r="C234" s="16">
        <v>66</v>
      </c>
      <c r="D234" s="16" t="s">
        <v>42</v>
      </c>
      <c r="E234" s="16">
        <v>3.85</v>
      </c>
    </row>
    <row r="235" spans="3:5" x14ac:dyDescent="0.25">
      <c r="C235" s="16">
        <v>67</v>
      </c>
      <c r="D235" s="16" t="s">
        <v>43</v>
      </c>
      <c r="E235" s="16">
        <v>4.21</v>
      </c>
    </row>
    <row r="236" spans="3:5" x14ac:dyDescent="0.25">
      <c r="C236" s="16">
        <v>68</v>
      </c>
      <c r="D236" s="16" t="s">
        <v>44</v>
      </c>
      <c r="E236" s="16">
        <v>4.21</v>
      </c>
    </row>
    <row r="237" spans="3:5" x14ac:dyDescent="0.25">
      <c r="C237" s="16">
        <v>69</v>
      </c>
      <c r="D237" s="16" t="s">
        <v>46</v>
      </c>
      <c r="E237" s="16">
        <v>4.21</v>
      </c>
    </row>
    <row r="238" spans="3:5" x14ac:dyDescent="0.25">
      <c r="C238" s="16">
        <v>70</v>
      </c>
      <c r="D238" s="16" t="s">
        <v>49</v>
      </c>
      <c r="E238" s="16">
        <v>4.21</v>
      </c>
    </row>
    <row r="239" spans="3:5" x14ac:dyDescent="0.25">
      <c r="C239" s="16">
        <v>71</v>
      </c>
      <c r="D239" s="16" t="s">
        <v>51</v>
      </c>
      <c r="E239" s="16">
        <v>3.85</v>
      </c>
    </row>
    <row r="240" spans="3:5" x14ac:dyDescent="0.25">
      <c r="C240" s="16">
        <v>72</v>
      </c>
      <c r="D240" s="16" t="s">
        <v>55</v>
      </c>
      <c r="E240" s="16">
        <v>3.85</v>
      </c>
    </row>
    <row r="241" spans="3:5" x14ac:dyDescent="0.25">
      <c r="C241" s="16">
        <v>73</v>
      </c>
      <c r="D241" s="16" t="s">
        <v>56</v>
      </c>
      <c r="E241" s="16">
        <v>4.21</v>
      </c>
    </row>
    <row r="242" spans="3:5" x14ac:dyDescent="0.25">
      <c r="C242" s="16">
        <v>74</v>
      </c>
      <c r="D242" s="16" t="s">
        <v>57</v>
      </c>
      <c r="E242" s="16">
        <v>3.85</v>
      </c>
    </row>
    <row r="243" spans="3:5" x14ac:dyDescent="0.25">
      <c r="C243" s="16">
        <v>75</v>
      </c>
      <c r="D243" s="16" t="s">
        <v>59</v>
      </c>
      <c r="E243" s="16">
        <v>3.85</v>
      </c>
    </row>
    <row r="244" spans="3:5" x14ac:dyDescent="0.25">
      <c r="C244" s="16">
        <v>76</v>
      </c>
      <c r="D244" s="16" t="s">
        <v>60</v>
      </c>
      <c r="E244" s="16">
        <v>4.21</v>
      </c>
    </row>
    <row r="245" spans="3:5" x14ac:dyDescent="0.25">
      <c r="C245" s="16">
        <v>77</v>
      </c>
      <c r="D245" s="16" t="s">
        <v>61</v>
      </c>
      <c r="E245" s="16">
        <v>3.85</v>
      </c>
    </row>
    <row r="246" spans="3:5" x14ac:dyDescent="0.25">
      <c r="C246" s="16">
        <v>78</v>
      </c>
      <c r="D246" s="16" t="s">
        <v>65</v>
      </c>
      <c r="E246" s="16">
        <v>4.21</v>
      </c>
    </row>
    <row r="247" spans="3:5" x14ac:dyDescent="0.25">
      <c r="C247" s="16">
        <v>79</v>
      </c>
      <c r="D247" s="16" t="s">
        <v>2</v>
      </c>
      <c r="E247" s="16">
        <v>4.21</v>
      </c>
    </row>
    <row r="248" spans="3:5" x14ac:dyDescent="0.25">
      <c r="C248" s="16">
        <v>80</v>
      </c>
      <c r="D248" s="16" t="s">
        <v>67</v>
      </c>
      <c r="E248" s="16">
        <v>4.21</v>
      </c>
    </row>
    <row r="249" spans="3:5" x14ac:dyDescent="0.25">
      <c r="C249" s="16">
        <v>81</v>
      </c>
      <c r="D249" s="16" t="s">
        <v>68</v>
      </c>
      <c r="E249" s="16">
        <v>4.21</v>
      </c>
    </row>
    <row r="250" spans="3:5" x14ac:dyDescent="0.25">
      <c r="C250" s="16">
        <v>82</v>
      </c>
      <c r="D250" s="16" t="s">
        <v>69</v>
      </c>
      <c r="E250" s="16">
        <v>4.21</v>
      </c>
    </row>
    <row r="251" spans="3:5" x14ac:dyDescent="0.25">
      <c r="C251" s="16">
        <v>83</v>
      </c>
      <c r="D251" s="16" t="s">
        <v>72</v>
      </c>
      <c r="E251" s="16">
        <v>3.85</v>
      </c>
    </row>
    <row r="252" spans="3:5" x14ac:dyDescent="0.25">
      <c r="C252" s="16">
        <v>84</v>
      </c>
      <c r="D252" s="16" t="s">
        <v>80</v>
      </c>
      <c r="E252" s="16">
        <v>3.85</v>
      </c>
    </row>
    <row r="253" spans="3:5" x14ac:dyDescent="0.25">
      <c r="C253" s="16">
        <v>85</v>
      </c>
      <c r="D253" s="16" t="s">
        <v>83</v>
      </c>
      <c r="E253" s="16">
        <v>4.21</v>
      </c>
    </row>
    <row r="254" spans="3:5" x14ac:dyDescent="0.25">
      <c r="C254" s="16">
        <v>86</v>
      </c>
      <c r="D254" s="16" t="s">
        <v>84</v>
      </c>
      <c r="E254" s="16">
        <v>4.21</v>
      </c>
    </row>
    <row r="255" spans="3:5" x14ac:dyDescent="0.25">
      <c r="C255" s="16">
        <v>87</v>
      </c>
      <c r="D255" s="16" t="s">
        <v>85</v>
      </c>
      <c r="E255" s="16">
        <v>4.21</v>
      </c>
    </row>
    <row r="256" spans="3:5" x14ac:dyDescent="0.25">
      <c r="C256" s="16">
        <v>88</v>
      </c>
      <c r="D256" s="16" t="s">
        <v>86</v>
      </c>
      <c r="E256" s="16">
        <v>4.21</v>
      </c>
    </row>
    <row r="257" spans="3:5" x14ac:dyDescent="0.25">
      <c r="C257" s="16">
        <v>89</v>
      </c>
      <c r="D257" s="16" t="s">
        <v>89</v>
      </c>
      <c r="E257" s="16">
        <v>3.85</v>
      </c>
    </row>
    <row r="258" spans="3:5" x14ac:dyDescent="0.25">
      <c r="C258" s="16">
        <v>90</v>
      </c>
      <c r="D258" s="16" t="s">
        <v>90</v>
      </c>
      <c r="E258" s="16">
        <v>4.21</v>
      </c>
    </row>
    <row r="259" spans="3:5" x14ac:dyDescent="0.25">
      <c r="C259" s="16">
        <v>91</v>
      </c>
      <c r="D259" s="16" t="s">
        <v>91</v>
      </c>
      <c r="E259" s="16">
        <v>4.21</v>
      </c>
    </row>
    <row r="260" spans="3:5" x14ac:dyDescent="0.25">
      <c r="C260" s="16">
        <v>92</v>
      </c>
      <c r="D260" s="16" t="s">
        <v>93</v>
      </c>
      <c r="E260" s="16">
        <v>4.21</v>
      </c>
    </row>
    <row r="261" spans="3:5" x14ac:dyDescent="0.25">
      <c r="C261" s="16">
        <v>93</v>
      </c>
      <c r="D261" s="16" t="s">
        <v>94</v>
      </c>
      <c r="E261" s="16">
        <v>4.21</v>
      </c>
    </row>
    <row r="262" spans="3:5" x14ac:dyDescent="0.25">
      <c r="C262" s="16">
        <v>94</v>
      </c>
      <c r="D262" s="16" t="s">
        <v>95</v>
      </c>
      <c r="E262" s="16">
        <v>4.21</v>
      </c>
    </row>
    <row r="263" spans="3:5" x14ac:dyDescent="0.25">
      <c r="C263" s="16">
        <v>95</v>
      </c>
      <c r="D263" s="16" t="s">
        <v>96</v>
      </c>
      <c r="E263" s="16">
        <v>3.85</v>
      </c>
    </row>
    <row r="264" spans="3:5" x14ac:dyDescent="0.25">
      <c r="C264" s="16">
        <v>96</v>
      </c>
      <c r="D264" s="16" t="s">
        <v>98</v>
      </c>
      <c r="E264" s="16">
        <v>4.21</v>
      </c>
    </row>
    <row r="265" spans="3:5" x14ac:dyDescent="0.25">
      <c r="C265" s="16">
        <v>97</v>
      </c>
      <c r="D265" s="16" t="s">
        <v>100</v>
      </c>
      <c r="E265" s="16">
        <v>4.21</v>
      </c>
    </row>
    <row r="266" spans="3:5" x14ac:dyDescent="0.25">
      <c r="C266" s="16">
        <v>98</v>
      </c>
      <c r="D266" s="16" t="s">
        <v>109</v>
      </c>
      <c r="E266" s="16">
        <v>4.21</v>
      </c>
    </row>
    <row r="267" spans="3:5" x14ac:dyDescent="0.25">
      <c r="C267" s="16">
        <v>99</v>
      </c>
      <c r="D267" s="16" t="s">
        <v>111</v>
      </c>
      <c r="E267" s="16">
        <v>3.85</v>
      </c>
    </row>
    <row r="268" spans="3:5" x14ac:dyDescent="0.25">
      <c r="C268" s="16">
        <v>100</v>
      </c>
      <c r="D268" s="16" t="s">
        <v>115</v>
      </c>
      <c r="E268" s="16">
        <v>4.21</v>
      </c>
    </row>
    <row r="269" spans="3:5" x14ac:dyDescent="0.25">
      <c r="C269" s="16">
        <v>101</v>
      </c>
      <c r="D269" s="16" t="s">
        <v>118</v>
      </c>
      <c r="E269" s="16">
        <v>4.21</v>
      </c>
    </row>
    <row r="270" spans="3:5" x14ac:dyDescent="0.25">
      <c r="C270" s="16">
        <v>102</v>
      </c>
      <c r="D270" s="16" t="s">
        <v>119</v>
      </c>
      <c r="E270" s="16">
        <v>4.21</v>
      </c>
    </row>
    <row r="271" spans="3:5" x14ac:dyDescent="0.25">
      <c r="C271" s="16">
        <v>103</v>
      </c>
      <c r="D271" s="16" t="s">
        <v>120</v>
      </c>
      <c r="E271" s="16">
        <v>4.21</v>
      </c>
    </row>
    <row r="272" spans="3:5" x14ac:dyDescent="0.25">
      <c r="C272" s="16">
        <v>104</v>
      </c>
      <c r="D272" s="16" t="s">
        <v>121</v>
      </c>
      <c r="E272" s="16">
        <v>4.21</v>
      </c>
    </row>
    <row r="273" spans="3:5" x14ac:dyDescent="0.25">
      <c r="C273" s="16">
        <v>105</v>
      </c>
      <c r="D273" s="16" t="s">
        <v>122</v>
      </c>
      <c r="E273" s="16">
        <v>4.21</v>
      </c>
    </row>
    <row r="274" spans="3:5" x14ac:dyDescent="0.25">
      <c r="C274" s="16">
        <v>106</v>
      </c>
      <c r="D274" s="16" t="s">
        <v>125</v>
      </c>
      <c r="E274" s="16">
        <v>4.21</v>
      </c>
    </row>
    <row r="275" spans="3:5" x14ac:dyDescent="0.25">
      <c r="C275" s="16">
        <v>107</v>
      </c>
      <c r="D275" s="16" t="s">
        <v>127</v>
      </c>
      <c r="E275" s="16">
        <v>4.21</v>
      </c>
    </row>
    <row r="276" spans="3:5" x14ac:dyDescent="0.25">
      <c r="C276" s="16">
        <v>108</v>
      </c>
      <c r="D276" s="16" t="s">
        <v>131</v>
      </c>
      <c r="E276" s="16">
        <v>4.21</v>
      </c>
    </row>
    <row r="277" spans="3:5" x14ac:dyDescent="0.25">
      <c r="C277" s="16">
        <v>109</v>
      </c>
      <c r="D277" s="16" t="s">
        <v>132</v>
      </c>
      <c r="E277" s="16">
        <v>4.21</v>
      </c>
    </row>
    <row r="278" spans="3:5" x14ac:dyDescent="0.25">
      <c r="C278" s="16">
        <v>110</v>
      </c>
      <c r="D278" s="16" t="s">
        <v>135</v>
      </c>
      <c r="E278" s="16">
        <v>3.85</v>
      </c>
    </row>
    <row r="279" spans="3:5" x14ac:dyDescent="0.25">
      <c r="C279" s="16">
        <v>111</v>
      </c>
      <c r="D279" s="16" t="s">
        <v>136</v>
      </c>
      <c r="E279" s="16">
        <v>3.85</v>
      </c>
    </row>
    <row r="280" spans="3:5" x14ac:dyDescent="0.25">
      <c r="C280" s="16">
        <v>112</v>
      </c>
      <c r="D280" s="16" t="s">
        <v>138</v>
      </c>
      <c r="E280" s="16">
        <v>3.85</v>
      </c>
    </row>
    <row r="281" spans="3:5" x14ac:dyDescent="0.25">
      <c r="C281" s="16">
        <v>113</v>
      </c>
      <c r="D281" s="16" t="s">
        <v>3</v>
      </c>
      <c r="E281" s="16">
        <v>4.21</v>
      </c>
    </row>
    <row r="282" spans="3:5" x14ac:dyDescent="0.25">
      <c r="C282" s="16">
        <v>114</v>
      </c>
      <c r="D282" s="16" t="s">
        <v>9</v>
      </c>
      <c r="E282" s="16">
        <v>4.6500000000000004</v>
      </c>
    </row>
    <row r="283" spans="3:5" x14ac:dyDescent="0.25">
      <c r="C283" s="16">
        <v>115</v>
      </c>
      <c r="D283" s="16" t="s">
        <v>18</v>
      </c>
      <c r="E283" s="16">
        <v>4.21</v>
      </c>
    </row>
    <row r="284" spans="3:5" x14ac:dyDescent="0.25">
      <c r="C284" s="16">
        <v>116</v>
      </c>
      <c r="D284" s="16" t="s">
        <v>5</v>
      </c>
      <c r="E284" s="16">
        <v>4.21</v>
      </c>
    </row>
    <row r="285" spans="3:5" x14ac:dyDescent="0.25">
      <c r="C285" s="16">
        <v>117</v>
      </c>
      <c r="D285" s="16" t="s">
        <v>12</v>
      </c>
      <c r="E285" s="16">
        <v>4.6500000000000004</v>
      </c>
    </row>
    <row r="286" spans="3:5" x14ac:dyDescent="0.25">
      <c r="C286" s="16">
        <v>118</v>
      </c>
      <c r="D286" s="16" t="s">
        <v>10</v>
      </c>
      <c r="E286" s="16">
        <v>4.21</v>
      </c>
    </row>
    <row r="287" spans="3:5" x14ac:dyDescent="0.25">
      <c r="C287" s="16">
        <v>119</v>
      </c>
      <c r="D287" s="16" t="s">
        <v>21</v>
      </c>
      <c r="E287" s="16">
        <v>5.45</v>
      </c>
    </row>
    <row r="288" spans="3:5" x14ac:dyDescent="0.25">
      <c r="C288" s="16">
        <v>120</v>
      </c>
      <c r="D288" s="16" t="s">
        <v>24</v>
      </c>
      <c r="E288" s="16">
        <v>5.28</v>
      </c>
    </row>
    <row r="289" spans="3:5" x14ac:dyDescent="0.25">
      <c r="C289" s="16">
        <v>121</v>
      </c>
      <c r="D289" s="16" t="s">
        <v>23</v>
      </c>
      <c r="E289" s="16">
        <v>4.21</v>
      </c>
    </row>
    <row r="290" spans="3:5" x14ac:dyDescent="0.25">
      <c r="C290" s="16">
        <v>122</v>
      </c>
      <c r="D290" s="16" t="s">
        <v>11</v>
      </c>
      <c r="E290" s="16">
        <v>4.21</v>
      </c>
    </row>
    <row r="291" spans="3:5" x14ac:dyDescent="0.25">
      <c r="C291" s="16">
        <v>123</v>
      </c>
      <c r="D291" s="16" t="s">
        <v>22</v>
      </c>
      <c r="E291" s="16">
        <v>4.21</v>
      </c>
    </row>
    <row r="292" spans="3:5" x14ac:dyDescent="0.25">
      <c r="C292" s="16">
        <v>124</v>
      </c>
      <c r="D292" s="16" t="s">
        <v>14</v>
      </c>
      <c r="E292" s="16">
        <v>4.21</v>
      </c>
    </row>
    <row r="293" spans="3:5" x14ac:dyDescent="0.25">
      <c r="C293" s="16">
        <v>125</v>
      </c>
      <c r="D293" s="16" t="s">
        <v>13</v>
      </c>
      <c r="E293" s="16">
        <v>4.21</v>
      </c>
    </row>
    <row r="294" spans="3:5" x14ac:dyDescent="0.25">
      <c r="C294" s="16">
        <v>126</v>
      </c>
      <c r="D294" s="16" t="s">
        <v>20</v>
      </c>
      <c r="E294" s="16">
        <v>4.21</v>
      </c>
    </row>
    <row r="295" spans="3:5" x14ac:dyDescent="0.25">
      <c r="C295" s="16">
        <v>127</v>
      </c>
      <c r="D295" s="16" t="s">
        <v>6</v>
      </c>
      <c r="E295" s="16">
        <v>4.21</v>
      </c>
    </row>
    <row r="296" spans="3:5" x14ac:dyDescent="0.25">
      <c r="C296" s="16">
        <v>128</v>
      </c>
      <c r="D296" s="16" t="s">
        <v>8</v>
      </c>
      <c r="E296" s="16">
        <v>4.57</v>
      </c>
    </row>
    <row r="297" spans="3:5" x14ac:dyDescent="0.25">
      <c r="C297" s="16">
        <v>129</v>
      </c>
      <c r="D297" s="16" t="s">
        <v>7</v>
      </c>
      <c r="E297" s="16">
        <v>5.28</v>
      </c>
    </row>
    <row r="298" spans="3:5" x14ac:dyDescent="0.25">
      <c r="C298" s="16">
        <v>130</v>
      </c>
      <c r="D298" s="16" t="s">
        <v>19</v>
      </c>
      <c r="E298" s="16">
        <v>4.21</v>
      </c>
    </row>
    <row r="299" spans="3:5" x14ac:dyDescent="0.25">
      <c r="C299" s="16">
        <v>131</v>
      </c>
      <c r="D299" s="16" t="s">
        <v>17</v>
      </c>
      <c r="E299" s="16">
        <v>4.21</v>
      </c>
    </row>
    <row r="300" spans="3:5" x14ac:dyDescent="0.25">
      <c r="C300" s="16">
        <v>132</v>
      </c>
      <c r="D300" s="16" t="s">
        <v>16</v>
      </c>
      <c r="E300" s="16">
        <v>4.21</v>
      </c>
    </row>
    <row r="302" spans="3:5" x14ac:dyDescent="0.25">
      <c r="C302" s="16">
        <v>134</v>
      </c>
      <c r="D302" s="16" t="s">
        <v>208</v>
      </c>
      <c r="E302" s="16">
        <v>3.85</v>
      </c>
    </row>
    <row r="303" spans="3:5" x14ac:dyDescent="0.25">
      <c r="C303" s="16">
        <v>135</v>
      </c>
      <c r="D303" s="16" t="s">
        <v>202</v>
      </c>
      <c r="E303" s="16">
        <v>3.85</v>
      </c>
    </row>
    <row r="304" spans="3:5" x14ac:dyDescent="0.25">
      <c r="C304" s="16">
        <v>136</v>
      </c>
      <c r="D304" s="16" t="s">
        <v>207</v>
      </c>
      <c r="E304" s="16">
        <v>3.85</v>
      </c>
    </row>
    <row r="305" spans="3:5" x14ac:dyDescent="0.25">
      <c r="C305" s="16">
        <v>137</v>
      </c>
      <c r="D305" s="16" t="s">
        <v>221</v>
      </c>
      <c r="E305" s="16">
        <v>3.85</v>
      </c>
    </row>
    <row r="306" spans="3:5" x14ac:dyDescent="0.25">
      <c r="C306" s="16">
        <v>138</v>
      </c>
      <c r="D306" s="16" t="s">
        <v>209</v>
      </c>
      <c r="E306" s="16">
        <v>3.85</v>
      </c>
    </row>
    <row r="307" spans="3:5" x14ac:dyDescent="0.25">
      <c r="C307" s="16">
        <v>139</v>
      </c>
      <c r="D307" s="16" t="s">
        <v>201</v>
      </c>
      <c r="E307" s="16">
        <v>3.85</v>
      </c>
    </row>
    <row r="308" spans="3:5" x14ac:dyDescent="0.25">
      <c r="C308" s="16">
        <v>140</v>
      </c>
      <c r="D308" s="16" t="s">
        <v>210</v>
      </c>
      <c r="E308" s="16">
        <v>3.85</v>
      </c>
    </row>
    <row r="309" spans="3:5" x14ac:dyDescent="0.25">
      <c r="C309" s="16">
        <v>141</v>
      </c>
      <c r="D309" s="16" t="s">
        <v>216</v>
      </c>
      <c r="E309" s="16">
        <v>3.85</v>
      </c>
    </row>
    <row r="310" spans="3:5" x14ac:dyDescent="0.25">
      <c r="C310" s="16">
        <v>142</v>
      </c>
      <c r="D310" s="16" t="s">
        <v>215</v>
      </c>
      <c r="E310" s="16">
        <v>3.85</v>
      </c>
    </row>
    <row r="311" spans="3:5" x14ac:dyDescent="0.25">
      <c r="C311" s="16">
        <v>143</v>
      </c>
      <c r="D311" s="16" t="s">
        <v>168</v>
      </c>
      <c r="E311" s="16">
        <v>3.85</v>
      </c>
    </row>
    <row r="312" spans="3:5" x14ac:dyDescent="0.25">
      <c r="C312" s="16">
        <v>144</v>
      </c>
      <c r="D312" s="16" t="s">
        <v>178</v>
      </c>
      <c r="E312" s="16">
        <v>3.85</v>
      </c>
    </row>
    <row r="313" spans="3:5" x14ac:dyDescent="0.25">
      <c r="C313" s="16">
        <v>145</v>
      </c>
      <c r="D313" s="16" t="s">
        <v>194</v>
      </c>
      <c r="E313" s="16">
        <v>3.85</v>
      </c>
    </row>
    <row r="314" spans="3:5" x14ac:dyDescent="0.25">
      <c r="C314" s="16">
        <v>146</v>
      </c>
      <c r="D314" s="16" t="s">
        <v>206</v>
      </c>
      <c r="E314" s="16">
        <v>3.85</v>
      </c>
    </row>
    <row r="315" spans="3:5" x14ac:dyDescent="0.25">
      <c r="C315" s="16">
        <v>147</v>
      </c>
      <c r="D315" s="16" t="s">
        <v>203</v>
      </c>
      <c r="E315" s="16">
        <v>3.85</v>
      </c>
    </row>
    <row r="316" spans="3:5" x14ac:dyDescent="0.25">
      <c r="C316" s="16">
        <v>148</v>
      </c>
      <c r="D316" s="16" t="s">
        <v>240</v>
      </c>
      <c r="E316" s="16">
        <v>3.85</v>
      </c>
    </row>
    <row r="317" spans="3:5" x14ac:dyDescent="0.25">
      <c r="C317" s="16">
        <v>149</v>
      </c>
      <c r="D317" s="16" t="s">
        <v>149</v>
      </c>
      <c r="E317" s="16">
        <v>3.85</v>
      </c>
    </row>
    <row r="318" spans="3:5" x14ac:dyDescent="0.25">
      <c r="C318" s="16">
        <v>150</v>
      </c>
      <c r="D318" s="16" t="s">
        <v>223</v>
      </c>
      <c r="E318" s="16">
        <v>3.85</v>
      </c>
    </row>
    <row r="319" spans="3:5" x14ac:dyDescent="0.25">
      <c r="C319" s="16">
        <v>151</v>
      </c>
      <c r="D319" s="16" t="s">
        <v>238</v>
      </c>
      <c r="E319" s="16">
        <v>3.85</v>
      </c>
    </row>
    <row r="320" spans="3:5" x14ac:dyDescent="0.25">
      <c r="C320" s="16">
        <v>152</v>
      </c>
      <c r="D320" s="16" t="s">
        <v>195</v>
      </c>
      <c r="E320" s="16">
        <v>3.85</v>
      </c>
    </row>
    <row r="321" spans="3:5" x14ac:dyDescent="0.25">
      <c r="C321" s="16">
        <v>153</v>
      </c>
      <c r="D321" s="16" t="s">
        <v>225</v>
      </c>
      <c r="E321" s="16">
        <v>3.85</v>
      </c>
    </row>
    <row r="322" spans="3:5" x14ac:dyDescent="0.25">
      <c r="C322" s="16">
        <v>154</v>
      </c>
      <c r="D322" s="16" t="s">
        <v>183</v>
      </c>
      <c r="E322" s="16">
        <v>3.85</v>
      </c>
    </row>
    <row r="323" spans="3:5" x14ac:dyDescent="0.25">
      <c r="C323" s="16">
        <v>155</v>
      </c>
      <c r="D323" s="16" t="s">
        <v>199</v>
      </c>
      <c r="E323" s="16">
        <v>3.85</v>
      </c>
    </row>
    <row r="324" spans="3:5" x14ac:dyDescent="0.25">
      <c r="C324" s="16">
        <v>156</v>
      </c>
      <c r="D324" s="16" t="s">
        <v>228</v>
      </c>
      <c r="E324" s="16">
        <v>3.85</v>
      </c>
    </row>
    <row r="325" spans="3:5" x14ac:dyDescent="0.25">
      <c r="C325" s="16">
        <v>157</v>
      </c>
      <c r="D325" s="16" t="s">
        <v>155</v>
      </c>
      <c r="E325" s="16">
        <v>3.85</v>
      </c>
    </row>
    <row r="326" spans="3:5" x14ac:dyDescent="0.25">
      <c r="C326" s="16">
        <v>158</v>
      </c>
      <c r="D326" s="16" t="s">
        <v>193</v>
      </c>
      <c r="E326" s="16">
        <v>3.85</v>
      </c>
    </row>
    <row r="327" spans="3:5" x14ac:dyDescent="0.25">
      <c r="C327" s="16">
        <v>159</v>
      </c>
      <c r="D327" s="16" t="s">
        <v>241</v>
      </c>
      <c r="E327" s="16">
        <v>3.85</v>
      </c>
    </row>
    <row r="328" spans="3:5" x14ac:dyDescent="0.25">
      <c r="C328" s="16">
        <v>160</v>
      </c>
      <c r="D328" s="16" t="s">
        <v>232</v>
      </c>
      <c r="E328" s="16">
        <v>3.85</v>
      </c>
    </row>
    <row r="329" spans="3:5" x14ac:dyDescent="0.25">
      <c r="C329" s="16">
        <v>161</v>
      </c>
      <c r="D329" s="16" t="s">
        <v>220</v>
      </c>
      <c r="E329" s="16">
        <v>3.85</v>
      </c>
    </row>
    <row r="330" spans="3:5" x14ac:dyDescent="0.25">
      <c r="C330" s="16">
        <v>162</v>
      </c>
      <c r="D330" s="16" t="s">
        <v>190</v>
      </c>
      <c r="E330" s="16">
        <v>3.85</v>
      </c>
    </row>
    <row r="331" spans="3:5" x14ac:dyDescent="0.25">
      <c r="C331" s="16">
        <v>163</v>
      </c>
      <c r="D331" s="16" t="s">
        <v>212</v>
      </c>
      <c r="E331" s="16">
        <v>3.85</v>
      </c>
    </row>
    <row r="332" spans="3:5" x14ac:dyDescent="0.25">
      <c r="C332" s="16">
        <v>164</v>
      </c>
      <c r="D332" s="16" t="s">
        <v>213</v>
      </c>
      <c r="E332" s="16">
        <v>3.85</v>
      </c>
    </row>
    <row r="333" spans="3:5" x14ac:dyDescent="0.25">
      <c r="C333" s="16">
        <v>165</v>
      </c>
      <c r="D333" s="16" t="s">
        <v>189</v>
      </c>
      <c r="E333" s="16">
        <v>3.85</v>
      </c>
    </row>
    <row r="334" spans="3:5" x14ac:dyDescent="0.25">
      <c r="C334" s="16">
        <v>166</v>
      </c>
      <c r="D334" s="16" t="s">
        <v>156</v>
      </c>
      <c r="E334" s="16">
        <v>3.85</v>
      </c>
    </row>
    <row r="335" spans="3:5" x14ac:dyDescent="0.25">
      <c r="C335" s="16">
        <v>167</v>
      </c>
      <c r="D335" s="16" t="s">
        <v>160</v>
      </c>
      <c r="E335" s="16">
        <v>3.85</v>
      </c>
    </row>
    <row r="336" spans="3:5" x14ac:dyDescent="0.25">
      <c r="C336" s="16">
        <v>168</v>
      </c>
      <c r="D336" s="16" t="s">
        <v>230</v>
      </c>
      <c r="E336" s="16">
        <v>3.85</v>
      </c>
    </row>
    <row r="337" spans="3:5" x14ac:dyDescent="0.25">
      <c r="C337" s="16">
        <v>169</v>
      </c>
      <c r="D337" s="16" t="s">
        <v>154</v>
      </c>
      <c r="E337" s="16">
        <v>3.85</v>
      </c>
    </row>
    <row r="338" spans="3:5" x14ac:dyDescent="0.25">
      <c r="C338" s="16">
        <v>170</v>
      </c>
      <c r="D338" s="16" t="s">
        <v>226</v>
      </c>
      <c r="E338" s="16">
        <v>3.85</v>
      </c>
    </row>
    <row r="339" spans="3:5" x14ac:dyDescent="0.25">
      <c r="C339" s="16">
        <v>171</v>
      </c>
      <c r="D339" s="16" t="s">
        <v>229</v>
      </c>
      <c r="E339" s="16">
        <v>3.85</v>
      </c>
    </row>
    <row r="340" spans="3:5" x14ac:dyDescent="0.25">
      <c r="C340" s="16">
        <v>172</v>
      </c>
      <c r="D340" s="16" t="s">
        <v>148</v>
      </c>
      <c r="E340" s="16">
        <v>3.85</v>
      </c>
    </row>
    <row r="341" spans="3:5" x14ac:dyDescent="0.25">
      <c r="C341" s="16">
        <v>173</v>
      </c>
      <c r="D341" s="16" t="s">
        <v>151</v>
      </c>
      <c r="E341" s="16">
        <v>3.85</v>
      </c>
    </row>
    <row r="342" spans="3:5" x14ac:dyDescent="0.25">
      <c r="C342" s="16">
        <v>174</v>
      </c>
      <c r="D342" s="16" t="s">
        <v>243</v>
      </c>
      <c r="E342" s="16">
        <v>3.85</v>
      </c>
    </row>
    <row r="343" spans="3:5" x14ac:dyDescent="0.25">
      <c r="C343" s="16">
        <v>175</v>
      </c>
      <c r="D343" s="16" t="s">
        <v>198</v>
      </c>
      <c r="E343" s="16">
        <v>4.21</v>
      </c>
    </row>
    <row r="344" spans="3:5" x14ac:dyDescent="0.25">
      <c r="C344" s="16">
        <v>176</v>
      </c>
      <c r="D344" s="16" t="s">
        <v>176</v>
      </c>
      <c r="E344" s="16">
        <v>3.85</v>
      </c>
    </row>
    <row r="345" spans="3:5" x14ac:dyDescent="0.25">
      <c r="C345" s="16">
        <v>177</v>
      </c>
      <c r="D345" s="16" t="s">
        <v>166</v>
      </c>
      <c r="E345" s="16">
        <v>4.21</v>
      </c>
    </row>
    <row r="346" spans="3:5" x14ac:dyDescent="0.25">
      <c r="C346" s="16">
        <v>178</v>
      </c>
      <c r="D346" s="16" t="s">
        <v>205</v>
      </c>
      <c r="E346" s="16">
        <v>4.21</v>
      </c>
    </row>
    <row r="347" spans="3:5" x14ac:dyDescent="0.25">
      <c r="C347" s="16">
        <v>179</v>
      </c>
      <c r="D347" s="16" t="s">
        <v>164</v>
      </c>
      <c r="E347" s="16">
        <v>4.21</v>
      </c>
    </row>
    <row r="348" spans="3:5" x14ac:dyDescent="0.25">
      <c r="C348" s="16">
        <v>180</v>
      </c>
      <c r="D348" s="16" t="s">
        <v>214</v>
      </c>
      <c r="E348" s="16">
        <v>4.21</v>
      </c>
    </row>
    <row r="349" spans="3:5" x14ac:dyDescent="0.25">
      <c r="C349" s="16">
        <v>181</v>
      </c>
      <c r="D349" s="16" t="s">
        <v>196</v>
      </c>
      <c r="E349" s="16">
        <v>4.21</v>
      </c>
    </row>
    <row r="350" spans="3:5" x14ac:dyDescent="0.25">
      <c r="C350" s="16">
        <v>182</v>
      </c>
      <c r="D350" s="16" t="s">
        <v>184</v>
      </c>
      <c r="E350" s="16">
        <v>4.57</v>
      </c>
    </row>
    <row r="351" spans="3:5" x14ac:dyDescent="0.25">
      <c r="C351" s="16">
        <v>183</v>
      </c>
      <c r="D351" s="16" t="s">
        <v>169</v>
      </c>
      <c r="E351" s="16">
        <v>4.57</v>
      </c>
    </row>
    <row r="352" spans="3:5" x14ac:dyDescent="0.25">
      <c r="C352" s="16">
        <v>184</v>
      </c>
      <c r="D352" s="16" t="s">
        <v>171</v>
      </c>
      <c r="E352" s="16">
        <v>4.21</v>
      </c>
    </row>
    <row r="353" spans="3:5" x14ac:dyDescent="0.25">
      <c r="C353" s="16">
        <v>185</v>
      </c>
      <c r="D353" s="16" t="s">
        <v>239</v>
      </c>
      <c r="E353" s="16">
        <v>3.85</v>
      </c>
    </row>
    <row r="354" spans="3:5" x14ac:dyDescent="0.25">
      <c r="C354" s="16">
        <v>186</v>
      </c>
      <c r="D354" s="16" t="s">
        <v>224</v>
      </c>
      <c r="E354" s="16">
        <v>3.85</v>
      </c>
    </row>
    <row r="355" spans="3:5" x14ac:dyDescent="0.25">
      <c r="C355" s="16">
        <v>187</v>
      </c>
      <c r="D355" s="16" t="s">
        <v>197</v>
      </c>
      <c r="E355" s="16">
        <v>5.64</v>
      </c>
    </row>
    <row r="356" spans="3:5" x14ac:dyDescent="0.25">
      <c r="C356" s="16">
        <v>188</v>
      </c>
      <c r="D356" s="16" t="s">
        <v>237</v>
      </c>
      <c r="E356" s="16">
        <v>5.01</v>
      </c>
    </row>
    <row r="357" spans="3:5" x14ac:dyDescent="0.25">
      <c r="C357" s="16">
        <v>189</v>
      </c>
      <c r="D357" s="16" t="s">
        <v>235</v>
      </c>
      <c r="E357" s="16">
        <v>4.57</v>
      </c>
    </row>
    <row r="358" spans="3:5" x14ac:dyDescent="0.25">
      <c r="C358" s="16">
        <v>190</v>
      </c>
      <c r="D358" s="16" t="s">
        <v>242</v>
      </c>
      <c r="E358" s="16">
        <v>4.21</v>
      </c>
    </row>
    <row r="359" spans="3:5" x14ac:dyDescent="0.25">
      <c r="C359" s="16">
        <v>191</v>
      </c>
      <c r="D359" s="16" t="s">
        <v>233</v>
      </c>
      <c r="E359" s="16">
        <v>3.85</v>
      </c>
    </row>
    <row r="360" spans="3:5" x14ac:dyDescent="0.25">
      <c r="C360" s="16">
        <v>192</v>
      </c>
      <c r="D360" s="16" t="s">
        <v>236</v>
      </c>
      <c r="E360" s="16">
        <v>4.93</v>
      </c>
    </row>
    <row r="361" spans="3:5" x14ac:dyDescent="0.25">
      <c r="C361" s="16">
        <v>193</v>
      </c>
      <c r="D361" s="16" t="s">
        <v>234</v>
      </c>
      <c r="E361" s="16">
        <v>4.21</v>
      </c>
    </row>
    <row r="362" spans="3:5" x14ac:dyDescent="0.25">
      <c r="C362" s="16">
        <v>194</v>
      </c>
      <c r="D362" s="16" t="s">
        <v>231</v>
      </c>
      <c r="E362" s="16">
        <v>4.21</v>
      </c>
    </row>
    <row r="363" spans="3:5" x14ac:dyDescent="0.25">
      <c r="C363" s="16">
        <v>195</v>
      </c>
      <c r="D363" s="16" t="s">
        <v>157</v>
      </c>
      <c r="E363" s="16">
        <v>3.85</v>
      </c>
    </row>
    <row r="364" spans="3:5" x14ac:dyDescent="0.25">
      <c r="C364" s="16">
        <v>196</v>
      </c>
      <c r="D364" s="16" t="s">
        <v>217</v>
      </c>
      <c r="E364" s="16">
        <v>4.21</v>
      </c>
    </row>
    <row r="365" spans="3:5" x14ac:dyDescent="0.25">
      <c r="C365" s="16">
        <v>197</v>
      </c>
      <c r="D365" s="16" t="s">
        <v>153</v>
      </c>
      <c r="E365" s="16">
        <v>3.85</v>
      </c>
    </row>
    <row r="366" spans="3:5" x14ac:dyDescent="0.25">
      <c r="C366" s="16">
        <v>198</v>
      </c>
      <c r="D366" s="16" t="s">
        <v>211</v>
      </c>
      <c r="E366" s="16">
        <v>3.85</v>
      </c>
    </row>
    <row r="367" spans="3:5" x14ac:dyDescent="0.25">
      <c r="C367" s="16">
        <v>199</v>
      </c>
      <c r="D367" s="16" t="s">
        <v>152</v>
      </c>
      <c r="E367" s="16">
        <v>3.85</v>
      </c>
    </row>
    <row r="368" spans="3:5" x14ac:dyDescent="0.25">
      <c r="C368" s="16">
        <v>200</v>
      </c>
      <c r="D368" s="16" t="s">
        <v>244</v>
      </c>
      <c r="E368" s="16">
        <v>3.85</v>
      </c>
    </row>
    <row r="369" spans="3:5" x14ac:dyDescent="0.25">
      <c r="C369" s="16">
        <v>201</v>
      </c>
      <c r="D369" s="16" t="s">
        <v>162</v>
      </c>
      <c r="E369" s="16">
        <v>3.85</v>
      </c>
    </row>
    <row r="370" spans="3:5" x14ac:dyDescent="0.25">
      <c r="C370" s="16">
        <v>202</v>
      </c>
      <c r="D370" s="16" t="s">
        <v>222</v>
      </c>
      <c r="E370" s="16">
        <v>3.85</v>
      </c>
    </row>
    <row r="371" spans="3:5" x14ac:dyDescent="0.25">
      <c r="C371" s="16">
        <v>203</v>
      </c>
      <c r="D371" s="16" t="s">
        <v>200</v>
      </c>
      <c r="E371" s="16">
        <v>3.85</v>
      </c>
    </row>
    <row r="372" spans="3:5" x14ac:dyDescent="0.25">
      <c r="C372" s="16">
        <v>204</v>
      </c>
      <c r="D372" s="16" t="s">
        <v>188</v>
      </c>
      <c r="E372" s="16">
        <v>3.85</v>
      </c>
    </row>
    <row r="373" spans="3:5" x14ac:dyDescent="0.25">
      <c r="C373" s="16">
        <v>205</v>
      </c>
      <c r="D373" s="16" t="s">
        <v>218</v>
      </c>
      <c r="E373" s="16">
        <v>3.85</v>
      </c>
    </row>
    <row r="374" spans="3:5" x14ac:dyDescent="0.25">
      <c r="C374" s="16">
        <v>206</v>
      </c>
      <c r="D374" s="16" t="s">
        <v>4</v>
      </c>
      <c r="E374" s="16">
        <v>4.21</v>
      </c>
    </row>
    <row r="375" spans="3:5" x14ac:dyDescent="0.25">
      <c r="C375" s="16">
        <v>207</v>
      </c>
      <c r="D375" s="16" t="s">
        <v>182</v>
      </c>
      <c r="E375" s="16">
        <v>4.21</v>
      </c>
    </row>
    <row r="376" spans="3:5" x14ac:dyDescent="0.25">
      <c r="C376" s="16">
        <v>208</v>
      </c>
      <c r="D376" s="16" t="s">
        <v>167</v>
      </c>
      <c r="E376" s="16">
        <v>3.85</v>
      </c>
    </row>
    <row r="377" spans="3:5" x14ac:dyDescent="0.25">
      <c r="C377" s="16">
        <v>209</v>
      </c>
      <c r="D377" s="16" t="s">
        <v>159</v>
      </c>
      <c r="E377" s="16">
        <v>3.85</v>
      </c>
    </row>
    <row r="378" spans="3:5" x14ac:dyDescent="0.25">
      <c r="C378" s="16">
        <v>210</v>
      </c>
      <c r="D378" s="16" t="s">
        <v>204</v>
      </c>
      <c r="E378" s="16">
        <v>3.85</v>
      </c>
    </row>
    <row r="379" spans="3:5" x14ac:dyDescent="0.25">
      <c r="C379" s="16">
        <v>211</v>
      </c>
      <c r="D379" s="16" t="s">
        <v>179</v>
      </c>
      <c r="E379" s="16">
        <v>3.85</v>
      </c>
    </row>
    <row r="380" spans="3:5" x14ac:dyDescent="0.25">
      <c r="C380" s="16">
        <v>212</v>
      </c>
      <c r="D380" s="16" t="s">
        <v>192</v>
      </c>
      <c r="E380" s="16">
        <v>4.57</v>
      </c>
    </row>
    <row r="381" spans="3:5" x14ac:dyDescent="0.25">
      <c r="C381" s="16">
        <v>213</v>
      </c>
      <c r="D381" s="16" t="s">
        <v>185</v>
      </c>
      <c r="E381" s="16">
        <v>3.85</v>
      </c>
    </row>
    <row r="382" spans="3:5" x14ac:dyDescent="0.25">
      <c r="C382" s="16">
        <v>214</v>
      </c>
      <c r="D382" s="16" t="s">
        <v>191</v>
      </c>
      <c r="E382" s="16">
        <v>3.85</v>
      </c>
    </row>
    <row r="383" spans="3:5" x14ac:dyDescent="0.25">
      <c r="C383" s="16">
        <v>215</v>
      </c>
      <c r="D383" s="16" t="s">
        <v>219</v>
      </c>
      <c r="E383" s="16">
        <v>3.85</v>
      </c>
    </row>
    <row r="384" spans="3:5" x14ac:dyDescent="0.25">
      <c r="C384" s="16">
        <v>216</v>
      </c>
      <c r="D384" s="16" t="s">
        <v>158</v>
      </c>
      <c r="E384" s="16">
        <v>3.85</v>
      </c>
    </row>
    <row r="385" spans="3:5" x14ac:dyDescent="0.25">
      <c r="C385" s="16">
        <v>217</v>
      </c>
      <c r="D385" s="16" t="s">
        <v>163</v>
      </c>
      <c r="E385" s="16">
        <v>3.85</v>
      </c>
    </row>
    <row r="386" spans="3:5" x14ac:dyDescent="0.25">
      <c r="C386" s="16">
        <v>218</v>
      </c>
      <c r="D386" s="16" t="s">
        <v>227</v>
      </c>
      <c r="E386" s="16">
        <v>3.85</v>
      </c>
    </row>
    <row r="387" spans="3:5" x14ac:dyDescent="0.25">
      <c r="C387" s="16">
        <v>219</v>
      </c>
      <c r="D387" s="16" t="s">
        <v>177</v>
      </c>
      <c r="E387" s="16">
        <v>3.85</v>
      </c>
    </row>
    <row r="388" spans="3:5" x14ac:dyDescent="0.25">
      <c r="C388" s="16">
        <v>220</v>
      </c>
      <c r="D388" s="16" t="s">
        <v>172</v>
      </c>
      <c r="E388" s="16">
        <v>3.85</v>
      </c>
    </row>
    <row r="389" spans="3:5" x14ac:dyDescent="0.25">
      <c r="C389" s="16">
        <v>221</v>
      </c>
      <c r="D389" s="16" t="s">
        <v>175</v>
      </c>
      <c r="E389" s="16">
        <v>3.85</v>
      </c>
    </row>
    <row r="390" spans="3:5" x14ac:dyDescent="0.25">
      <c r="C390" s="16">
        <v>222</v>
      </c>
      <c r="D390" s="16" t="s">
        <v>187</v>
      </c>
      <c r="E390" s="16">
        <v>3.85</v>
      </c>
    </row>
    <row r="391" spans="3:5" x14ac:dyDescent="0.25">
      <c r="C391" s="16">
        <v>223</v>
      </c>
      <c r="D391" s="16" t="s">
        <v>170</v>
      </c>
      <c r="E391" s="16">
        <v>5.28</v>
      </c>
    </row>
    <row r="392" spans="3:5" x14ac:dyDescent="0.25">
      <c r="C392" s="16">
        <v>224</v>
      </c>
      <c r="D392" s="16" t="s">
        <v>180</v>
      </c>
      <c r="E392" s="16">
        <v>5.01</v>
      </c>
    </row>
    <row r="393" spans="3:5" x14ac:dyDescent="0.25">
      <c r="C393" s="16">
        <v>225</v>
      </c>
      <c r="D393" s="16" t="s">
        <v>181</v>
      </c>
      <c r="E393" s="16">
        <v>3.85</v>
      </c>
    </row>
    <row r="394" spans="3:5" x14ac:dyDescent="0.25">
      <c r="C394" s="16">
        <v>226</v>
      </c>
      <c r="D394" s="16" t="s">
        <v>165</v>
      </c>
      <c r="E394" s="16">
        <v>3.85</v>
      </c>
    </row>
    <row r="395" spans="3:5" x14ac:dyDescent="0.25">
      <c r="C395" s="16">
        <v>227</v>
      </c>
      <c r="D395" s="16" t="s">
        <v>173</v>
      </c>
      <c r="E395" s="16">
        <v>3.85</v>
      </c>
    </row>
    <row r="396" spans="3:5" x14ac:dyDescent="0.25">
      <c r="C396" s="16">
        <v>228</v>
      </c>
      <c r="D396" s="16" t="s">
        <v>161</v>
      </c>
      <c r="E396" s="16">
        <v>3.85</v>
      </c>
    </row>
    <row r="397" spans="3:5" x14ac:dyDescent="0.25">
      <c r="C397" s="16">
        <v>229</v>
      </c>
      <c r="D397" s="16" t="s">
        <v>146</v>
      </c>
      <c r="E397" s="16">
        <v>3.85</v>
      </c>
    </row>
    <row r="398" spans="3:5" x14ac:dyDescent="0.25">
      <c r="C398" s="16">
        <v>230</v>
      </c>
      <c r="D398" s="16" t="s">
        <v>174</v>
      </c>
      <c r="E398" s="16">
        <v>3.85</v>
      </c>
    </row>
    <row r="399" spans="3:5" x14ac:dyDescent="0.25">
      <c r="C399" s="16">
        <v>231</v>
      </c>
      <c r="D399" s="16" t="s">
        <v>186</v>
      </c>
      <c r="E399" s="16">
        <v>3.85</v>
      </c>
    </row>
    <row r="400" spans="3:5" x14ac:dyDescent="0.25">
      <c r="C400" s="16">
        <v>232</v>
      </c>
      <c r="D400" s="16" t="s">
        <v>150</v>
      </c>
      <c r="E400" s="16">
        <v>3.85</v>
      </c>
    </row>
    <row r="401" spans="3:5" x14ac:dyDescent="0.25">
      <c r="C401" s="16">
        <v>233</v>
      </c>
      <c r="D401" s="16" t="s">
        <v>382</v>
      </c>
      <c r="E401" s="16">
        <v>4.21</v>
      </c>
    </row>
    <row r="402" spans="3:5" x14ac:dyDescent="0.25">
      <c r="C402" s="16">
        <v>234</v>
      </c>
      <c r="D402" s="16" t="s">
        <v>383</v>
      </c>
      <c r="E402" s="16">
        <v>4.21</v>
      </c>
    </row>
    <row r="403" spans="3:5" x14ac:dyDescent="0.25">
      <c r="C403" s="16">
        <v>235</v>
      </c>
      <c r="D403" s="16" t="s">
        <v>384</v>
      </c>
      <c r="E403" s="16">
        <v>3.85</v>
      </c>
    </row>
    <row r="404" spans="3:5" x14ac:dyDescent="0.25">
      <c r="C404" s="16">
        <v>236</v>
      </c>
      <c r="D404" s="16" t="s">
        <v>385</v>
      </c>
      <c r="E404" s="16">
        <v>4.6500000000000004</v>
      </c>
    </row>
    <row r="405" spans="3:5" x14ac:dyDescent="0.25">
      <c r="C405" s="16">
        <v>237</v>
      </c>
      <c r="D405" s="16" t="s">
        <v>386</v>
      </c>
      <c r="E405" s="16">
        <v>4.21</v>
      </c>
    </row>
    <row r="406" spans="3:5" x14ac:dyDescent="0.25">
      <c r="C406" s="16">
        <v>238</v>
      </c>
      <c r="D406" s="16" t="s">
        <v>387</v>
      </c>
      <c r="E406" s="16">
        <v>4.21</v>
      </c>
    </row>
    <row r="407" spans="3:5" x14ac:dyDescent="0.25">
      <c r="C407" s="16">
        <v>239</v>
      </c>
      <c r="D407" s="16" t="s">
        <v>388</v>
      </c>
      <c r="E407" s="16">
        <v>5.28</v>
      </c>
    </row>
    <row r="408" spans="3:5" x14ac:dyDescent="0.25">
      <c r="C408" s="16">
        <v>240</v>
      </c>
      <c r="D408" s="16" t="s">
        <v>389</v>
      </c>
      <c r="E408" s="16">
        <v>3.85</v>
      </c>
    </row>
    <row r="409" spans="3:5" x14ac:dyDescent="0.25">
      <c r="C409" s="16">
        <v>241</v>
      </c>
      <c r="D409" s="16" t="s">
        <v>390</v>
      </c>
      <c r="E409" s="16">
        <v>4.21</v>
      </c>
    </row>
    <row r="410" spans="3:5" x14ac:dyDescent="0.25">
      <c r="C410" s="16">
        <v>242</v>
      </c>
      <c r="D410" s="16" t="s">
        <v>391</v>
      </c>
      <c r="E410" s="16">
        <v>5.28</v>
      </c>
    </row>
    <row r="411" spans="3:5" x14ac:dyDescent="0.25">
      <c r="C411" s="16">
        <v>243</v>
      </c>
      <c r="D411" s="16" t="s">
        <v>392</v>
      </c>
      <c r="E411" s="16">
        <v>4.21</v>
      </c>
    </row>
    <row r="412" spans="3:5" x14ac:dyDescent="0.25">
      <c r="C412" s="16">
        <v>244</v>
      </c>
      <c r="D412" s="16" t="s">
        <v>393</v>
      </c>
      <c r="E412" s="16">
        <v>4.21</v>
      </c>
    </row>
    <row r="413" spans="3:5" x14ac:dyDescent="0.25">
      <c r="C413" s="16">
        <v>245</v>
      </c>
      <c r="D413" s="16" t="s">
        <v>394</v>
      </c>
      <c r="E413" s="16">
        <v>3.85</v>
      </c>
    </row>
    <row r="414" spans="3:5" x14ac:dyDescent="0.25">
      <c r="C414" s="16">
        <v>246</v>
      </c>
      <c r="D414" s="16" t="s">
        <v>395</v>
      </c>
      <c r="E414" s="16">
        <v>4.57</v>
      </c>
    </row>
    <row r="415" spans="3:5" x14ac:dyDescent="0.25">
      <c r="C415" s="16">
        <v>247</v>
      </c>
      <c r="D415" s="16" t="s">
        <v>396</v>
      </c>
      <c r="E415" s="16">
        <v>4.21</v>
      </c>
    </row>
    <row r="416" spans="3:5" x14ac:dyDescent="0.25">
      <c r="C416" s="16">
        <v>248</v>
      </c>
      <c r="D416" s="16" t="s">
        <v>397</v>
      </c>
      <c r="E416" s="16">
        <v>4.57</v>
      </c>
    </row>
    <row r="417" spans="3:5" x14ac:dyDescent="0.25">
      <c r="C417" s="16">
        <v>249</v>
      </c>
      <c r="D417" s="16" t="s">
        <v>398</v>
      </c>
      <c r="E417" s="16">
        <v>4.21</v>
      </c>
    </row>
    <row r="418" spans="3:5" x14ac:dyDescent="0.25">
      <c r="C418" s="16">
        <v>250</v>
      </c>
      <c r="D418" s="16" t="s">
        <v>399</v>
      </c>
      <c r="E418" s="16">
        <v>3.85</v>
      </c>
    </row>
    <row r="419" spans="3:5" x14ac:dyDescent="0.25">
      <c r="C419" s="16">
        <v>251</v>
      </c>
      <c r="D419" s="16" t="s">
        <v>400</v>
      </c>
      <c r="E419" s="16">
        <v>4.21</v>
      </c>
    </row>
    <row r="420" spans="3:5" x14ac:dyDescent="0.25">
      <c r="C420" s="16">
        <v>252</v>
      </c>
      <c r="D420" s="16" t="s">
        <v>401</v>
      </c>
      <c r="E420" s="16">
        <v>4.21</v>
      </c>
    </row>
    <row r="421" spans="3:5" x14ac:dyDescent="0.25">
      <c r="C421" s="16">
        <v>253</v>
      </c>
      <c r="D421" s="16" t="s">
        <v>402</v>
      </c>
      <c r="E421" s="16">
        <v>4.21</v>
      </c>
    </row>
    <row r="422" spans="3:5" x14ac:dyDescent="0.25">
      <c r="C422" s="16">
        <v>254</v>
      </c>
      <c r="D422" s="16" t="s">
        <v>403</v>
      </c>
      <c r="E422" s="16">
        <v>4.21</v>
      </c>
    </row>
    <row r="423" spans="3:5" x14ac:dyDescent="0.25">
      <c r="C423" s="16">
        <v>255</v>
      </c>
      <c r="D423" s="16" t="s">
        <v>404</v>
      </c>
      <c r="E423" s="16">
        <v>4.57</v>
      </c>
    </row>
    <row r="424" spans="3:5" x14ac:dyDescent="0.25">
      <c r="C424" s="16">
        <v>256</v>
      </c>
      <c r="D424" s="16" t="s">
        <v>405</v>
      </c>
      <c r="E424" s="16">
        <v>4.57</v>
      </c>
    </row>
    <row r="425" spans="3:5" x14ac:dyDescent="0.25">
      <c r="C425" s="16">
        <v>257</v>
      </c>
      <c r="D425" s="16" t="s">
        <v>406</v>
      </c>
      <c r="E425" s="16">
        <v>3.85</v>
      </c>
    </row>
    <row r="426" spans="3:5" x14ac:dyDescent="0.25">
      <c r="C426" s="16">
        <v>258</v>
      </c>
      <c r="D426" s="16" t="s">
        <v>407</v>
      </c>
      <c r="E426" s="16">
        <v>4.21</v>
      </c>
    </row>
    <row r="427" spans="3:5" x14ac:dyDescent="0.25">
      <c r="C427" s="16">
        <v>259</v>
      </c>
      <c r="D427" s="16" t="s">
        <v>408</v>
      </c>
      <c r="E427" s="16">
        <v>4.57</v>
      </c>
    </row>
    <row r="428" spans="3:5" x14ac:dyDescent="0.25">
      <c r="C428" s="16">
        <v>260</v>
      </c>
      <c r="D428" s="16" t="s">
        <v>412</v>
      </c>
      <c r="E428" s="16">
        <v>4.57</v>
      </c>
    </row>
    <row r="429" spans="3:5" x14ac:dyDescent="0.25">
      <c r="C429" s="16">
        <v>261</v>
      </c>
      <c r="D429" s="16" t="s">
        <v>413</v>
      </c>
      <c r="E429" s="16">
        <v>4.21</v>
      </c>
    </row>
    <row r="430" spans="3:5" x14ac:dyDescent="0.25">
      <c r="C430" s="16">
        <v>262</v>
      </c>
      <c r="D430" s="16" t="s">
        <v>414</v>
      </c>
      <c r="E430" s="16">
        <v>5.45</v>
      </c>
    </row>
    <row r="431" spans="3:5" x14ac:dyDescent="0.25">
      <c r="C431" s="16">
        <v>263</v>
      </c>
      <c r="D431" s="16" t="s">
        <v>415</v>
      </c>
      <c r="E431" s="16">
        <v>4.21</v>
      </c>
    </row>
    <row r="432" spans="3:5" x14ac:dyDescent="0.25">
      <c r="C432" s="16">
        <v>264</v>
      </c>
      <c r="D432" s="16" t="s">
        <v>416</v>
      </c>
      <c r="E432" s="16">
        <v>4.21</v>
      </c>
    </row>
    <row r="433" spans="3:5" x14ac:dyDescent="0.25">
      <c r="C433" s="16">
        <v>265</v>
      </c>
      <c r="D433" s="16" t="s">
        <v>417</v>
      </c>
      <c r="E433" s="16">
        <v>4.93</v>
      </c>
    </row>
    <row r="434" spans="3:5" x14ac:dyDescent="0.25">
      <c r="C434" s="16">
        <v>266</v>
      </c>
      <c r="D434" s="16" t="s">
        <v>418</v>
      </c>
      <c r="E434" s="16">
        <v>4.57</v>
      </c>
    </row>
    <row r="435" spans="3:5" x14ac:dyDescent="0.25">
      <c r="C435" s="16">
        <v>267</v>
      </c>
      <c r="D435" s="16" t="s">
        <v>419</v>
      </c>
      <c r="E435" s="16">
        <v>4.21</v>
      </c>
    </row>
    <row r="436" spans="3:5" x14ac:dyDescent="0.25">
      <c r="C436" s="16">
        <v>268</v>
      </c>
      <c r="D436" s="16" t="s">
        <v>420</v>
      </c>
      <c r="E436" s="16">
        <v>3.85</v>
      </c>
    </row>
    <row r="437" spans="3:5" x14ac:dyDescent="0.25">
      <c r="C437" s="16">
        <v>269</v>
      </c>
      <c r="D437" s="16" t="s">
        <v>421</v>
      </c>
      <c r="E437" s="16">
        <v>4.21</v>
      </c>
    </row>
    <row r="438" spans="3:5" x14ac:dyDescent="0.25">
      <c r="C438" s="16">
        <v>270</v>
      </c>
      <c r="D438" s="16" t="s">
        <v>422</v>
      </c>
      <c r="E438" s="16">
        <v>4.21</v>
      </c>
    </row>
    <row r="439" spans="3:5" x14ac:dyDescent="0.25">
      <c r="C439" s="16">
        <v>271</v>
      </c>
      <c r="D439" s="16" t="s">
        <v>423</v>
      </c>
      <c r="E439" s="16">
        <v>5.28</v>
      </c>
    </row>
    <row r="440" spans="3:5" x14ac:dyDescent="0.25">
      <c r="C440" s="16">
        <v>272</v>
      </c>
      <c r="D440" s="16" t="s">
        <v>424</v>
      </c>
      <c r="E440" s="16">
        <v>4.57</v>
      </c>
    </row>
    <row r="441" spans="3:5" x14ac:dyDescent="0.25">
      <c r="C441" s="16">
        <v>273</v>
      </c>
      <c r="D441" s="16" t="s">
        <v>425</v>
      </c>
      <c r="E441" s="16">
        <v>3.85</v>
      </c>
    </row>
    <row r="442" spans="3:5" x14ac:dyDescent="0.25">
      <c r="C442" s="16">
        <v>274</v>
      </c>
      <c r="D442" s="16" t="s">
        <v>426</v>
      </c>
      <c r="E442" s="16">
        <v>5.28</v>
      </c>
    </row>
    <row r="443" spans="3:5" x14ac:dyDescent="0.25">
      <c r="C443" s="16">
        <v>275</v>
      </c>
      <c r="D443" s="16" t="s">
        <v>427</v>
      </c>
      <c r="E443" s="16">
        <v>3.85</v>
      </c>
    </row>
    <row r="444" spans="3:5" x14ac:dyDescent="0.25">
      <c r="C444" s="16">
        <v>276</v>
      </c>
      <c r="D444" s="16" t="s">
        <v>428</v>
      </c>
      <c r="E444" s="16">
        <v>4.6500000000000004</v>
      </c>
    </row>
    <row r="445" spans="3:5" x14ac:dyDescent="0.25">
      <c r="C445" s="16">
        <v>277</v>
      </c>
      <c r="D445" s="16" t="s">
        <v>429</v>
      </c>
      <c r="E445" s="16">
        <v>3.85</v>
      </c>
    </row>
    <row r="446" spans="3:5" x14ac:dyDescent="0.25">
      <c r="C446" s="16">
        <v>278</v>
      </c>
      <c r="D446" s="16" t="s">
        <v>430</v>
      </c>
      <c r="E446" s="16">
        <v>3.85</v>
      </c>
    </row>
    <row r="447" spans="3:5" x14ac:dyDescent="0.25">
      <c r="C447" s="16">
        <v>279</v>
      </c>
      <c r="D447" s="16" t="s">
        <v>431</v>
      </c>
      <c r="E447" s="16">
        <v>3.85</v>
      </c>
    </row>
    <row r="448" spans="3:5" x14ac:dyDescent="0.25">
      <c r="C448" s="16">
        <v>280</v>
      </c>
      <c r="D448" s="16" t="s">
        <v>432</v>
      </c>
      <c r="E448" s="16">
        <v>3.85</v>
      </c>
    </row>
    <row r="449" spans="3:5" x14ac:dyDescent="0.25">
      <c r="C449" s="16">
        <v>281</v>
      </c>
      <c r="D449" s="16" t="s">
        <v>433</v>
      </c>
      <c r="E449" s="16">
        <v>4.6500000000000004</v>
      </c>
    </row>
    <row r="450" spans="3:5" x14ac:dyDescent="0.25">
      <c r="C450" s="16">
        <v>282</v>
      </c>
      <c r="D450" s="16" t="s">
        <v>434</v>
      </c>
      <c r="E450" s="16">
        <v>4.21</v>
      </c>
    </row>
    <row r="451" spans="3:5" x14ac:dyDescent="0.25">
      <c r="C451" s="16">
        <v>283</v>
      </c>
      <c r="D451" s="16" t="s">
        <v>435</v>
      </c>
      <c r="E451" s="16">
        <v>4.21</v>
      </c>
    </row>
    <row r="452" spans="3:5" x14ac:dyDescent="0.25">
      <c r="C452" s="16">
        <v>284</v>
      </c>
      <c r="D452" s="16" t="s">
        <v>436</v>
      </c>
      <c r="E452" s="16">
        <v>4.57</v>
      </c>
    </row>
    <row r="453" spans="3:5" x14ac:dyDescent="0.25">
      <c r="C453" s="16">
        <v>285</v>
      </c>
      <c r="D453" s="16" t="s">
        <v>437</v>
      </c>
      <c r="E453" s="16">
        <v>4.57</v>
      </c>
    </row>
    <row r="454" spans="3:5" x14ac:dyDescent="0.25">
      <c r="C454" s="16">
        <v>286</v>
      </c>
      <c r="D454" s="16" t="s">
        <v>438</v>
      </c>
      <c r="E454" s="16">
        <v>4.21</v>
      </c>
    </row>
    <row r="455" spans="3:5" x14ac:dyDescent="0.25">
      <c r="C455" s="16">
        <v>287</v>
      </c>
      <c r="D455" s="16" t="s">
        <v>439</v>
      </c>
      <c r="E455" s="16">
        <v>5.01</v>
      </c>
    </row>
    <row r="456" spans="3:5" x14ac:dyDescent="0.25">
      <c r="C456" s="16">
        <v>288</v>
      </c>
      <c r="D456" s="16" t="s">
        <v>440</v>
      </c>
      <c r="E456" s="16">
        <v>4.57</v>
      </c>
    </row>
    <row r="457" spans="3:5" x14ac:dyDescent="0.25">
      <c r="C457" s="16">
        <v>289</v>
      </c>
      <c r="D457" s="16" t="s">
        <v>441</v>
      </c>
      <c r="E457" s="16">
        <v>5.64</v>
      </c>
    </row>
    <row r="458" spans="3:5" x14ac:dyDescent="0.25">
      <c r="C458" s="16">
        <v>290</v>
      </c>
      <c r="D458" s="16" t="s">
        <v>442</v>
      </c>
      <c r="E458" s="16">
        <v>4.57</v>
      </c>
    </row>
    <row r="459" spans="3:5" x14ac:dyDescent="0.25">
      <c r="C459" s="16">
        <v>291</v>
      </c>
      <c r="D459" s="16" t="s">
        <v>443</v>
      </c>
      <c r="E459" s="16">
        <v>4.57</v>
      </c>
    </row>
    <row r="460" spans="3:5" x14ac:dyDescent="0.25">
      <c r="C460" s="16">
        <v>292</v>
      </c>
      <c r="D460" s="16" t="s">
        <v>444</v>
      </c>
      <c r="E460" s="16">
        <v>4.21</v>
      </c>
    </row>
    <row r="461" spans="3:5" x14ac:dyDescent="0.25">
      <c r="C461" s="16">
        <v>293</v>
      </c>
      <c r="D461" s="16" t="s">
        <v>445</v>
      </c>
      <c r="E461" s="16">
        <v>4.21</v>
      </c>
    </row>
    <row r="462" spans="3:5" x14ac:dyDescent="0.25">
      <c r="C462" s="16">
        <v>294</v>
      </c>
      <c r="D462" s="16" t="s">
        <v>446</v>
      </c>
      <c r="E462" s="16">
        <v>4.21</v>
      </c>
    </row>
    <row r="463" spans="3:5" x14ac:dyDescent="0.25">
      <c r="C463" s="16">
        <v>295</v>
      </c>
      <c r="D463" s="16" t="s">
        <v>447</v>
      </c>
      <c r="E463" s="16">
        <v>4.21</v>
      </c>
    </row>
    <row r="466" spans="3:5" x14ac:dyDescent="0.25">
      <c r="C466" s="16">
        <v>298</v>
      </c>
      <c r="D466" s="16" t="s">
        <v>448</v>
      </c>
      <c r="E466" s="16">
        <v>4.57</v>
      </c>
    </row>
    <row r="467" spans="3:5" x14ac:dyDescent="0.25">
      <c r="C467" s="16">
        <v>299</v>
      </c>
      <c r="D467" s="16" t="s">
        <v>449</v>
      </c>
      <c r="E467" s="16">
        <v>3.85</v>
      </c>
    </row>
    <row r="468" spans="3:5" x14ac:dyDescent="0.25">
      <c r="C468" s="16">
        <v>300</v>
      </c>
      <c r="D468" s="16" t="s">
        <v>450</v>
      </c>
      <c r="E468" s="16">
        <v>3.85</v>
      </c>
    </row>
    <row r="469" spans="3:5" x14ac:dyDescent="0.25">
      <c r="C469" s="16">
        <v>301</v>
      </c>
      <c r="D469" s="16" t="s">
        <v>451</v>
      </c>
      <c r="E469" s="16">
        <v>3.85</v>
      </c>
    </row>
    <row r="470" spans="3:5" x14ac:dyDescent="0.25">
      <c r="C470" s="16">
        <v>302</v>
      </c>
      <c r="D470" s="16" t="s">
        <v>452</v>
      </c>
      <c r="E470" s="16">
        <v>4.57</v>
      </c>
    </row>
    <row r="471" spans="3:5" x14ac:dyDescent="0.25">
      <c r="C471" s="16">
        <v>303</v>
      </c>
      <c r="D471" s="16" t="s">
        <v>453</v>
      </c>
      <c r="E471" s="16">
        <v>4.21</v>
      </c>
    </row>
    <row r="472" spans="3:5" x14ac:dyDescent="0.25">
      <c r="C472" s="16">
        <v>304</v>
      </c>
      <c r="D472" s="16" t="s">
        <v>454</v>
      </c>
      <c r="E472" s="16">
        <v>4.21</v>
      </c>
    </row>
    <row r="473" spans="3:5" x14ac:dyDescent="0.25">
      <c r="C473" s="16">
        <v>305</v>
      </c>
      <c r="D473" s="16" t="s">
        <v>455</v>
      </c>
      <c r="E473" s="16">
        <v>4.93</v>
      </c>
    </row>
    <row r="474" spans="3:5" x14ac:dyDescent="0.25">
      <c r="C474" s="16">
        <v>306</v>
      </c>
      <c r="D474" s="16" t="s">
        <v>456</v>
      </c>
      <c r="E474" s="16">
        <v>4.21</v>
      </c>
    </row>
    <row r="475" spans="3:5" x14ac:dyDescent="0.25">
      <c r="C475" s="16">
        <v>307</v>
      </c>
      <c r="D475" s="16" t="s">
        <v>457</v>
      </c>
      <c r="E475" s="16">
        <v>4.93</v>
      </c>
    </row>
    <row r="476" spans="3:5" x14ac:dyDescent="0.25">
      <c r="C476" s="16">
        <v>308</v>
      </c>
      <c r="D476" s="16" t="s">
        <v>458</v>
      </c>
      <c r="E476" s="16">
        <v>6.71</v>
      </c>
    </row>
    <row r="477" spans="3:5" x14ac:dyDescent="0.25">
      <c r="C477" s="16">
        <v>309</v>
      </c>
      <c r="D477" s="16" t="s">
        <v>459</v>
      </c>
      <c r="E477" s="16">
        <v>5.64</v>
      </c>
    </row>
    <row r="478" spans="3:5" x14ac:dyDescent="0.25">
      <c r="C478" s="16">
        <v>310</v>
      </c>
      <c r="D478" s="16" t="s">
        <v>460</v>
      </c>
      <c r="E478" s="16">
        <v>4.21</v>
      </c>
    </row>
    <row r="479" spans="3:5" x14ac:dyDescent="0.25">
      <c r="C479" s="16">
        <v>311</v>
      </c>
      <c r="D479" s="16" t="s">
        <v>461</v>
      </c>
      <c r="E479" s="16">
        <v>3.85</v>
      </c>
    </row>
    <row r="480" spans="3:5" x14ac:dyDescent="0.25">
      <c r="C480" s="16">
        <v>312</v>
      </c>
      <c r="D480" s="16" t="s">
        <v>462</v>
      </c>
      <c r="E480" s="16">
        <v>4.21</v>
      </c>
    </row>
    <row r="481" spans="3:5" x14ac:dyDescent="0.25">
      <c r="C481" s="16">
        <v>313</v>
      </c>
      <c r="D481" s="16" t="s">
        <v>463</v>
      </c>
      <c r="E481" s="16">
        <v>3.85</v>
      </c>
    </row>
    <row r="482" spans="3:5" x14ac:dyDescent="0.25">
      <c r="C482" s="16">
        <v>314</v>
      </c>
      <c r="D482" s="16" t="s">
        <v>464</v>
      </c>
      <c r="E482" s="16">
        <v>6.08</v>
      </c>
    </row>
    <row r="483" spans="3:5" x14ac:dyDescent="0.25">
      <c r="C483" s="16">
        <v>315</v>
      </c>
      <c r="D483" s="16" t="s">
        <v>465</v>
      </c>
      <c r="E483" s="16">
        <v>4.21</v>
      </c>
    </row>
    <row r="484" spans="3:5" x14ac:dyDescent="0.25">
      <c r="C484" s="16">
        <v>316</v>
      </c>
      <c r="D484" s="16" t="s">
        <v>466</v>
      </c>
      <c r="E484" s="16">
        <v>5.01</v>
      </c>
    </row>
    <row r="485" spans="3:5" x14ac:dyDescent="0.25">
      <c r="C485" s="16">
        <v>317</v>
      </c>
      <c r="D485" s="16" t="s">
        <v>467</v>
      </c>
      <c r="E485" s="16">
        <v>4.21</v>
      </c>
    </row>
    <row r="486" spans="3:5" x14ac:dyDescent="0.25">
      <c r="C486" s="16">
        <v>318</v>
      </c>
      <c r="D486" s="16" t="s">
        <v>468</v>
      </c>
      <c r="E486" s="16">
        <v>4.21</v>
      </c>
    </row>
    <row r="487" spans="3:5" x14ac:dyDescent="0.25">
      <c r="C487" s="16">
        <v>319</v>
      </c>
      <c r="D487" s="16" t="s">
        <v>469</v>
      </c>
      <c r="E487" s="16">
        <v>4.57</v>
      </c>
    </row>
    <row r="488" spans="3:5" x14ac:dyDescent="0.25">
      <c r="C488" s="16">
        <v>320</v>
      </c>
      <c r="D488" s="16" t="s">
        <v>471</v>
      </c>
      <c r="E488" s="16">
        <v>4.21</v>
      </c>
    </row>
    <row r="489" spans="3:5" x14ac:dyDescent="0.25">
      <c r="C489" s="16">
        <v>321</v>
      </c>
      <c r="D489" s="16" t="s">
        <v>472</v>
      </c>
      <c r="E489" s="16">
        <v>3.85</v>
      </c>
    </row>
    <row r="490" spans="3:5" x14ac:dyDescent="0.25">
      <c r="C490" s="16">
        <v>322</v>
      </c>
      <c r="D490" s="16" t="s">
        <v>473</v>
      </c>
      <c r="E490" s="16">
        <v>4.93</v>
      </c>
    </row>
    <row r="491" spans="3:5" x14ac:dyDescent="0.25">
      <c r="C491" s="16">
        <v>323</v>
      </c>
      <c r="D491" s="16" t="s">
        <v>474</v>
      </c>
      <c r="E491" s="16">
        <v>4.21</v>
      </c>
    </row>
    <row r="492" spans="3:5" x14ac:dyDescent="0.25">
      <c r="C492" s="16">
        <v>324</v>
      </c>
      <c r="D492" s="16" t="s">
        <v>475</v>
      </c>
      <c r="E492" s="16">
        <v>4.6500000000000004</v>
      </c>
    </row>
    <row r="493" spans="3:5" x14ac:dyDescent="0.25">
      <c r="C493" s="16">
        <v>325</v>
      </c>
      <c r="D493" s="16" t="s">
        <v>476</v>
      </c>
      <c r="E493" s="16">
        <v>4.6500000000000004</v>
      </c>
    </row>
    <row r="494" spans="3:5" x14ac:dyDescent="0.25">
      <c r="C494" s="16">
        <v>326</v>
      </c>
      <c r="D494" s="16" t="s">
        <v>477</v>
      </c>
      <c r="E494" s="16">
        <v>4.21</v>
      </c>
    </row>
    <row r="495" spans="3:5" x14ac:dyDescent="0.25">
      <c r="C495" s="16">
        <v>327</v>
      </c>
      <c r="D495" s="16" t="s">
        <v>478</v>
      </c>
      <c r="E495" s="16">
        <v>4.21</v>
      </c>
    </row>
    <row r="496" spans="3:5" x14ac:dyDescent="0.25">
      <c r="C496" s="16">
        <v>328</v>
      </c>
      <c r="D496" s="16" t="s">
        <v>479</v>
      </c>
      <c r="E496" s="16">
        <v>3.85</v>
      </c>
    </row>
    <row r="497" spans="3:5" x14ac:dyDescent="0.25">
      <c r="C497" s="16">
        <v>329</v>
      </c>
      <c r="D497" s="16" t="s">
        <v>480</v>
      </c>
      <c r="E497" s="16">
        <v>3.85</v>
      </c>
    </row>
    <row r="498" spans="3:5" x14ac:dyDescent="0.25">
      <c r="C498" s="16">
        <v>330</v>
      </c>
      <c r="D498" s="16" t="s">
        <v>481</v>
      </c>
      <c r="E498" s="16">
        <v>4.21</v>
      </c>
    </row>
    <row r="499" spans="3:5" x14ac:dyDescent="0.25">
      <c r="C499" s="16">
        <v>331</v>
      </c>
      <c r="D499" s="16" t="s">
        <v>482</v>
      </c>
      <c r="E499" s="16">
        <v>4.6500000000000004</v>
      </c>
    </row>
    <row r="500" spans="3:5" x14ac:dyDescent="0.25">
      <c r="C500" s="16">
        <v>332</v>
      </c>
      <c r="D500" s="16" t="s">
        <v>483</v>
      </c>
      <c r="E500" s="16">
        <v>4.21</v>
      </c>
    </row>
    <row r="501" spans="3:5" x14ac:dyDescent="0.25">
      <c r="C501" s="16">
        <v>333</v>
      </c>
      <c r="D501" s="16" t="s">
        <v>484</v>
      </c>
      <c r="E501" s="16">
        <v>4.21</v>
      </c>
    </row>
    <row r="502" spans="3:5" x14ac:dyDescent="0.25">
      <c r="C502" s="16">
        <v>334</v>
      </c>
      <c r="D502" s="16" t="s">
        <v>485</v>
      </c>
      <c r="E502" s="16">
        <v>4.57</v>
      </c>
    </row>
    <row r="503" spans="3:5" x14ac:dyDescent="0.25">
      <c r="C503" s="16">
        <v>335</v>
      </c>
      <c r="D503" s="16" t="s">
        <v>486</v>
      </c>
      <c r="E503" s="16">
        <v>4.21</v>
      </c>
    </row>
    <row r="504" spans="3:5" x14ac:dyDescent="0.25">
      <c r="C504" s="16">
        <v>336</v>
      </c>
      <c r="D504" s="16" t="s">
        <v>487</v>
      </c>
      <c r="E504" s="16">
        <v>4.21</v>
      </c>
    </row>
    <row r="505" spans="3:5" x14ac:dyDescent="0.25">
      <c r="C505" s="16">
        <v>337</v>
      </c>
      <c r="D505" s="16" t="s">
        <v>488</v>
      </c>
      <c r="E505" s="16">
        <v>4.21</v>
      </c>
    </row>
    <row r="506" spans="3:5" x14ac:dyDescent="0.25">
      <c r="C506" s="16">
        <v>338</v>
      </c>
      <c r="D506" s="16" t="s">
        <v>489</v>
      </c>
      <c r="E506" s="16">
        <v>4.21</v>
      </c>
    </row>
    <row r="507" spans="3:5" x14ac:dyDescent="0.25">
      <c r="C507" s="16">
        <v>339</v>
      </c>
      <c r="D507" s="16" t="s">
        <v>490</v>
      </c>
      <c r="E507" s="16">
        <v>3.85</v>
      </c>
    </row>
    <row r="508" spans="3:5" x14ac:dyDescent="0.25">
      <c r="C508" s="16">
        <v>340</v>
      </c>
      <c r="D508" s="16" t="s">
        <v>491</v>
      </c>
      <c r="E508" s="16">
        <v>4.6500000000000004</v>
      </c>
    </row>
    <row r="509" spans="3:5" x14ac:dyDescent="0.25">
      <c r="C509" s="16">
        <v>341</v>
      </c>
      <c r="D509" s="16" t="s">
        <v>492</v>
      </c>
      <c r="E509" s="16">
        <v>4.21</v>
      </c>
    </row>
    <row r="510" spans="3:5" x14ac:dyDescent="0.25">
      <c r="C510" s="16">
        <v>342</v>
      </c>
      <c r="D510" s="16" t="s">
        <v>493</v>
      </c>
      <c r="E510" s="16">
        <v>4.21</v>
      </c>
    </row>
    <row r="511" spans="3:5" x14ac:dyDescent="0.25">
      <c r="C511" s="16">
        <v>343</v>
      </c>
      <c r="D511" s="16" t="s">
        <v>494</v>
      </c>
      <c r="E511" s="16">
        <v>3.85</v>
      </c>
    </row>
    <row r="512" spans="3:5" x14ac:dyDescent="0.25">
      <c r="C512" s="16">
        <v>344</v>
      </c>
      <c r="D512" s="16" t="s">
        <v>495</v>
      </c>
      <c r="E512" s="16">
        <v>4.21</v>
      </c>
    </row>
    <row r="513" spans="3:5" x14ac:dyDescent="0.25">
      <c r="C513" s="16">
        <v>345</v>
      </c>
      <c r="D513" s="16" t="s">
        <v>496</v>
      </c>
      <c r="E513" s="16">
        <v>3.85</v>
      </c>
    </row>
    <row r="514" spans="3:5" x14ac:dyDescent="0.25">
      <c r="C514" s="16">
        <v>346</v>
      </c>
      <c r="D514" s="16" t="s">
        <v>497</v>
      </c>
      <c r="E514" s="16">
        <v>3.85</v>
      </c>
    </row>
    <row r="515" spans="3:5" x14ac:dyDescent="0.25">
      <c r="C515" s="16">
        <v>347</v>
      </c>
      <c r="D515" s="16" t="s">
        <v>498</v>
      </c>
      <c r="E515" s="16">
        <v>4.21</v>
      </c>
    </row>
    <row r="516" spans="3:5" x14ac:dyDescent="0.25">
      <c r="C516" s="16">
        <v>348</v>
      </c>
      <c r="D516" s="16" t="s">
        <v>499</v>
      </c>
      <c r="E516" s="16">
        <v>3.85</v>
      </c>
    </row>
    <row r="517" spans="3:5" x14ac:dyDescent="0.25">
      <c r="C517" s="16">
        <v>349</v>
      </c>
      <c r="D517" s="16" t="s">
        <v>500</v>
      </c>
      <c r="E517" s="16">
        <v>3.85</v>
      </c>
    </row>
    <row r="518" spans="3:5" x14ac:dyDescent="0.25">
      <c r="C518" s="16">
        <v>350</v>
      </c>
      <c r="D518" s="16" t="s">
        <v>501</v>
      </c>
      <c r="E518" s="16">
        <v>4.21</v>
      </c>
    </row>
    <row r="519" spans="3:5" x14ac:dyDescent="0.25">
      <c r="C519" s="16">
        <v>351</v>
      </c>
      <c r="D519" s="16" t="s">
        <v>502</v>
      </c>
      <c r="E519" s="16">
        <v>3.85</v>
      </c>
    </row>
    <row r="520" spans="3:5" x14ac:dyDescent="0.25">
      <c r="C520" s="16">
        <v>352</v>
      </c>
      <c r="D520" s="16" t="s">
        <v>503</v>
      </c>
      <c r="E520" s="16">
        <v>3.85</v>
      </c>
    </row>
    <row r="521" spans="3:5" x14ac:dyDescent="0.25">
      <c r="C521" s="16">
        <v>353</v>
      </c>
      <c r="D521" s="16" t="s">
        <v>504</v>
      </c>
      <c r="E521" s="16">
        <v>3.85</v>
      </c>
    </row>
    <row r="522" spans="3:5" x14ac:dyDescent="0.25">
      <c r="C522" s="16">
        <v>354</v>
      </c>
      <c r="D522" s="16" t="s">
        <v>505</v>
      </c>
      <c r="E522" s="16">
        <v>4.21</v>
      </c>
    </row>
    <row r="523" spans="3:5" x14ac:dyDescent="0.25">
      <c r="C523" s="16">
        <v>355</v>
      </c>
      <c r="D523" s="16" t="s">
        <v>506</v>
      </c>
      <c r="E523" s="16">
        <v>5.01</v>
      </c>
    </row>
    <row r="524" spans="3:5" x14ac:dyDescent="0.25">
      <c r="C524" s="16">
        <v>356</v>
      </c>
      <c r="D524" s="16" t="s">
        <v>507</v>
      </c>
      <c r="E524" s="16">
        <v>4.57</v>
      </c>
    </row>
    <row r="525" spans="3:5" x14ac:dyDescent="0.25">
      <c r="C525" s="16">
        <v>357</v>
      </c>
      <c r="D525" s="16" t="s">
        <v>508</v>
      </c>
      <c r="E525" s="16">
        <v>6.08</v>
      </c>
    </row>
    <row r="526" spans="3:5" x14ac:dyDescent="0.25">
      <c r="C526" s="16">
        <v>358</v>
      </c>
      <c r="D526" s="16" t="s">
        <v>509</v>
      </c>
      <c r="E526" s="16">
        <v>4.21</v>
      </c>
    </row>
    <row r="527" spans="3:5" x14ac:dyDescent="0.25">
      <c r="C527" s="16">
        <v>359</v>
      </c>
      <c r="D527" s="16" t="s">
        <v>510</v>
      </c>
      <c r="E527" s="16">
        <v>4.57</v>
      </c>
    </row>
    <row r="528" spans="3:5" x14ac:dyDescent="0.25">
      <c r="C528" s="16">
        <v>360</v>
      </c>
      <c r="D528" s="16" t="s">
        <v>511</v>
      </c>
      <c r="E528" s="16">
        <v>3.85</v>
      </c>
    </row>
    <row r="529" spans="3:5" x14ac:dyDescent="0.25">
      <c r="C529" s="16">
        <v>361</v>
      </c>
      <c r="D529" s="16" t="s">
        <v>512</v>
      </c>
      <c r="E529" s="16">
        <v>4.21</v>
      </c>
    </row>
    <row r="530" spans="3:5" x14ac:dyDescent="0.25">
      <c r="C530" s="16">
        <v>362</v>
      </c>
      <c r="D530" s="16" t="s">
        <v>513</v>
      </c>
      <c r="E530" s="16">
        <v>4.21</v>
      </c>
    </row>
    <row r="531" spans="3:5" x14ac:dyDescent="0.25">
      <c r="C531" s="16">
        <v>363</v>
      </c>
      <c r="D531" s="16" t="s">
        <v>514</v>
      </c>
      <c r="E531" s="16">
        <v>4.21</v>
      </c>
    </row>
    <row r="532" spans="3:5" x14ac:dyDescent="0.25">
      <c r="C532" s="16">
        <v>364</v>
      </c>
      <c r="D532" s="16" t="s">
        <v>515</v>
      </c>
      <c r="E532" s="16">
        <v>4.21</v>
      </c>
    </row>
    <row r="533" spans="3:5" x14ac:dyDescent="0.25">
      <c r="C533" s="16">
        <v>365</v>
      </c>
      <c r="D533" s="16" t="s">
        <v>516</v>
      </c>
      <c r="E533" s="16">
        <v>3.85</v>
      </c>
    </row>
    <row r="534" spans="3:5" x14ac:dyDescent="0.25">
      <c r="C534" s="16">
        <v>366</v>
      </c>
      <c r="D534" s="16" t="s">
        <v>517</v>
      </c>
      <c r="E534" s="16">
        <v>4.6500000000000004</v>
      </c>
    </row>
    <row r="535" spans="3:5" x14ac:dyDescent="0.25">
      <c r="C535" s="16">
        <v>367</v>
      </c>
      <c r="D535" s="16" t="s">
        <v>518</v>
      </c>
      <c r="E535" s="16">
        <v>4.21</v>
      </c>
    </row>
    <row r="536" spans="3:5" x14ac:dyDescent="0.25">
      <c r="C536" s="16">
        <v>368</v>
      </c>
      <c r="D536" s="16" t="s">
        <v>519</v>
      </c>
      <c r="E536" s="16">
        <v>3.85</v>
      </c>
    </row>
    <row r="537" spans="3:5" x14ac:dyDescent="0.25">
      <c r="C537" s="16">
        <v>369</v>
      </c>
      <c r="D537" s="16" t="s">
        <v>520</v>
      </c>
      <c r="E537" s="16">
        <v>5.01</v>
      </c>
    </row>
    <row r="538" spans="3:5" x14ac:dyDescent="0.25">
      <c r="C538" s="16">
        <v>370</v>
      </c>
      <c r="D538" s="16" t="s">
        <v>521</v>
      </c>
      <c r="E538" s="16">
        <v>4.21</v>
      </c>
    </row>
    <row r="539" spans="3:5" x14ac:dyDescent="0.25">
      <c r="C539" s="16">
        <v>371</v>
      </c>
      <c r="D539" s="16" t="s">
        <v>522</v>
      </c>
      <c r="E539" s="16">
        <v>3.85</v>
      </c>
    </row>
    <row r="540" spans="3:5" x14ac:dyDescent="0.25">
      <c r="C540" s="16">
        <v>372</v>
      </c>
      <c r="D540" s="16" t="s">
        <v>523</v>
      </c>
      <c r="E540" s="16">
        <v>3.85</v>
      </c>
    </row>
    <row r="541" spans="3:5" x14ac:dyDescent="0.25">
      <c r="C541" s="16">
        <v>373</v>
      </c>
      <c r="D541" s="16" t="s">
        <v>524</v>
      </c>
      <c r="E541" s="16">
        <v>3.85</v>
      </c>
    </row>
    <row r="542" spans="3:5" x14ac:dyDescent="0.25">
      <c r="C542" s="16">
        <v>374</v>
      </c>
      <c r="D542" s="16" t="s">
        <v>525</v>
      </c>
      <c r="E542" s="16">
        <v>4.21</v>
      </c>
    </row>
    <row r="543" spans="3:5" x14ac:dyDescent="0.25">
      <c r="C543" s="16">
        <v>375</v>
      </c>
      <c r="D543" s="16" t="s">
        <v>526</v>
      </c>
      <c r="E543" s="16">
        <v>5.45</v>
      </c>
    </row>
    <row r="544" spans="3:5" x14ac:dyDescent="0.25">
      <c r="C544" s="16">
        <v>376</v>
      </c>
      <c r="D544" s="16" t="s">
        <v>527</v>
      </c>
      <c r="E544" s="16">
        <v>4.21</v>
      </c>
    </row>
    <row r="545" spans="3:5" x14ac:dyDescent="0.25">
      <c r="C545" s="16">
        <v>377</v>
      </c>
      <c r="D545" s="16" t="s">
        <v>528</v>
      </c>
      <c r="E545" s="16">
        <v>4.21</v>
      </c>
    </row>
    <row r="546" spans="3:5" x14ac:dyDescent="0.25">
      <c r="C546" s="16">
        <v>378</v>
      </c>
      <c r="D546" s="16" t="s">
        <v>529</v>
      </c>
      <c r="E546" s="16">
        <v>4.21</v>
      </c>
    </row>
    <row r="547" spans="3:5" x14ac:dyDescent="0.25">
      <c r="C547" s="16">
        <v>379</v>
      </c>
      <c r="D547" s="16" t="s">
        <v>530</v>
      </c>
      <c r="E547" s="16">
        <v>3.85</v>
      </c>
    </row>
    <row r="548" spans="3:5" x14ac:dyDescent="0.25">
      <c r="C548" s="16">
        <v>380</v>
      </c>
      <c r="D548" s="16" t="s">
        <v>531</v>
      </c>
      <c r="E548" s="16">
        <v>4.21</v>
      </c>
    </row>
    <row r="549" spans="3:5" x14ac:dyDescent="0.25">
      <c r="C549" s="16">
        <v>381</v>
      </c>
      <c r="D549" s="16" t="s">
        <v>532</v>
      </c>
      <c r="E549" s="16">
        <v>4.21</v>
      </c>
    </row>
    <row r="550" spans="3:5" x14ac:dyDescent="0.25">
      <c r="C550" s="16">
        <v>382</v>
      </c>
      <c r="D550" s="16" t="s">
        <v>533</v>
      </c>
      <c r="E550" s="16">
        <v>5.28</v>
      </c>
    </row>
    <row r="551" spans="3:5" x14ac:dyDescent="0.25">
      <c r="C551" s="16">
        <v>383</v>
      </c>
      <c r="D551" s="16" t="s">
        <v>534</v>
      </c>
      <c r="E551" s="16">
        <v>4.21</v>
      </c>
    </row>
    <row r="552" spans="3:5" x14ac:dyDescent="0.25">
      <c r="C552" s="16">
        <v>384</v>
      </c>
      <c r="D552" s="16" t="s">
        <v>535</v>
      </c>
      <c r="E552" s="16">
        <v>4.57</v>
      </c>
    </row>
    <row r="553" spans="3:5" x14ac:dyDescent="0.25">
      <c r="C553" s="16">
        <v>385</v>
      </c>
      <c r="D553" s="16" t="s">
        <v>536</v>
      </c>
      <c r="E553" s="16">
        <v>5.64</v>
      </c>
    </row>
    <row r="554" spans="3:5" x14ac:dyDescent="0.25">
      <c r="C554" s="16">
        <v>386</v>
      </c>
      <c r="D554" s="16" t="s">
        <v>537</v>
      </c>
      <c r="E554" s="16">
        <v>3.85</v>
      </c>
    </row>
    <row r="555" spans="3:5" x14ac:dyDescent="0.25">
      <c r="C555" s="16">
        <v>387</v>
      </c>
      <c r="D555" s="16" t="s">
        <v>538</v>
      </c>
      <c r="E555" s="16">
        <v>4.57</v>
      </c>
    </row>
    <row r="556" spans="3:5" x14ac:dyDescent="0.25">
      <c r="C556" s="16">
        <v>388</v>
      </c>
      <c r="D556" s="16" t="s">
        <v>539</v>
      </c>
      <c r="E556" s="16">
        <v>4.21</v>
      </c>
    </row>
    <row r="557" spans="3:5" x14ac:dyDescent="0.25">
      <c r="C557" s="16">
        <v>389</v>
      </c>
      <c r="D557" s="16" t="s">
        <v>540</v>
      </c>
      <c r="E557" s="16">
        <v>3.85</v>
      </c>
    </row>
    <row r="558" spans="3:5" x14ac:dyDescent="0.25">
      <c r="C558" s="16">
        <v>390</v>
      </c>
      <c r="D558" s="16" t="s">
        <v>541</v>
      </c>
      <c r="E558" s="16">
        <v>3.85</v>
      </c>
    </row>
    <row r="559" spans="3:5" x14ac:dyDescent="0.25">
      <c r="C559" s="16">
        <v>391</v>
      </c>
      <c r="D559" s="16" t="s">
        <v>542</v>
      </c>
      <c r="E559" s="16">
        <v>3.85</v>
      </c>
    </row>
    <row r="560" spans="3:5" x14ac:dyDescent="0.25">
      <c r="C560" s="16">
        <v>392</v>
      </c>
      <c r="D560" s="16" t="s">
        <v>543</v>
      </c>
      <c r="E560" s="16">
        <v>4.6500000000000004</v>
      </c>
    </row>
    <row r="561" spans="3:5" x14ac:dyDescent="0.25">
      <c r="C561" s="16">
        <v>393</v>
      </c>
      <c r="D561" s="16" t="s">
        <v>544</v>
      </c>
      <c r="E561" s="16">
        <v>5.01</v>
      </c>
    </row>
    <row r="562" spans="3:5" x14ac:dyDescent="0.25">
      <c r="C562" s="16">
        <v>394</v>
      </c>
      <c r="D562" s="16" t="s">
        <v>545</v>
      </c>
      <c r="E562" s="16">
        <v>3.85</v>
      </c>
    </row>
    <row r="563" spans="3:5" x14ac:dyDescent="0.25">
      <c r="C563" s="16">
        <v>395</v>
      </c>
      <c r="D563" s="16" t="s">
        <v>546</v>
      </c>
      <c r="E563" s="16">
        <v>3.85</v>
      </c>
    </row>
    <row r="564" spans="3:5" x14ac:dyDescent="0.25">
      <c r="C564" s="16">
        <v>396</v>
      </c>
      <c r="D564" s="16" t="s">
        <v>547</v>
      </c>
      <c r="E564" s="16">
        <v>3.85</v>
      </c>
    </row>
    <row r="565" spans="3:5" x14ac:dyDescent="0.25">
      <c r="C565" s="16">
        <v>397</v>
      </c>
      <c r="D565" s="16" t="s">
        <v>548</v>
      </c>
      <c r="E565" s="16">
        <v>3.85</v>
      </c>
    </row>
    <row r="566" spans="3:5" x14ac:dyDescent="0.25">
      <c r="C566" s="16">
        <v>398</v>
      </c>
      <c r="D566" s="16" t="s">
        <v>549</v>
      </c>
      <c r="E566" s="16">
        <v>3.85</v>
      </c>
    </row>
    <row r="567" spans="3:5" x14ac:dyDescent="0.25">
      <c r="C567" s="16">
        <v>399</v>
      </c>
      <c r="D567" s="16" t="s">
        <v>550</v>
      </c>
      <c r="E567" s="16">
        <v>4.21</v>
      </c>
    </row>
    <row r="568" spans="3:5" x14ac:dyDescent="0.25">
      <c r="C568" s="16">
        <v>400</v>
      </c>
      <c r="D568" s="16" t="s">
        <v>551</v>
      </c>
      <c r="E568" s="16">
        <v>3.85</v>
      </c>
    </row>
    <row r="569" spans="3:5" x14ac:dyDescent="0.25">
      <c r="C569" s="16">
        <v>401</v>
      </c>
      <c r="D569" s="16" t="s">
        <v>552</v>
      </c>
      <c r="E569" s="16">
        <v>3.85</v>
      </c>
    </row>
    <row r="570" spans="3:5" x14ac:dyDescent="0.25">
      <c r="C570" s="16">
        <v>402</v>
      </c>
      <c r="D570" s="16" t="s">
        <v>553</v>
      </c>
      <c r="E570" s="16">
        <v>3.85</v>
      </c>
    </row>
    <row r="571" spans="3:5" x14ac:dyDescent="0.25">
      <c r="C571" s="16">
        <v>403</v>
      </c>
      <c r="D571" s="16" t="s">
        <v>554</v>
      </c>
      <c r="E571" s="16">
        <v>3.85</v>
      </c>
    </row>
    <row r="572" spans="3:5" x14ac:dyDescent="0.25">
      <c r="C572" s="16">
        <v>404</v>
      </c>
      <c r="D572" s="16" t="s">
        <v>555</v>
      </c>
      <c r="E572" s="16">
        <v>3.85</v>
      </c>
    </row>
    <row r="573" spans="3:5" x14ac:dyDescent="0.25">
      <c r="C573" s="16">
        <v>405</v>
      </c>
      <c r="D573" s="16" t="s">
        <v>556</v>
      </c>
      <c r="E573" s="16">
        <v>3.85</v>
      </c>
    </row>
    <row r="574" spans="3:5" x14ac:dyDescent="0.25">
      <c r="C574" s="16">
        <v>406</v>
      </c>
      <c r="D574" s="16" t="s">
        <v>557</v>
      </c>
      <c r="E574" s="16">
        <v>4.57</v>
      </c>
    </row>
    <row r="575" spans="3:5" x14ac:dyDescent="0.25">
      <c r="C575" s="16">
        <v>407</v>
      </c>
      <c r="D575" s="16" t="s">
        <v>558</v>
      </c>
      <c r="E575" s="16">
        <v>4.21</v>
      </c>
    </row>
    <row r="576" spans="3:5" x14ac:dyDescent="0.25">
      <c r="C576" s="16">
        <v>408</v>
      </c>
      <c r="D576" s="16" t="s">
        <v>559</v>
      </c>
      <c r="E576" s="16">
        <v>5.28</v>
      </c>
    </row>
    <row r="577" spans="3:5" x14ac:dyDescent="0.25">
      <c r="C577" s="16">
        <v>409</v>
      </c>
      <c r="D577" s="16" t="s">
        <v>560</v>
      </c>
      <c r="E577" s="16">
        <v>3.85</v>
      </c>
    </row>
    <row r="578" spans="3:5" x14ac:dyDescent="0.25">
      <c r="C578" s="16">
        <v>410</v>
      </c>
      <c r="D578" s="16" t="s">
        <v>561</v>
      </c>
      <c r="E578" s="16">
        <v>4.57</v>
      </c>
    </row>
    <row r="579" spans="3:5" x14ac:dyDescent="0.25">
      <c r="C579" s="16">
        <v>411</v>
      </c>
      <c r="D579" s="16" t="s">
        <v>562</v>
      </c>
      <c r="E579" s="16">
        <v>5.01</v>
      </c>
    </row>
    <row r="580" spans="3:5" x14ac:dyDescent="0.25">
      <c r="C580" s="16">
        <v>412</v>
      </c>
      <c r="D580" s="16" t="s">
        <v>563</v>
      </c>
      <c r="E580" s="16">
        <v>3.85</v>
      </c>
    </row>
    <row r="581" spans="3:5" x14ac:dyDescent="0.25">
      <c r="C581" s="16">
        <v>413</v>
      </c>
      <c r="D581" s="16" t="s">
        <v>564</v>
      </c>
      <c r="E581" s="16">
        <v>3.85</v>
      </c>
    </row>
    <row r="582" spans="3:5" x14ac:dyDescent="0.25">
      <c r="C582" s="16">
        <v>414</v>
      </c>
      <c r="D582" s="16" t="s">
        <v>565</v>
      </c>
      <c r="E582" s="16">
        <v>4.21</v>
      </c>
    </row>
    <row r="583" spans="3:5" x14ac:dyDescent="0.25">
      <c r="C583" s="16">
        <v>415</v>
      </c>
      <c r="D583" s="16" t="s">
        <v>567</v>
      </c>
      <c r="E583" s="16">
        <v>5.28</v>
      </c>
    </row>
    <row r="584" spans="3:5" x14ac:dyDescent="0.25">
      <c r="C584" s="16">
        <v>416</v>
      </c>
      <c r="D584" s="16" t="s">
        <v>568</v>
      </c>
      <c r="E584" s="16">
        <v>3.85</v>
      </c>
    </row>
    <row r="585" spans="3:5" x14ac:dyDescent="0.25">
      <c r="C585" s="16">
        <v>417</v>
      </c>
      <c r="D585" s="16" t="s">
        <v>569</v>
      </c>
      <c r="E585" s="16">
        <v>3.85</v>
      </c>
    </row>
    <row r="586" spans="3:5" x14ac:dyDescent="0.25">
      <c r="C586" s="16">
        <v>418</v>
      </c>
      <c r="D586" s="16" t="s">
        <v>570</v>
      </c>
      <c r="E586" s="16">
        <v>4.21</v>
      </c>
    </row>
    <row r="587" spans="3:5" x14ac:dyDescent="0.25">
      <c r="C587" s="16">
        <v>419</v>
      </c>
      <c r="D587" s="16" t="s">
        <v>571</v>
      </c>
      <c r="E587" s="16">
        <v>4.21</v>
      </c>
    </row>
    <row r="588" spans="3:5" x14ac:dyDescent="0.25">
      <c r="C588" s="16">
        <v>420</v>
      </c>
      <c r="D588" s="16" t="s">
        <v>572</v>
      </c>
      <c r="E588" s="16">
        <v>4.57</v>
      </c>
    </row>
    <row r="589" spans="3:5" x14ac:dyDescent="0.25">
      <c r="C589" s="16">
        <v>421</v>
      </c>
      <c r="D589" s="16" t="s">
        <v>573</v>
      </c>
      <c r="E589" s="16">
        <v>4.21</v>
      </c>
    </row>
    <row r="590" spans="3:5" x14ac:dyDescent="0.25">
      <c r="C590" s="16">
        <v>422</v>
      </c>
      <c r="D590" s="16" t="s">
        <v>574</v>
      </c>
      <c r="E590" s="16">
        <v>4.6500000000000004</v>
      </c>
    </row>
    <row r="591" spans="3:5" x14ac:dyDescent="0.25">
      <c r="C591" s="16">
        <v>423</v>
      </c>
      <c r="D591" s="16" t="s">
        <v>575</v>
      </c>
      <c r="E591" s="16">
        <v>4.57</v>
      </c>
    </row>
    <row r="592" spans="3:5" x14ac:dyDescent="0.25">
      <c r="C592" s="16">
        <v>424</v>
      </c>
      <c r="D592" s="16" t="s">
        <v>576</v>
      </c>
      <c r="E592" s="16">
        <v>4.21</v>
      </c>
    </row>
    <row r="593" spans="3:5" x14ac:dyDescent="0.25">
      <c r="C593" s="16">
        <v>425</v>
      </c>
      <c r="D593" s="16" t="s">
        <v>577</v>
      </c>
      <c r="E593" s="16">
        <v>5.01</v>
      </c>
    </row>
    <row r="594" spans="3:5" x14ac:dyDescent="0.25">
      <c r="C594" s="16">
        <v>426</v>
      </c>
      <c r="D594" s="16" t="s">
        <v>578</v>
      </c>
      <c r="E594" s="16">
        <v>5.28</v>
      </c>
    </row>
    <row r="595" spans="3:5" x14ac:dyDescent="0.25">
      <c r="C595" s="16">
        <v>427</v>
      </c>
      <c r="D595" s="16" t="s">
        <v>579</v>
      </c>
      <c r="E595" s="16">
        <v>4.21</v>
      </c>
    </row>
    <row r="596" spans="3:5" x14ac:dyDescent="0.25">
      <c r="C596" s="16">
        <v>428</v>
      </c>
      <c r="D596" s="16" t="s">
        <v>580</v>
      </c>
      <c r="E596" s="16">
        <v>3.85</v>
      </c>
    </row>
    <row r="597" spans="3:5" x14ac:dyDescent="0.25">
      <c r="C597" s="16">
        <v>429</v>
      </c>
      <c r="D597" s="16" t="s">
        <v>581</v>
      </c>
      <c r="E597" s="16">
        <v>3.85</v>
      </c>
    </row>
    <row r="598" spans="3:5" x14ac:dyDescent="0.25">
      <c r="C598" s="16">
        <v>430</v>
      </c>
      <c r="D598" s="16" t="s">
        <v>582</v>
      </c>
      <c r="E598" s="16">
        <v>3.85</v>
      </c>
    </row>
    <row r="599" spans="3:5" x14ac:dyDescent="0.25">
      <c r="C599" s="16">
        <v>431</v>
      </c>
      <c r="D599" s="16" t="s">
        <v>583</v>
      </c>
      <c r="E599" s="16">
        <v>4.21</v>
      </c>
    </row>
    <row r="600" spans="3:5" x14ac:dyDescent="0.25">
      <c r="C600" s="16">
        <v>432</v>
      </c>
      <c r="D600" s="16" t="s">
        <v>584</v>
      </c>
      <c r="E600" s="16">
        <v>3.85</v>
      </c>
    </row>
    <row r="601" spans="3:5" x14ac:dyDescent="0.25">
      <c r="C601" s="16">
        <v>433</v>
      </c>
      <c r="D601" s="16" t="s">
        <v>585</v>
      </c>
      <c r="E601" s="16">
        <v>3.85</v>
      </c>
    </row>
    <row r="602" spans="3:5" x14ac:dyDescent="0.25">
      <c r="C602" s="16">
        <v>434</v>
      </c>
      <c r="D602" s="16" t="s">
        <v>586</v>
      </c>
      <c r="E602" s="16">
        <v>4.21</v>
      </c>
    </row>
    <row r="603" spans="3:5" x14ac:dyDescent="0.25">
      <c r="C603" s="16">
        <v>435</v>
      </c>
      <c r="D603" s="16" t="s">
        <v>587</v>
      </c>
      <c r="E603" s="16">
        <v>4.21</v>
      </c>
    </row>
    <row r="604" spans="3:5" x14ac:dyDescent="0.25">
      <c r="C604" s="16">
        <v>436</v>
      </c>
      <c r="D604" s="16" t="s">
        <v>588</v>
      </c>
      <c r="E604" s="16">
        <v>3.85</v>
      </c>
    </row>
    <row r="605" spans="3:5" x14ac:dyDescent="0.25">
      <c r="C605" s="16">
        <v>437</v>
      </c>
      <c r="D605" s="16" t="s">
        <v>589</v>
      </c>
      <c r="E605" s="16">
        <v>5.64</v>
      </c>
    </row>
    <row r="606" spans="3:5" x14ac:dyDescent="0.25">
      <c r="C606" s="16">
        <v>438</v>
      </c>
      <c r="D606" s="16" t="s">
        <v>590</v>
      </c>
      <c r="E606" s="16">
        <v>3.85</v>
      </c>
    </row>
    <row r="607" spans="3:5" x14ac:dyDescent="0.25">
      <c r="C607" s="16">
        <v>439</v>
      </c>
      <c r="D607" s="16" t="s">
        <v>591</v>
      </c>
      <c r="E607" s="16">
        <v>4.21</v>
      </c>
    </row>
    <row r="608" spans="3:5" x14ac:dyDescent="0.25">
      <c r="C608" s="16">
        <v>440</v>
      </c>
      <c r="D608" s="16" t="s">
        <v>592</v>
      </c>
      <c r="E608" s="16">
        <v>5.28</v>
      </c>
    </row>
    <row r="609" spans="3:5" x14ac:dyDescent="0.25">
      <c r="C609" s="16">
        <v>441</v>
      </c>
      <c r="D609" s="16" t="s">
        <v>593</v>
      </c>
      <c r="E609" s="16">
        <v>4.21</v>
      </c>
    </row>
    <row r="610" spans="3:5" x14ac:dyDescent="0.25">
      <c r="C610" s="16">
        <v>442</v>
      </c>
      <c r="D610" s="16" t="s">
        <v>594</v>
      </c>
      <c r="E610" s="16">
        <v>4.21</v>
      </c>
    </row>
    <row r="611" spans="3:5" x14ac:dyDescent="0.25">
      <c r="C611" s="16">
        <v>443</v>
      </c>
      <c r="D611" s="16" t="s">
        <v>595</v>
      </c>
      <c r="E611" s="16">
        <v>4.21</v>
      </c>
    </row>
    <row r="612" spans="3:5" x14ac:dyDescent="0.25">
      <c r="C612" s="16">
        <v>444</v>
      </c>
      <c r="D612" s="16" t="s">
        <v>596</v>
      </c>
      <c r="E612" s="16">
        <v>4.57</v>
      </c>
    </row>
    <row r="613" spans="3:5" x14ac:dyDescent="0.25">
      <c r="C613" s="16">
        <v>445</v>
      </c>
      <c r="D613" s="16" t="s">
        <v>597</v>
      </c>
      <c r="E613" s="16">
        <v>4.21</v>
      </c>
    </row>
    <row r="614" spans="3:5" x14ac:dyDescent="0.25">
      <c r="C614" s="16">
        <v>446</v>
      </c>
      <c r="D614" s="16" t="s">
        <v>598</v>
      </c>
      <c r="E614" s="16">
        <v>4.21</v>
      </c>
    </row>
    <row r="615" spans="3:5" x14ac:dyDescent="0.25">
      <c r="C615" s="16">
        <v>447</v>
      </c>
      <c r="D615" s="16" t="s">
        <v>599</v>
      </c>
      <c r="E615" s="16">
        <v>5.64</v>
      </c>
    </row>
    <row r="616" spans="3:5" x14ac:dyDescent="0.25">
      <c r="C616" s="16">
        <v>448</v>
      </c>
      <c r="D616" s="16" t="s">
        <v>600</v>
      </c>
      <c r="E616" s="16">
        <v>4.21</v>
      </c>
    </row>
    <row r="617" spans="3:5" x14ac:dyDescent="0.25">
      <c r="C617" s="16">
        <v>449</v>
      </c>
      <c r="D617" s="16" t="s">
        <v>601</v>
      </c>
      <c r="E617" s="16">
        <v>4.6500000000000004</v>
      </c>
    </row>
    <row r="618" spans="3:5" x14ac:dyDescent="0.25">
      <c r="C618" s="16">
        <v>450</v>
      </c>
      <c r="D618" s="16" t="s">
        <v>602</v>
      </c>
      <c r="E618" s="16">
        <v>4.21</v>
      </c>
    </row>
    <row r="619" spans="3:5" x14ac:dyDescent="0.25">
      <c r="C619" s="16">
        <v>451</v>
      </c>
      <c r="D619" s="16" t="s">
        <v>603</v>
      </c>
      <c r="E619" s="16">
        <v>4.21</v>
      </c>
    </row>
    <row r="620" spans="3:5" x14ac:dyDescent="0.25">
      <c r="C620" s="16">
        <v>452</v>
      </c>
      <c r="D620" s="16" t="s">
        <v>604</v>
      </c>
      <c r="E620" s="16">
        <v>4.21</v>
      </c>
    </row>
    <row r="621" spans="3:5" x14ac:dyDescent="0.25">
      <c r="C621" s="16">
        <v>453</v>
      </c>
      <c r="D621" s="16" t="s">
        <v>605</v>
      </c>
      <c r="E621" s="16">
        <v>4.21</v>
      </c>
    </row>
    <row r="622" spans="3:5" x14ac:dyDescent="0.25">
      <c r="C622" s="16">
        <v>454</v>
      </c>
      <c r="D622" s="16" t="s">
        <v>606</v>
      </c>
      <c r="E622" s="16">
        <v>5.01</v>
      </c>
    </row>
    <row r="623" spans="3:5" x14ac:dyDescent="0.25">
      <c r="C623" s="16">
        <v>455</v>
      </c>
      <c r="D623" s="16" t="s">
        <v>607</v>
      </c>
      <c r="E623" s="16">
        <v>3.85</v>
      </c>
    </row>
    <row r="624" spans="3:5" x14ac:dyDescent="0.25">
      <c r="C624" s="16">
        <v>456</v>
      </c>
      <c r="D624" s="16" t="s">
        <v>608</v>
      </c>
      <c r="E624" s="16">
        <v>4.21</v>
      </c>
    </row>
    <row r="625" spans="3:5" x14ac:dyDescent="0.25">
      <c r="C625" s="16">
        <v>457</v>
      </c>
      <c r="D625" s="16" t="s">
        <v>609</v>
      </c>
      <c r="E625" s="16">
        <v>5.01</v>
      </c>
    </row>
    <row r="626" spans="3:5" x14ac:dyDescent="0.25">
      <c r="C626" s="16">
        <v>458</v>
      </c>
      <c r="D626" s="16" t="s">
        <v>610</v>
      </c>
      <c r="E626" s="16">
        <v>4.21</v>
      </c>
    </row>
    <row r="627" spans="3:5" x14ac:dyDescent="0.25">
      <c r="C627" s="16">
        <v>459</v>
      </c>
      <c r="D627" s="16" t="s">
        <v>611</v>
      </c>
      <c r="E627" s="16">
        <v>6.08</v>
      </c>
    </row>
    <row r="628" spans="3:5" x14ac:dyDescent="0.25">
      <c r="C628" s="16">
        <v>460</v>
      </c>
      <c r="D628" s="16" t="s">
        <v>612</v>
      </c>
      <c r="E628" s="16">
        <v>5.64</v>
      </c>
    </row>
    <row r="629" spans="3:5" x14ac:dyDescent="0.25">
      <c r="C629" s="16">
        <v>461</v>
      </c>
      <c r="D629" s="16" t="s">
        <v>613</v>
      </c>
      <c r="E629" s="16">
        <v>3.85</v>
      </c>
    </row>
    <row r="630" spans="3:5" x14ac:dyDescent="0.25">
      <c r="C630" s="16">
        <v>462</v>
      </c>
      <c r="D630" s="16" t="s">
        <v>614</v>
      </c>
      <c r="E630" s="16">
        <v>3.85</v>
      </c>
    </row>
    <row r="631" spans="3:5" x14ac:dyDescent="0.25">
      <c r="C631" s="16">
        <v>463</v>
      </c>
      <c r="D631" s="16" t="s">
        <v>615</v>
      </c>
      <c r="E631" s="16">
        <v>4.6500000000000004</v>
      </c>
    </row>
    <row r="632" spans="3:5" x14ac:dyDescent="0.25">
      <c r="C632" s="16">
        <v>464</v>
      </c>
      <c r="D632" s="16" t="s">
        <v>616</v>
      </c>
      <c r="E632" s="16">
        <v>3.85</v>
      </c>
    </row>
    <row r="633" spans="3:5" x14ac:dyDescent="0.25">
      <c r="C633" s="16">
        <v>465</v>
      </c>
      <c r="D633" s="16" t="s">
        <v>617</v>
      </c>
      <c r="E633" s="16">
        <v>3.85</v>
      </c>
    </row>
    <row r="634" spans="3:5" x14ac:dyDescent="0.25">
      <c r="C634" s="16">
        <v>466</v>
      </c>
      <c r="D634" s="16" t="s">
        <v>618</v>
      </c>
      <c r="E634" s="16">
        <v>3.85</v>
      </c>
    </row>
    <row r="635" spans="3:5" x14ac:dyDescent="0.25">
      <c r="C635" s="16">
        <v>467</v>
      </c>
      <c r="D635" s="16" t="s">
        <v>619</v>
      </c>
      <c r="E635" s="16">
        <v>4.21</v>
      </c>
    </row>
    <row r="636" spans="3:5" x14ac:dyDescent="0.25">
      <c r="C636" s="16">
        <v>468</v>
      </c>
      <c r="D636" s="16" t="s">
        <v>620</v>
      </c>
      <c r="E636" s="16">
        <v>4.6500000000000004</v>
      </c>
    </row>
    <row r="637" spans="3:5" x14ac:dyDescent="0.25">
      <c r="C637" s="16">
        <v>469</v>
      </c>
      <c r="D637" s="16" t="s">
        <v>621</v>
      </c>
      <c r="E637" s="16">
        <v>5.64</v>
      </c>
    </row>
    <row r="638" spans="3:5" x14ac:dyDescent="0.25">
      <c r="C638" s="16">
        <v>470</v>
      </c>
      <c r="D638" s="16" t="s">
        <v>622</v>
      </c>
      <c r="E638" s="16">
        <v>3.85</v>
      </c>
    </row>
    <row r="639" spans="3:5" x14ac:dyDescent="0.25">
      <c r="C639" s="16">
        <v>471</v>
      </c>
      <c r="D639" s="16" t="s">
        <v>623</v>
      </c>
      <c r="E639" s="16">
        <v>4.21</v>
      </c>
    </row>
    <row r="640" spans="3:5" x14ac:dyDescent="0.25">
      <c r="C640" s="16">
        <v>472</v>
      </c>
      <c r="D640" s="16" t="s">
        <v>624</v>
      </c>
      <c r="E640" s="16">
        <v>4.21</v>
      </c>
    </row>
    <row r="641" spans="3:5" x14ac:dyDescent="0.25">
      <c r="C641" s="16">
        <v>473</v>
      </c>
      <c r="D641" s="16" t="s">
        <v>625</v>
      </c>
      <c r="E641" s="16">
        <v>4.6500000000000004</v>
      </c>
    </row>
    <row r="642" spans="3:5" x14ac:dyDescent="0.25">
      <c r="C642" s="16">
        <v>474</v>
      </c>
      <c r="D642" s="16" t="s">
        <v>626</v>
      </c>
      <c r="E642" s="16">
        <v>5.37</v>
      </c>
    </row>
    <row r="643" spans="3:5" x14ac:dyDescent="0.25">
      <c r="C643" s="16">
        <v>475</v>
      </c>
      <c r="D643" s="16" t="s">
        <v>627</v>
      </c>
      <c r="E643" s="16">
        <v>4.21</v>
      </c>
    </row>
    <row r="644" spans="3:5" x14ac:dyDescent="0.25">
      <c r="C644" s="16">
        <v>476</v>
      </c>
      <c r="D644" s="16" t="s">
        <v>628</v>
      </c>
      <c r="E644" s="16">
        <v>4.57</v>
      </c>
    </row>
    <row r="645" spans="3:5" x14ac:dyDescent="0.25">
      <c r="C645" s="16">
        <v>477</v>
      </c>
      <c r="D645" s="16" t="s">
        <v>629</v>
      </c>
      <c r="E645" s="16">
        <v>4.21</v>
      </c>
    </row>
    <row r="646" spans="3:5" x14ac:dyDescent="0.25">
      <c r="C646" s="16">
        <v>478</v>
      </c>
      <c r="D646" s="16" t="s">
        <v>630</v>
      </c>
      <c r="E646" s="16">
        <v>3.85</v>
      </c>
    </row>
    <row r="647" spans="3:5" x14ac:dyDescent="0.25">
      <c r="C647" s="16">
        <v>479</v>
      </c>
      <c r="D647" s="16" t="s">
        <v>631</v>
      </c>
      <c r="E647" s="16">
        <v>3.85</v>
      </c>
    </row>
    <row r="648" spans="3:5" x14ac:dyDescent="0.25">
      <c r="C648" s="16">
        <v>480</v>
      </c>
      <c r="D648" s="16" t="s">
        <v>632</v>
      </c>
      <c r="E648" s="16">
        <v>4.21</v>
      </c>
    </row>
    <row r="649" spans="3:5" x14ac:dyDescent="0.25">
      <c r="C649" s="16">
        <v>481</v>
      </c>
      <c r="D649" s="16" t="s">
        <v>633</v>
      </c>
      <c r="E649" s="16">
        <v>3.85</v>
      </c>
    </row>
    <row r="650" spans="3:5" x14ac:dyDescent="0.25">
      <c r="C650" s="16">
        <v>482</v>
      </c>
      <c r="D650" s="16" t="s">
        <v>634</v>
      </c>
      <c r="E650" s="16">
        <v>3.85</v>
      </c>
    </row>
    <row r="651" spans="3:5" x14ac:dyDescent="0.25">
      <c r="C651" s="16">
        <v>483</v>
      </c>
      <c r="D651" s="16" t="s">
        <v>635</v>
      </c>
      <c r="E651" s="16">
        <v>3.85</v>
      </c>
    </row>
    <row r="652" spans="3:5" x14ac:dyDescent="0.25">
      <c r="C652" s="16">
        <v>484</v>
      </c>
      <c r="D652" s="16" t="s">
        <v>636</v>
      </c>
      <c r="E652" s="16">
        <v>4.21</v>
      </c>
    </row>
    <row r="653" spans="3:5" x14ac:dyDescent="0.25">
      <c r="C653" s="16">
        <v>485</v>
      </c>
      <c r="D653" s="16" t="s">
        <v>637</v>
      </c>
      <c r="E653" s="16">
        <v>3.85</v>
      </c>
    </row>
    <row r="654" spans="3:5" x14ac:dyDescent="0.25">
      <c r="C654" s="16">
        <v>486</v>
      </c>
      <c r="D654" s="16" t="s">
        <v>638</v>
      </c>
      <c r="E654" s="16">
        <v>4.21</v>
      </c>
    </row>
    <row r="655" spans="3:5" x14ac:dyDescent="0.25">
      <c r="C655" s="16">
        <v>487</v>
      </c>
      <c r="D655" s="16" t="s">
        <v>639</v>
      </c>
      <c r="E655" s="16">
        <v>5.01</v>
      </c>
    </row>
    <row r="656" spans="3:5" x14ac:dyDescent="0.25">
      <c r="C656" s="16">
        <v>488</v>
      </c>
      <c r="D656" s="16" t="s">
        <v>640</v>
      </c>
      <c r="E656" s="16">
        <v>4.21</v>
      </c>
    </row>
    <row r="657" spans="3:5" x14ac:dyDescent="0.25">
      <c r="C657" s="16">
        <v>489</v>
      </c>
      <c r="D657" s="16" t="s">
        <v>641</v>
      </c>
      <c r="E657" s="16">
        <v>4.57</v>
      </c>
    </row>
    <row r="658" spans="3:5" x14ac:dyDescent="0.25">
      <c r="C658" s="16">
        <v>490</v>
      </c>
      <c r="D658" s="16" t="s">
        <v>642</v>
      </c>
      <c r="E658" s="16">
        <v>4.57</v>
      </c>
    </row>
    <row r="659" spans="3:5" x14ac:dyDescent="0.25">
      <c r="C659" s="16">
        <v>491</v>
      </c>
      <c r="D659" s="16" t="s">
        <v>643</v>
      </c>
      <c r="E659" s="16">
        <v>3.85</v>
      </c>
    </row>
    <row r="660" spans="3:5" x14ac:dyDescent="0.25">
      <c r="C660" s="16">
        <v>492</v>
      </c>
      <c r="D660" s="16" t="s">
        <v>644</v>
      </c>
      <c r="E660" s="16">
        <v>4.21</v>
      </c>
    </row>
    <row r="661" spans="3:5" x14ac:dyDescent="0.25">
      <c r="C661" s="16">
        <v>493</v>
      </c>
      <c r="D661" s="16" t="s">
        <v>645</v>
      </c>
      <c r="E661" s="16">
        <v>4.21</v>
      </c>
    </row>
    <row r="662" spans="3:5" x14ac:dyDescent="0.25">
      <c r="C662" s="16">
        <v>494</v>
      </c>
      <c r="D662" s="16" t="s">
        <v>646</v>
      </c>
      <c r="E662" s="16">
        <v>4.57</v>
      </c>
    </row>
    <row r="663" spans="3:5" x14ac:dyDescent="0.25">
      <c r="C663" s="16">
        <v>495</v>
      </c>
      <c r="D663" s="16" t="s">
        <v>647</v>
      </c>
      <c r="E663" s="16">
        <v>3.85</v>
      </c>
    </row>
    <row r="664" spans="3:5" x14ac:dyDescent="0.25">
      <c r="C664" s="16">
        <v>496</v>
      </c>
      <c r="D664" s="16" t="s">
        <v>648</v>
      </c>
      <c r="E664" s="16">
        <v>4.21</v>
      </c>
    </row>
    <row r="665" spans="3:5" x14ac:dyDescent="0.25">
      <c r="C665" s="16">
        <v>497</v>
      </c>
      <c r="D665" s="16" t="s">
        <v>649</v>
      </c>
      <c r="E665" s="16">
        <v>4.21</v>
      </c>
    </row>
    <row r="666" spans="3:5" x14ac:dyDescent="0.25">
      <c r="C666" s="16">
        <v>498</v>
      </c>
      <c r="D666" s="16" t="s">
        <v>650</v>
      </c>
      <c r="E666" s="16">
        <v>4.21</v>
      </c>
    </row>
    <row r="667" spans="3:5" x14ac:dyDescent="0.25">
      <c r="C667" s="16">
        <v>499</v>
      </c>
      <c r="D667" s="16" t="s">
        <v>651</v>
      </c>
      <c r="E667" s="16">
        <v>4.21</v>
      </c>
    </row>
    <row r="668" spans="3:5" x14ac:dyDescent="0.25">
      <c r="C668" s="16">
        <v>500</v>
      </c>
      <c r="D668" s="16" t="s">
        <v>652</v>
      </c>
      <c r="E668" s="16">
        <v>5.28</v>
      </c>
    </row>
    <row r="669" spans="3:5" x14ac:dyDescent="0.25">
      <c r="C669" s="16">
        <v>501</v>
      </c>
      <c r="D669" s="16" t="s">
        <v>653</v>
      </c>
      <c r="E669" s="16">
        <v>5.28</v>
      </c>
    </row>
    <row r="670" spans="3:5" x14ac:dyDescent="0.25">
      <c r="C670" s="16">
        <v>502</v>
      </c>
      <c r="D670" s="16" t="s">
        <v>654</v>
      </c>
      <c r="E670" s="16">
        <v>4.21</v>
      </c>
    </row>
    <row r="671" spans="3:5" x14ac:dyDescent="0.25">
      <c r="C671" s="16">
        <v>503</v>
      </c>
      <c r="D671" s="16" t="s">
        <v>655</v>
      </c>
      <c r="E671" s="16">
        <v>4.21</v>
      </c>
    </row>
    <row r="672" spans="3:5" x14ac:dyDescent="0.25">
      <c r="C672" s="16">
        <v>504</v>
      </c>
      <c r="D672" s="16" t="s">
        <v>656</v>
      </c>
      <c r="E672" s="16">
        <v>4.21</v>
      </c>
    </row>
    <row r="673" spans="3:5" x14ac:dyDescent="0.25">
      <c r="C673" s="16">
        <v>505</v>
      </c>
      <c r="D673" s="16" t="s">
        <v>657</v>
      </c>
      <c r="E673" s="16">
        <v>6.71</v>
      </c>
    </row>
    <row r="674" spans="3:5" x14ac:dyDescent="0.25">
      <c r="C674" s="16">
        <v>506</v>
      </c>
      <c r="D674" s="16" t="s">
        <v>658</v>
      </c>
      <c r="E674" s="16">
        <v>3.85</v>
      </c>
    </row>
    <row r="675" spans="3:5" x14ac:dyDescent="0.25">
      <c r="C675" s="16">
        <v>507</v>
      </c>
      <c r="D675" s="16" t="s">
        <v>659</v>
      </c>
      <c r="E675" s="16">
        <v>3.85</v>
      </c>
    </row>
    <row r="676" spans="3:5" x14ac:dyDescent="0.25">
      <c r="C676" s="16">
        <v>508</v>
      </c>
      <c r="D676" s="16" t="s">
        <v>660</v>
      </c>
      <c r="E676" s="16">
        <v>4.57</v>
      </c>
    </row>
    <row r="677" spans="3:5" x14ac:dyDescent="0.25">
      <c r="C677" s="16">
        <v>509</v>
      </c>
      <c r="D677" s="16" t="s">
        <v>661</v>
      </c>
      <c r="E677" s="16">
        <v>3.85</v>
      </c>
    </row>
    <row r="678" spans="3:5" x14ac:dyDescent="0.25">
      <c r="C678" s="16">
        <v>510</v>
      </c>
      <c r="D678" s="16" t="s">
        <v>662</v>
      </c>
      <c r="E678" s="16">
        <v>3.85</v>
      </c>
    </row>
    <row r="679" spans="3:5" x14ac:dyDescent="0.25">
      <c r="C679" s="16">
        <v>511</v>
      </c>
      <c r="D679" s="16" t="s">
        <v>663</v>
      </c>
      <c r="E679" s="16">
        <v>4.6500000000000004</v>
      </c>
    </row>
    <row r="680" spans="3:5" x14ac:dyDescent="0.25">
      <c r="C680" s="16">
        <v>512</v>
      </c>
      <c r="D680" s="16" t="s">
        <v>664</v>
      </c>
      <c r="E680" s="16">
        <v>4.57</v>
      </c>
    </row>
    <row r="681" spans="3:5" x14ac:dyDescent="0.25">
      <c r="C681" s="16">
        <v>513</v>
      </c>
      <c r="D681" s="16" t="s">
        <v>665</v>
      </c>
      <c r="E681" s="16">
        <v>6.71</v>
      </c>
    </row>
    <row r="682" spans="3:5" x14ac:dyDescent="0.25">
      <c r="C682" s="16">
        <v>514</v>
      </c>
      <c r="D682" s="16" t="s">
        <v>666</v>
      </c>
      <c r="E682" s="16">
        <v>5.64</v>
      </c>
    </row>
    <row r="683" spans="3:5" x14ac:dyDescent="0.25">
      <c r="C683" s="16">
        <v>515</v>
      </c>
      <c r="D683" s="16" t="s">
        <v>667</v>
      </c>
      <c r="E683" s="16">
        <v>4.21</v>
      </c>
    </row>
    <row r="684" spans="3:5" x14ac:dyDescent="0.25">
      <c r="C684" s="16">
        <v>516</v>
      </c>
      <c r="D684" s="16" t="s">
        <v>668</v>
      </c>
      <c r="E684" s="16">
        <v>3.85</v>
      </c>
    </row>
    <row r="685" spans="3:5" x14ac:dyDescent="0.25">
      <c r="C685" s="16">
        <v>517</v>
      </c>
      <c r="D685" s="16" t="s">
        <v>669</v>
      </c>
      <c r="E685" s="16">
        <v>5.64</v>
      </c>
    </row>
    <row r="686" spans="3:5" x14ac:dyDescent="0.25">
      <c r="C686" s="16">
        <v>518</v>
      </c>
      <c r="D686" s="16" t="s">
        <v>670</v>
      </c>
      <c r="E686" s="16">
        <v>4.21</v>
      </c>
    </row>
    <row r="687" spans="3:5" x14ac:dyDescent="0.25">
      <c r="C687" s="16">
        <v>519</v>
      </c>
      <c r="D687" s="16" t="s">
        <v>671</v>
      </c>
      <c r="E687" s="16">
        <v>3.85</v>
      </c>
    </row>
    <row r="688" spans="3:5" x14ac:dyDescent="0.25">
      <c r="C688" s="16">
        <v>520</v>
      </c>
      <c r="D688" s="16" t="s">
        <v>672</v>
      </c>
      <c r="E688" s="16">
        <v>3.85</v>
      </c>
    </row>
    <row r="689" spans="3:5" x14ac:dyDescent="0.25">
      <c r="C689" s="16">
        <v>521</v>
      </c>
      <c r="D689" s="16" t="s">
        <v>673</v>
      </c>
      <c r="E689" s="16">
        <v>4.57</v>
      </c>
    </row>
    <row r="690" spans="3:5" x14ac:dyDescent="0.25">
      <c r="C690" s="16">
        <v>522</v>
      </c>
      <c r="D690" s="16" t="s">
        <v>674</v>
      </c>
      <c r="E690" s="16">
        <v>4.21</v>
      </c>
    </row>
    <row r="691" spans="3:5" x14ac:dyDescent="0.25">
      <c r="C691" s="16">
        <v>523</v>
      </c>
      <c r="D691" s="16" t="s">
        <v>675</v>
      </c>
      <c r="E691" s="16">
        <v>4.21</v>
      </c>
    </row>
    <row r="692" spans="3:5" x14ac:dyDescent="0.25">
      <c r="C692" s="16">
        <v>524</v>
      </c>
      <c r="D692" s="16" t="s">
        <v>676</v>
      </c>
      <c r="E692" s="16">
        <v>4.21</v>
      </c>
    </row>
    <row r="693" spans="3:5" x14ac:dyDescent="0.25">
      <c r="C693" s="16">
        <v>525</v>
      </c>
      <c r="D693" s="16" t="s">
        <v>677</v>
      </c>
      <c r="E693" s="16">
        <v>4.21</v>
      </c>
    </row>
    <row r="694" spans="3:5" x14ac:dyDescent="0.25">
      <c r="C694" s="16">
        <v>526</v>
      </c>
      <c r="D694" s="16" t="s">
        <v>678</v>
      </c>
      <c r="E694" s="16">
        <v>4.57</v>
      </c>
    </row>
    <row r="695" spans="3:5" x14ac:dyDescent="0.25">
      <c r="C695" s="16">
        <v>527</v>
      </c>
      <c r="D695" s="16" t="s">
        <v>679</v>
      </c>
      <c r="E695" s="16">
        <v>3.85</v>
      </c>
    </row>
    <row r="696" spans="3:5" x14ac:dyDescent="0.25">
      <c r="C696" s="16">
        <v>528</v>
      </c>
      <c r="D696" s="16" t="s">
        <v>680</v>
      </c>
      <c r="E696" s="16">
        <v>3.85</v>
      </c>
    </row>
    <row r="697" spans="3:5" x14ac:dyDescent="0.25">
      <c r="C697" s="16">
        <v>529</v>
      </c>
      <c r="D697" s="16" t="s">
        <v>681</v>
      </c>
      <c r="E697" s="16">
        <v>3.85</v>
      </c>
    </row>
    <row r="698" spans="3:5" x14ac:dyDescent="0.25">
      <c r="C698" s="16">
        <v>530</v>
      </c>
      <c r="D698" s="16" t="s">
        <v>682</v>
      </c>
      <c r="E698" s="16">
        <v>3.85</v>
      </c>
    </row>
    <row r="699" spans="3:5" x14ac:dyDescent="0.25">
      <c r="C699" s="16">
        <v>531</v>
      </c>
      <c r="D699" s="16" t="s">
        <v>683</v>
      </c>
      <c r="E699" s="16">
        <v>3.85</v>
      </c>
    </row>
    <row r="700" spans="3:5" x14ac:dyDescent="0.25">
      <c r="C700" s="16">
        <v>532</v>
      </c>
      <c r="D700" s="16" t="s">
        <v>684</v>
      </c>
      <c r="E700" s="16">
        <v>4.21</v>
      </c>
    </row>
    <row r="701" spans="3:5" x14ac:dyDescent="0.25">
      <c r="C701" s="16">
        <v>533</v>
      </c>
      <c r="D701" s="16" t="s">
        <v>685</v>
      </c>
      <c r="E701" s="16">
        <v>4.57</v>
      </c>
    </row>
    <row r="702" spans="3:5" x14ac:dyDescent="0.25">
      <c r="C702" s="16">
        <v>534</v>
      </c>
      <c r="D702" s="16" t="s">
        <v>686</v>
      </c>
      <c r="E702" s="16">
        <v>5.01</v>
      </c>
    </row>
    <row r="703" spans="3:5" x14ac:dyDescent="0.25">
      <c r="C703" s="16">
        <v>535</v>
      </c>
      <c r="D703" s="16" t="s">
        <v>687</v>
      </c>
      <c r="E703" s="16">
        <v>4.21</v>
      </c>
    </row>
    <row r="704" spans="3:5" x14ac:dyDescent="0.25">
      <c r="C704" s="16">
        <v>536</v>
      </c>
      <c r="D704" s="16" t="s">
        <v>688</v>
      </c>
      <c r="E704" s="16">
        <v>3.85</v>
      </c>
    </row>
    <row r="705" spans="3:5" x14ac:dyDescent="0.25">
      <c r="C705" s="16">
        <v>537</v>
      </c>
      <c r="D705" s="16" t="s">
        <v>689</v>
      </c>
      <c r="E705" s="16">
        <v>3.85</v>
      </c>
    </row>
    <row r="706" spans="3:5" x14ac:dyDescent="0.25">
      <c r="C706" s="16">
        <v>538</v>
      </c>
      <c r="D706" s="16" t="s">
        <v>690</v>
      </c>
      <c r="E706" s="16">
        <v>3.85</v>
      </c>
    </row>
    <row r="707" spans="3:5" x14ac:dyDescent="0.25">
      <c r="C707" s="16">
        <v>539</v>
      </c>
      <c r="D707" s="16" t="s">
        <v>691</v>
      </c>
      <c r="E707" s="16">
        <v>4.21</v>
      </c>
    </row>
    <row r="708" spans="3:5" x14ac:dyDescent="0.25">
      <c r="C708" s="16">
        <v>540</v>
      </c>
      <c r="D708" s="16" t="s">
        <v>692</v>
      </c>
      <c r="E708" s="16">
        <v>3.85</v>
      </c>
    </row>
    <row r="709" spans="3:5" x14ac:dyDescent="0.25">
      <c r="C709" s="16">
        <v>541</v>
      </c>
      <c r="D709" s="16" t="s">
        <v>693</v>
      </c>
      <c r="E709" s="16">
        <v>3.85</v>
      </c>
    </row>
    <row r="710" spans="3:5" x14ac:dyDescent="0.25">
      <c r="C710" s="16">
        <v>542</v>
      </c>
      <c r="D710" s="16" t="s">
        <v>694</v>
      </c>
      <c r="E710" s="16">
        <v>3.85</v>
      </c>
    </row>
    <row r="711" spans="3:5" x14ac:dyDescent="0.25">
      <c r="C711" s="16">
        <v>543</v>
      </c>
      <c r="D711" s="16" t="s">
        <v>695</v>
      </c>
      <c r="E711" s="16">
        <v>4.57</v>
      </c>
    </row>
    <row r="712" spans="3:5" x14ac:dyDescent="0.25">
      <c r="C712" s="16">
        <v>544</v>
      </c>
      <c r="D712" s="16" t="s">
        <v>696</v>
      </c>
      <c r="E712" s="16">
        <v>4.21</v>
      </c>
    </row>
    <row r="713" spans="3:5" x14ac:dyDescent="0.25">
      <c r="C713" s="16">
        <v>545</v>
      </c>
      <c r="D713" s="16" t="s">
        <v>697</v>
      </c>
      <c r="E713" s="16">
        <v>5.64</v>
      </c>
    </row>
    <row r="714" spans="3:5" x14ac:dyDescent="0.25">
      <c r="C714" s="16">
        <v>546</v>
      </c>
      <c r="D714" s="16" t="s">
        <v>698</v>
      </c>
      <c r="E714" s="16">
        <v>5.01</v>
      </c>
    </row>
    <row r="715" spans="3:5" x14ac:dyDescent="0.25">
      <c r="C715" s="16">
        <v>547</v>
      </c>
      <c r="D715" s="16" t="s">
        <v>699</v>
      </c>
      <c r="E715" s="16">
        <v>3.85</v>
      </c>
    </row>
    <row r="716" spans="3:5" x14ac:dyDescent="0.25">
      <c r="C716" s="16">
        <v>548</v>
      </c>
      <c r="D716" s="16" t="s">
        <v>700</v>
      </c>
      <c r="E716" s="16">
        <v>4.57</v>
      </c>
    </row>
    <row r="717" spans="3:5" x14ac:dyDescent="0.25">
      <c r="C717" s="16">
        <v>549</v>
      </c>
      <c r="D717" s="16" t="s">
        <v>701</v>
      </c>
      <c r="E717" s="16">
        <v>5.28</v>
      </c>
    </row>
    <row r="718" spans="3:5" x14ac:dyDescent="0.25">
      <c r="C718" s="16">
        <v>550</v>
      </c>
      <c r="D718" s="16" t="s">
        <v>702</v>
      </c>
      <c r="E718" s="16">
        <v>4.21</v>
      </c>
    </row>
    <row r="719" spans="3:5" x14ac:dyDescent="0.25">
      <c r="C719" s="16">
        <v>551</v>
      </c>
      <c r="D719" s="16" t="s">
        <v>703</v>
      </c>
      <c r="E719" s="16">
        <v>3.85</v>
      </c>
    </row>
    <row r="720" spans="3:5" x14ac:dyDescent="0.25">
      <c r="C720" s="16">
        <v>552</v>
      </c>
      <c r="D720" s="16" t="s">
        <v>704</v>
      </c>
      <c r="E720" s="16">
        <v>6.08</v>
      </c>
    </row>
    <row r="721" spans="3:5" x14ac:dyDescent="0.25">
      <c r="C721" s="16">
        <v>553</v>
      </c>
      <c r="D721" s="16" t="s">
        <v>705</v>
      </c>
      <c r="E721" s="16">
        <v>7.07</v>
      </c>
    </row>
    <row r="722" spans="3:5" x14ac:dyDescent="0.25">
      <c r="C722" s="16">
        <v>554</v>
      </c>
      <c r="D722" s="16" t="s">
        <v>706</v>
      </c>
      <c r="E722" s="16">
        <v>3.85</v>
      </c>
    </row>
    <row r="723" spans="3:5" x14ac:dyDescent="0.25">
      <c r="C723" s="16">
        <v>555</v>
      </c>
      <c r="D723" s="16" t="s">
        <v>707</v>
      </c>
      <c r="E723" s="16">
        <v>5.28</v>
      </c>
    </row>
    <row r="724" spans="3:5" x14ac:dyDescent="0.25">
      <c r="C724" s="16">
        <v>556</v>
      </c>
      <c r="D724" s="16" t="s">
        <v>708</v>
      </c>
      <c r="E724" s="16">
        <v>5.28</v>
      </c>
    </row>
    <row r="725" spans="3:5" x14ac:dyDescent="0.25">
      <c r="C725" s="16">
        <v>557</v>
      </c>
      <c r="D725" s="16" t="s">
        <v>709</v>
      </c>
      <c r="E725" s="16">
        <v>5.28</v>
      </c>
    </row>
    <row r="726" spans="3:5" x14ac:dyDescent="0.25">
      <c r="C726" s="16">
        <v>558</v>
      </c>
      <c r="D726" s="16" t="s">
        <v>710</v>
      </c>
      <c r="E726" s="16">
        <v>6.71</v>
      </c>
    </row>
    <row r="727" spans="3:5" x14ac:dyDescent="0.25">
      <c r="C727" s="16">
        <v>559</v>
      </c>
      <c r="D727" s="16" t="s">
        <v>711</v>
      </c>
      <c r="E727" s="16">
        <v>4.57</v>
      </c>
    </row>
    <row r="728" spans="3:5" x14ac:dyDescent="0.25">
      <c r="C728" s="16">
        <v>560</v>
      </c>
      <c r="D728" s="16" t="s">
        <v>712</v>
      </c>
      <c r="E728" s="16">
        <v>6.71</v>
      </c>
    </row>
    <row r="729" spans="3:5" x14ac:dyDescent="0.25">
      <c r="C729" s="16">
        <v>561</v>
      </c>
      <c r="D729" s="16" t="s">
        <v>713</v>
      </c>
      <c r="E729" s="16">
        <v>5.28</v>
      </c>
    </row>
    <row r="730" spans="3:5" x14ac:dyDescent="0.25">
      <c r="C730" s="16">
        <v>562</v>
      </c>
      <c r="D730" s="16" t="s">
        <v>714</v>
      </c>
      <c r="E730" s="16">
        <v>3.85</v>
      </c>
    </row>
    <row r="731" spans="3:5" x14ac:dyDescent="0.25">
      <c r="C731" s="16">
        <v>563</v>
      </c>
      <c r="D731" s="16" t="s">
        <v>715</v>
      </c>
      <c r="E731" s="16">
        <v>5.28</v>
      </c>
    </row>
    <row r="732" spans="3:5" x14ac:dyDescent="0.25">
      <c r="C732" s="16">
        <v>564</v>
      </c>
      <c r="D732" s="16" t="s">
        <v>716</v>
      </c>
      <c r="E732" s="16">
        <v>4.57</v>
      </c>
    </row>
    <row r="733" spans="3:5" x14ac:dyDescent="0.25">
      <c r="C733" s="16">
        <v>565</v>
      </c>
      <c r="D733" s="16" t="s">
        <v>717</v>
      </c>
      <c r="E733" s="16">
        <v>3.85</v>
      </c>
    </row>
    <row r="734" spans="3:5" x14ac:dyDescent="0.25">
      <c r="C734" s="16">
        <v>566</v>
      </c>
      <c r="D734" s="16" t="s">
        <v>718</v>
      </c>
      <c r="E734" s="16">
        <v>3.85</v>
      </c>
    </row>
    <row r="735" spans="3:5" x14ac:dyDescent="0.25">
      <c r="C735" s="16">
        <v>567</v>
      </c>
      <c r="D735" s="16" t="s">
        <v>719</v>
      </c>
      <c r="E735" s="16">
        <v>4.21</v>
      </c>
    </row>
    <row r="736" spans="3:5" x14ac:dyDescent="0.25">
      <c r="C736" s="16">
        <v>568</v>
      </c>
      <c r="D736" s="16" t="s">
        <v>720</v>
      </c>
      <c r="E736" s="16">
        <v>4.21</v>
      </c>
    </row>
    <row r="737" spans="3:5" x14ac:dyDescent="0.25">
      <c r="C737" s="16">
        <v>569</v>
      </c>
      <c r="D737" s="16" t="s">
        <v>721</v>
      </c>
      <c r="E737" s="16">
        <v>3.85</v>
      </c>
    </row>
    <row r="738" spans="3:5" x14ac:dyDescent="0.25">
      <c r="C738" s="16">
        <v>570</v>
      </c>
      <c r="D738" s="16" t="s">
        <v>722</v>
      </c>
      <c r="E738" s="16">
        <v>4.21</v>
      </c>
    </row>
    <row r="739" spans="3:5" x14ac:dyDescent="0.25">
      <c r="C739" s="16">
        <v>571</v>
      </c>
      <c r="D739" s="16" t="s">
        <v>723</v>
      </c>
      <c r="E739" s="16">
        <v>4.57</v>
      </c>
    </row>
    <row r="740" spans="3:5" x14ac:dyDescent="0.25">
      <c r="C740" s="16">
        <v>572</v>
      </c>
      <c r="D740" s="16" t="s">
        <v>724</v>
      </c>
      <c r="E740" s="16">
        <v>3.85</v>
      </c>
    </row>
    <row r="741" spans="3:5" x14ac:dyDescent="0.25">
      <c r="C741" s="16">
        <v>573</v>
      </c>
      <c r="D741" s="16" t="s">
        <v>725</v>
      </c>
      <c r="E741" s="16">
        <v>3.85</v>
      </c>
    </row>
    <row r="742" spans="3:5" x14ac:dyDescent="0.25">
      <c r="C742" s="16">
        <v>574</v>
      </c>
      <c r="D742" s="16" t="s">
        <v>726</v>
      </c>
      <c r="E742" s="16">
        <v>3.85</v>
      </c>
    </row>
    <row r="743" spans="3:5" x14ac:dyDescent="0.25">
      <c r="C743" s="16">
        <v>575</v>
      </c>
      <c r="D743" s="16" t="s">
        <v>727</v>
      </c>
      <c r="E743" s="16">
        <v>3.85</v>
      </c>
    </row>
    <row r="744" spans="3:5" x14ac:dyDescent="0.25">
      <c r="C744" s="16">
        <v>576</v>
      </c>
      <c r="D744" s="16" t="s">
        <v>728</v>
      </c>
      <c r="E744" s="16">
        <v>3.85</v>
      </c>
    </row>
    <row r="745" spans="3:5" x14ac:dyDescent="0.25">
      <c r="C745" s="16">
        <v>577</v>
      </c>
      <c r="D745" s="16" t="s">
        <v>729</v>
      </c>
      <c r="E745" s="16">
        <v>4.21</v>
      </c>
    </row>
    <row r="746" spans="3:5" x14ac:dyDescent="0.25">
      <c r="C746" s="16">
        <v>578</v>
      </c>
      <c r="D746" s="16" t="s">
        <v>730</v>
      </c>
      <c r="E746" s="16">
        <v>3.85</v>
      </c>
    </row>
    <row r="747" spans="3:5" x14ac:dyDescent="0.25">
      <c r="C747" s="16">
        <v>579</v>
      </c>
      <c r="D747" s="16" t="s">
        <v>731</v>
      </c>
      <c r="E747" s="16">
        <v>3.85</v>
      </c>
    </row>
    <row r="748" spans="3:5" x14ac:dyDescent="0.25">
      <c r="C748" s="16">
        <v>580</v>
      </c>
      <c r="D748" s="16" t="s">
        <v>732</v>
      </c>
      <c r="E748" s="16">
        <v>4.6500000000000004</v>
      </c>
    </row>
    <row r="749" spans="3:5" x14ac:dyDescent="0.25">
      <c r="C749" s="16">
        <v>581</v>
      </c>
      <c r="D749" s="16" t="s">
        <v>733</v>
      </c>
      <c r="E749" s="16">
        <v>3.85</v>
      </c>
    </row>
    <row r="750" spans="3:5" x14ac:dyDescent="0.25">
      <c r="C750" s="16">
        <v>582</v>
      </c>
      <c r="D750" s="16" t="s">
        <v>734</v>
      </c>
      <c r="E750" s="16">
        <v>3.85</v>
      </c>
    </row>
    <row r="751" spans="3:5" x14ac:dyDescent="0.25">
      <c r="C751" s="16">
        <v>583</v>
      </c>
      <c r="D751" s="16" t="s">
        <v>735</v>
      </c>
      <c r="E751" s="16">
        <v>3.85</v>
      </c>
    </row>
    <row r="752" spans="3:5" x14ac:dyDescent="0.25">
      <c r="C752" s="16">
        <v>584</v>
      </c>
      <c r="D752" s="16" t="s">
        <v>736</v>
      </c>
      <c r="E752" s="16">
        <v>5.64</v>
      </c>
    </row>
    <row r="753" spans="3:5" x14ac:dyDescent="0.25">
      <c r="C753" s="16">
        <v>585</v>
      </c>
      <c r="D753" s="16" t="s">
        <v>737</v>
      </c>
      <c r="E753" s="16">
        <v>3.85</v>
      </c>
    </row>
    <row r="754" spans="3:5" x14ac:dyDescent="0.25">
      <c r="C754" s="16">
        <v>586</v>
      </c>
      <c r="D754" s="16" t="s">
        <v>738</v>
      </c>
      <c r="E754" s="16">
        <v>3.85</v>
      </c>
    </row>
    <row r="755" spans="3:5" x14ac:dyDescent="0.25">
      <c r="C755" s="16">
        <v>587</v>
      </c>
      <c r="D755" s="16" t="s">
        <v>739</v>
      </c>
      <c r="E755" s="16">
        <v>5.28</v>
      </c>
    </row>
    <row r="756" spans="3:5" x14ac:dyDescent="0.25">
      <c r="C756" s="16">
        <v>588</v>
      </c>
      <c r="D756" s="16" t="s">
        <v>740</v>
      </c>
      <c r="E756" s="16">
        <v>4.57</v>
      </c>
    </row>
    <row r="757" spans="3:5" x14ac:dyDescent="0.25">
      <c r="C757" s="16">
        <v>589</v>
      </c>
      <c r="D757" s="16" t="s">
        <v>741</v>
      </c>
      <c r="E757" s="16">
        <v>3.85</v>
      </c>
    </row>
    <row r="758" spans="3:5" x14ac:dyDescent="0.25">
      <c r="C758" s="16">
        <v>590</v>
      </c>
      <c r="D758" s="16" t="s">
        <v>742</v>
      </c>
      <c r="E758" s="16">
        <v>4.21</v>
      </c>
    </row>
    <row r="759" spans="3:5" x14ac:dyDescent="0.25">
      <c r="C759" s="16">
        <v>591</v>
      </c>
      <c r="D759" s="16" t="s">
        <v>743</v>
      </c>
      <c r="E759" s="16">
        <v>4.6500000000000004</v>
      </c>
    </row>
    <row r="760" spans="3:5" x14ac:dyDescent="0.25">
      <c r="C760" s="16">
        <v>592</v>
      </c>
      <c r="D760" s="16" t="s">
        <v>744</v>
      </c>
      <c r="E760" s="16">
        <v>3.85</v>
      </c>
    </row>
    <row r="761" spans="3:5" x14ac:dyDescent="0.25">
      <c r="C761" s="16">
        <v>593</v>
      </c>
      <c r="D761" s="16" t="s">
        <v>745</v>
      </c>
      <c r="E761" s="16">
        <v>3.85</v>
      </c>
    </row>
    <row r="762" spans="3:5" x14ac:dyDescent="0.25">
      <c r="C762" s="16">
        <v>594</v>
      </c>
      <c r="D762" s="16" t="s">
        <v>746</v>
      </c>
      <c r="E762" s="16">
        <v>4.21</v>
      </c>
    </row>
    <row r="763" spans="3:5" x14ac:dyDescent="0.25">
      <c r="C763" s="16">
        <v>595</v>
      </c>
      <c r="D763" s="16" t="s">
        <v>747</v>
      </c>
      <c r="E763" s="16">
        <v>5.64</v>
      </c>
    </row>
    <row r="764" spans="3:5" x14ac:dyDescent="0.25">
      <c r="C764" s="16">
        <v>596</v>
      </c>
      <c r="D764" s="16" t="s">
        <v>748</v>
      </c>
      <c r="E764" s="16">
        <v>3.85</v>
      </c>
    </row>
    <row r="765" spans="3:5" x14ac:dyDescent="0.25">
      <c r="C765" s="16">
        <v>597</v>
      </c>
      <c r="D765" s="16" t="s">
        <v>749</v>
      </c>
      <c r="E765" s="16">
        <v>3.85</v>
      </c>
    </row>
    <row r="766" spans="3:5" x14ac:dyDescent="0.25">
      <c r="C766" s="16">
        <v>598</v>
      </c>
      <c r="D766" s="16" t="s">
        <v>750</v>
      </c>
      <c r="E766" s="16">
        <v>3.85</v>
      </c>
    </row>
    <row r="767" spans="3:5" x14ac:dyDescent="0.25">
      <c r="C767" s="16">
        <v>599</v>
      </c>
      <c r="D767" s="16" t="s">
        <v>751</v>
      </c>
      <c r="E767" s="16">
        <v>4.21</v>
      </c>
    </row>
    <row r="768" spans="3:5" x14ac:dyDescent="0.25">
      <c r="C768" s="16">
        <v>600</v>
      </c>
      <c r="D768" s="16" t="s">
        <v>752</v>
      </c>
      <c r="E768" s="16">
        <v>3.85</v>
      </c>
    </row>
    <row r="769" spans="3:5" x14ac:dyDescent="0.25">
      <c r="C769" s="16">
        <v>601</v>
      </c>
      <c r="D769" s="16" t="s">
        <v>753</v>
      </c>
      <c r="E769" s="16">
        <v>4.21</v>
      </c>
    </row>
    <row r="770" spans="3:5" x14ac:dyDescent="0.25">
      <c r="C770" s="16">
        <v>602</v>
      </c>
      <c r="D770" s="16" t="s">
        <v>754</v>
      </c>
      <c r="E770" s="16">
        <v>3.85</v>
      </c>
    </row>
    <row r="771" spans="3:5" x14ac:dyDescent="0.25">
      <c r="C771" s="16">
        <v>603</v>
      </c>
      <c r="D771" s="16" t="s">
        <v>755</v>
      </c>
      <c r="E771" s="16">
        <v>3.85</v>
      </c>
    </row>
    <row r="772" spans="3:5" x14ac:dyDescent="0.25">
      <c r="C772" s="16">
        <v>604</v>
      </c>
      <c r="D772" s="16" t="s">
        <v>756</v>
      </c>
      <c r="E772" s="16">
        <v>3.85</v>
      </c>
    </row>
    <row r="773" spans="3:5" x14ac:dyDescent="0.25">
      <c r="C773" s="16">
        <v>605</v>
      </c>
      <c r="D773" s="16" t="s">
        <v>757</v>
      </c>
      <c r="E773" s="16">
        <v>4.21</v>
      </c>
    </row>
    <row r="774" spans="3:5" x14ac:dyDescent="0.25">
      <c r="C774" s="16">
        <v>606</v>
      </c>
      <c r="D774" s="16" t="s">
        <v>758</v>
      </c>
      <c r="E774" s="16">
        <v>4.57</v>
      </c>
    </row>
    <row r="775" spans="3:5" x14ac:dyDescent="0.25">
      <c r="C775" s="16">
        <v>607</v>
      </c>
      <c r="D775" s="16" t="s">
        <v>759</v>
      </c>
      <c r="E775" s="16">
        <v>4.21</v>
      </c>
    </row>
    <row r="776" spans="3:5" x14ac:dyDescent="0.25">
      <c r="C776" s="16">
        <v>608</v>
      </c>
      <c r="D776" s="16" t="s">
        <v>760</v>
      </c>
      <c r="E776" s="16">
        <v>4.21</v>
      </c>
    </row>
    <row r="777" spans="3:5" x14ac:dyDescent="0.25">
      <c r="C777" s="16">
        <v>609</v>
      </c>
      <c r="D777" s="16" t="s">
        <v>761</v>
      </c>
      <c r="E777" s="16">
        <v>5.28</v>
      </c>
    </row>
    <row r="778" spans="3:5" x14ac:dyDescent="0.25">
      <c r="C778" s="16">
        <v>610</v>
      </c>
      <c r="D778" s="16" t="s">
        <v>762</v>
      </c>
      <c r="E778" s="16">
        <v>5.28</v>
      </c>
    </row>
    <row r="779" spans="3:5" x14ac:dyDescent="0.25">
      <c r="C779" s="16">
        <v>611</v>
      </c>
      <c r="D779" s="16" t="s">
        <v>763</v>
      </c>
      <c r="E779" s="16">
        <v>3.85</v>
      </c>
    </row>
    <row r="780" spans="3:5" x14ac:dyDescent="0.25">
      <c r="C780" s="16">
        <v>612</v>
      </c>
      <c r="D780" s="16" t="s">
        <v>764</v>
      </c>
      <c r="E780" s="16">
        <v>3.85</v>
      </c>
    </row>
    <row r="781" spans="3:5" x14ac:dyDescent="0.25">
      <c r="C781" s="16">
        <v>613</v>
      </c>
      <c r="D781" s="16" t="s">
        <v>765</v>
      </c>
      <c r="E781" s="16">
        <v>3.85</v>
      </c>
    </row>
    <row r="782" spans="3:5" x14ac:dyDescent="0.25">
      <c r="C782" s="16">
        <v>614</v>
      </c>
      <c r="D782" s="16" t="s">
        <v>766</v>
      </c>
      <c r="E782" s="16">
        <v>5.28</v>
      </c>
    </row>
    <row r="783" spans="3:5" x14ac:dyDescent="0.25">
      <c r="C783" s="16">
        <v>615</v>
      </c>
      <c r="D783" s="16" t="s">
        <v>767</v>
      </c>
      <c r="E783" s="16">
        <v>6.08</v>
      </c>
    </row>
    <row r="784" spans="3:5" x14ac:dyDescent="0.25">
      <c r="C784" s="16">
        <v>616</v>
      </c>
      <c r="D784" s="16" t="s">
        <v>768</v>
      </c>
      <c r="E784" s="16">
        <v>3.85</v>
      </c>
    </row>
    <row r="785" spans="3:5" x14ac:dyDescent="0.25">
      <c r="C785" s="16">
        <v>617</v>
      </c>
      <c r="D785" s="16" t="s">
        <v>769</v>
      </c>
      <c r="E785" s="16">
        <v>3.85</v>
      </c>
    </row>
    <row r="786" spans="3:5" x14ac:dyDescent="0.25">
      <c r="C786" s="16">
        <v>618</v>
      </c>
      <c r="D786" s="16" t="s">
        <v>770</v>
      </c>
      <c r="E786" s="16">
        <v>3.85</v>
      </c>
    </row>
    <row r="787" spans="3:5" x14ac:dyDescent="0.25">
      <c r="C787" s="16">
        <v>619</v>
      </c>
      <c r="D787" s="16" t="s">
        <v>771</v>
      </c>
      <c r="E787" s="16">
        <v>3.85</v>
      </c>
    </row>
    <row r="788" spans="3:5" x14ac:dyDescent="0.25">
      <c r="C788" s="16">
        <v>620</v>
      </c>
      <c r="D788" s="16" t="s">
        <v>772</v>
      </c>
      <c r="E788" s="16">
        <v>3.85</v>
      </c>
    </row>
    <row r="789" spans="3:5" x14ac:dyDescent="0.25">
      <c r="C789" s="16">
        <v>621</v>
      </c>
      <c r="D789" s="16" t="s">
        <v>773</v>
      </c>
      <c r="E789" s="16">
        <v>3.85</v>
      </c>
    </row>
    <row r="790" spans="3:5" x14ac:dyDescent="0.25">
      <c r="C790" s="16">
        <v>622</v>
      </c>
      <c r="D790" s="16" t="s">
        <v>774</v>
      </c>
      <c r="E790" s="16">
        <v>4.21</v>
      </c>
    </row>
    <row r="791" spans="3:5" x14ac:dyDescent="0.25">
      <c r="C791" s="16">
        <v>623</v>
      </c>
      <c r="D791" s="16" t="s">
        <v>775</v>
      </c>
      <c r="E791" s="16">
        <v>3.85</v>
      </c>
    </row>
    <row r="792" spans="3:5" x14ac:dyDescent="0.25">
      <c r="C792" s="16">
        <v>624</v>
      </c>
      <c r="D792" s="16" t="s">
        <v>776</v>
      </c>
      <c r="E792" s="16">
        <v>3.85</v>
      </c>
    </row>
    <row r="793" spans="3:5" x14ac:dyDescent="0.25">
      <c r="C793" s="16">
        <v>625</v>
      </c>
      <c r="D793" s="16" t="s">
        <v>777</v>
      </c>
      <c r="E793" s="16">
        <v>3.85</v>
      </c>
    </row>
    <row r="794" spans="3:5" x14ac:dyDescent="0.25">
      <c r="C794" s="16">
        <v>626</v>
      </c>
      <c r="D794" s="16" t="s">
        <v>778</v>
      </c>
      <c r="E794" s="16">
        <v>3.85</v>
      </c>
    </row>
    <row r="795" spans="3:5" x14ac:dyDescent="0.25">
      <c r="C795" s="16">
        <v>627</v>
      </c>
      <c r="D795" s="16" t="s">
        <v>779</v>
      </c>
      <c r="E795" s="16">
        <v>3.85</v>
      </c>
    </row>
    <row r="796" spans="3:5" x14ac:dyDescent="0.25">
      <c r="C796" s="16">
        <v>628</v>
      </c>
      <c r="D796" s="16" t="s">
        <v>780</v>
      </c>
      <c r="E796" s="16">
        <v>3.85</v>
      </c>
    </row>
    <row r="797" spans="3:5" x14ac:dyDescent="0.25">
      <c r="C797" s="16">
        <v>629</v>
      </c>
      <c r="D797" s="16" t="s">
        <v>781</v>
      </c>
      <c r="E797" s="16">
        <v>3.85</v>
      </c>
    </row>
    <row r="798" spans="3:5" x14ac:dyDescent="0.25">
      <c r="C798" s="16">
        <v>630</v>
      </c>
      <c r="D798" s="16" t="s">
        <v>782</v>
      </c>
      <c r="E798" s="16">
        <v>4.21</v>
      </c>
    </row>
    <row r="799" spans="3:5" x14ac:dyDescent="0.25">
      <c r="C799" s="16">
        <v>631</v>
      </c>
      <c r="D799" s="16" t="s">
        <v>783</v>
      </c>
      <c r="E799" s="16">
        <v>4.21</v>
      </c>
    </row>
    <row r="800" spans="3:5" x14ac:dyDescent="0.25">
      <c r="C800" s="16">
        <v>632</v>
      </c>
      <c r="D800" s="16" t="s">
        <v>784</v>
      </c>
      <c r="E800" s="16">
        <v>3.85</v>
      </c>
    </row>
    <row r="801" spans="3:5" x14ac:dyDescent="0.25">
      <c r="C801" s="16">
        <v>633</v>
      </c>
      <c r="D801" s="16" t="s">
        <v>785</v>
      </c>
      <c r="E801" s="16">
        <v>3.85</v>
      </c>
    </row>
    <row r="802" spans="3:5" x14ac:dyDescent="0.25">
      <c r="C802" s="16">
        <v>634</v>
      </c>
      <c r="D802" s="16" t="s">
        <v>786</v>
      </c>
      <c r="E802" s="16">
        <v>3.85</v>
      </c>
    </row>
    <row r="803" spans="3:5" x14ac:dyDescent="0.25">
      <c r="C803" s="16">
        <v>635</v>
      </c>
      <c r="D803" s="16" t="s">
        <v>787</v>
      </c>
      <c r="E803" s="16">
        <v>3.85</v>
      </c>
    </row>
    <row r="804" spans="3:5" x14ac:dyDescent="0.25">
      <c r="C804" s="16">
        <v>636</v>
      </c>
      <c r="D804" s="16" t="s">
        <v>788</v>
      </c>
      <c r="E804" s="16">
        <v>3.85</v>
      </c>
    </row>
    <row r="805" spans="3:5" x14ac:dyDescent="0.25">
      <c r="C805" s="16">
        <v>637</v>
      </c>
      <c r="D805" s="16" t="s">
        <v>789</v>
      </c>
      <c r="E805" s="16">
        <v>3.85</v>
      </c>
    </row>
    <row r="806" spans="3:5" x14ac:dyDescent="0.25">
      <c r="C806" s="16">
        <v>638</v>
      </c>
      <c r="D806" s="16" t="s">
        <v>790</v>
      </c>
      <c r="E806" s="16">
        <v>3.85</v>
      </c>
    </row>
    <row r="807" spans="3:5" x14ac:dyDescent="0.25">
      <c r="C807" s="16">
        <v>639</v>
      </c>
      <c r="D807" s="16" t="s">
        <v>791</v>
      </c>
      <c r="E807" s="16">
        <v>3.85</v>
      </c>
    </row>
    <row r="808" spans="3:5" x14ac:dyDescent="0.25">
      <c r="C808" s="16">
        <v>640</v>
      </c>
      <c r="D808" s="16" t="s">
        <v>792</v>
      </c>
      <c r="E808" s="16">
        <v>3.85</v>
      </c>
    </row>
    <row r="809" spans="3:5" x14ac:dyDescent="0.25">
      <c r="C809" s="16">
        <v>641</v>
      </c>
      <c r="D809" s="16" t="s">
        <v>793</v>
      </c>
      <c r="E809" s="16">
        <v>3.85</v>
      </c>
    </row>
    <row r="810" spans="3:5" x14ac:dyDescent="0.25">
      <c r="C810" s="16">
        <v>642</v>
      </c>
      <c r="D810" s="16" t="s">
        <v>794</v>
      </c>
      <c r="E810" s="16">
        <v>3.85</v>
      </c>
    </row>
    <row r="811" spans="3:5" x14ac:dyDescent="0.25">
      <c r="C811" s="16">
        <v>643</v>
      </c>
      <c r="D811" s="16" t="s">
        <v>795</v>
      </c>
      <c r="E811" s="16">
        <v>3.85</v>
      </c>
    </row>
    <row r="812" spans="3:5" x14ac:dyDescent="0.25">
      <c r="C812" s="16">
        <v>644</v>
      </c>
      <c r="D812" s="16" t="s">
        <v>796</v>
      </c>
      <c r="E812" s="16">
        <v>3.85</v>
      </c>
    </row>
    <row r="813" spans="3:5" x14ac:dyDescent="0.25">
      <c r="C813" s="16">
        <v>645</v>
      </c>
      <c r="D813" s="16" t="s">
        <v>797</v>
      </c>
      <c r="E813" s="16">
        <v>3.85</v>
      </c>
    </row>
    <row r="814" spans="3:5" x14ac:dyDescent="0.25">
      <c r="C814" s="16">
        <v>646</v>
      </c>
      <c r="D814" s="16" t="s">
        <v>798</v>
      </c>
      <c r="E814" s="16">
        <v>3.85</v>
      </c>
    </row>
    <row r="815" spans="3:5" x14ac:dyDescent="0.25">
      <c r="C815" s="16">
        <v>647</v>
      </c>
      <c r="D815" s="16" t="s">
        <v>799</v>
      </c>
      <c r="E815" s="16">
        <v>4.21</v>
      </c>
    </row>
    <row r="816" spans="3:5" x14ac:dyDescent="0.25">
      <c r="C816" s="16">
        <v>648</v>
      </c>
      <c r="D816" s="16" t="s">
        <v>800</v>
      </c>
      <c r="E816" s="16">
        <v>4.21</v>
      </c>
    </row>
    <row r="817" spans="3:5" x14ac:dyDescent="0.25">
      <c r="C817" s="16">
        <v>649</v>
      </c>
      <c r="D817" s="16" t="s">
        <v>801</v>
      </c>
      <c r="E817" s="16">
        <v>3.85</v>
      </c>
    </row>
    <row r="818" spans="3:5" x14ac:dyDescent="0.25">
      <c r="C818" s="16">
        <v>650</v>
      </c>
      <c r="D818" s="16" t="s">
        <v>802</v>
      </c>
      <c r="E818" s="16">
        <v>3.85</v>
      </c>
    </row>
    <row r="819" spans="3:5" x14ac:dyDescent="0.25">
      <c r="C819" s="16">
        <v>651</v>
      </c>
      <c r="D819" s="16" t="s">
        <v>803</v>
      </c>
      <c r="E819" s="16">
        <v>4.21</v>
      </c>
    </row>
    <row r="820" spans="3:5" x14ac:dyDescent="0.25">
      <c r="C820" s="16">
        <v>652</v>
      </c>
      <c r="D820" s="16" t="s">
        <v>804</v>
      </c>
      <c r="E820" s="16">
        <v>4.21</v>
      </c>
    </row>
    <row r="821" spans="3:5" x14ac:dyDescent="0.25">
      <c r="C821" s="16">
        <v>653</v>
      </c>
      <c r="D821" s="16" t="s">
        <v>805</v>
      </c>
      <c r="E821" s="16">
        <v>4.57</v>
      </c>
    </row>
    <row r="822" spans="3:5" x14ac:dyDescent="0.25">
      <c r="C822" s="16">
        <v>654</v>
      </c>
      <c r="D822" s="16" t="s">
        <v>806</v>
      </c>
      <c r="E822" s="16">
        <v>3.85</v>
      </c>
    </row>
    <row r="823" spans="3:5" x14ac:dyDescent="0.25">
      <c r="C823" s="16">
        <v>655</v>
      </c>
      <c r="D823" s="16" t="s">
        <v>807</v>
      </c>
      <c r="E823" s="16">
        <v>4.21</v>
      </c>
    </row>
    <row r="824" spans="3:5" x14ac:dyDescent="0.25">
      <c r="C824" s="16">
        <v>656</v>
      </c>
      <c r="D824" s="16" t="s">
        <v>808</v>
      </c>
      <c r="E824" s="16">
        <v>5.28</v>
      </c>
    </row>
    <row r="825" spans="3:5" x14ac:dyDescent="0.25">
      <c r="C825" s="16">
        <v>657</v>
      </c>
      <c r="D825" s="16" t="s">
        <v>810</v>
      </c>
      <c r="E825" s="16">
        <v>3.85</v>
      </c>
    </row>
    <row r="826" spans="3:5" x14ac:dyDescent="0.25">
      <c r="C826" s="16">
        <v>658</v>
      </c>
      <c r="D826" s="16" t="s">
        <v>811</v>
      </c>
      <c r="E826" s="16">
        <v>3.85</v>
      </c>
    </row>
    <row r="827" spans="3:5" x14ac:dyDescent="0.25">
      <c r="C827" s="16">
        <v>659</v>
      </c>
      <c r="D827" s="16" t="s">
        <v>812</v>
      </c>
      <c r="E827" s="16">
        <v>4.57</v>
      </c>
    </row>
    <row r="828" spans="3:5" x14ac:dyDescent="0.25">
      <c r="C828" s="16">
        <v>660</v>
      </c>
      <c r="D828" s="16" t="s">
        <v>813</v>
      </c>
      <c r="E828" s="16">
        <v>4.21</v>
      </c>
    </row>
    <row r="829" spans="3:5" x14ac:dyDescent="0.25">
      <c r="C829" s="16">
        <v>661</v>
      </c>
      <c r="D829" s="16" t="s">
        <v>814</v>
      </c>
      <c r="E829" s="16">
        <v>5.64</v>
      </c>
    </row>
    <row r="830" spans="3:5" x14ac:dyDescent="0.25">
      <c r="C830" s="16">
        <v>662</v>
      </c>
      <c r="D830" s="16" t="s">
        <v>815</v>
      </c>
      <c r="E830" s="16">
        <v>5.28</v>
      </c>
    </row>
    <row r="831" spans="3:5" x14ac:dyDescent="0.25">
      <c r="C831" s="16">
        <v>663</v>
      </c>
      <c r="D831" s="16" t="s">
        <v>816</v>
      </c>
      <c r="E831" s="16">
        <v>4.6500000000000004</v>
      </c>
    </row>
    <row r="832" spans="3:5" x14ac:dyDescent="0.25">
      <c r="C832" s="16">
        <v>664</v>
      </c>
      <c r="D832" s="16" t="s">
        <v>817</v>
      </c>
      <c r="E832" s="16">
        <v>3.85</v>
      </c>
    </row>
    <row r="833" spans="3:5" x14ac:dyDescent="0.25">
      <c r="C833" s="16">
        <v>665</v>
      </c>
      <c r="D833" s="16" t="s">
        <v>818</v>
      </c>
      <c r="E833" s="16">
        <v>5.28</v>
      </c>
    </row>
    <row r="834" spans="3:5" x14ac:dyDescent="0.25">
      <c r="C834" s="16">
        <v>666</v>
      </c>
      <c r="D834" s="16" t="s">
        <v>819</v>
      </c>
      <c r="E834" s="16">
        <v>3.85</v>
      </c>
    </row>
    <row r="835" spans="3:5" x14ac:dyDescent="0.25">
      <c r="C835" s="16">
        <v>667</v>
      </c>
      <c r="D835" s="16" t="s">
        <v>820</v>
      </c>
      <c r="E835" s="16">
        <v>5.28</v>
      </c>
    </row>
    <row r="836" spans="3:5" x14ac:dyDescent="0.25">
      <c r="C836" s="16">
        <v>668</v>
      </c>
      <c r="D836" s="16" t="s">
        <v>821</v>
      </c>
      <c r="E836" s="16">
        <v>4.21</v>
      </c>
    </row>
    <row r="837" spans="3:5" x14ac:dyDescent="0.25">
      <c r="C837" s="16">
        <v>669</v>
      </c>
      <c r="D837" s="16" t="s">
        <v>822</v>
      </c>
      <c r="E837" s="16">
        <v>5.28</v>
      </c>
    </row>
    <row r="838" spans="3:5" x14ac:dyDescent="0.25">
      <c r="C838" s="16">
        <v>670</v>
      </c>
      <c r="D838" s="16" t="s">
        <v>823</v>
      </c>
      <c r="E838" s="16">
        <v>3.85</v>
      </c>
    </row>
    <row r="839" spans="3:5" x14ac:dyDescent="0.25">
      <c r="C839" s="16">
        <v>671</v>
      </c>
      <c r="D839" s="16" t="s">
        <v>824</v>
      </c>
      <c r="E839" s="16">
        <v>3.85</v>
      </c>
    </row>
    <row r="840" spans="3:5" x14ac:dyDescent="0.25">
      <c r="C840" s="16">
        <v>672</v>
      </c>
      <c r="D840" s="16" t="s">
        <v>825</v>
      </c>
      <c r="E840" s="16">
        <v>4.21</v>
      </c>
    </row>
    <row r="841" spans="3:5" x14ac:dyDescent="0.25">
      <c r="C841" s="16">
        <v>673</v>
      </c>
      <c r="D841" s="16" t="s">
        <v>826</v>
      </c>
      <c r="E841" s="16">
        <v>4.21</v>
      </c>
    </row>
    <row r="842" spans="3:5" x14ac:dyDescent="0.25">
      <c r="C842" s="16">
        <v>674</v>
      </c>
      <c r="D842" s="16" t="s">
        <v>827</v>
      </c>
      <c r="E842" s="16">
        <v>3.85</v>
      </c>
    </row>
    <row r="843" spans="3:5" x14ac:dyDescent="0.25">
      <c r="C843" s="16">
        <v>675</v>
      </c>
      <c r="D843" s="16" t="s">
        <v>828</v>
      </c>
      <c r="E843" s="16">
        <v>4.21</v>
      </c>
    </row>
    <row r="844" spans="3:5" x14ac:dyDescent="0.25">
      <c r="C844" s="16">
        <v>676</v>
      </c>
      <c r="D844" s="16" t="s">
        <v>829</v>
      </c>
      <c r="E844" s="16">
        <v>3.85</v>
      </c>
    </row>
    <row r="845" spans="3:5" x14ac:dyDescent="0.25">
      <c r="C845" s="16">
        <v>677</v>
      </c>
      <c r="D845" s="16" t="s">
        <v>830</v>
      </c>
      <c r="E845" s="16">
        <v>3.85</v>
      </c>
    </row>
  </sheetData>
  <sheetProtection selectLockedCells="1"/>
  <mergeCells count="50">
    <mergeCell ref="C2:L2"/>
    <mergeCell ref="R3:U3"/>
    <mergeCell ref="R5:U5"/>
    <mergeCell ref="R4:Y4"/>
    <mergeCell ref="R7:S7"/>
    <mergeCell ref="O2:P2"/>
    <mergeCell ref="C4:F4"/>
    <mergeCell ref="C81:L81"/>
    <mergeCell ref="K86:L86"/>
    <mergeCell ref="J85:L85"/>
    <mergeCell ref="C85:I85"/>
    <mergeCell ref="K96:L96"/>
    <mergeCell ref="C95:I95"/>
    <mergeCell ref="J95:L95"/>
    <mergeCell ref="C80:L80"/>
    <mergeCell ref="C9:L9"/>
    <mergeCell ref="C67:L67"/>
    <mergeCell ref="C71:L71"/>
    <mergeCell ref="C40:L40"/>
    <mergeCell ref="G62:H62"/>
    <mergeCell ref="C29:E29"/>
    <mergeCell ref="G65:H65"/>
    <mergeCell ref="F59:G59"/>
    <mergeCell ref="C41:L41"/>
    <mergeCell ref="H107:I107"/>
    <mergeCell ref="H108:I108"/>
    <mergeCell ref="C103:J103"/>
    <mergeCell ref="C141:L141"/>
    <mergeCell ref="H109:I109"/>
    <mergeCell ref="H110:I110"/>
    <mergeCell ref="C122:F122"/>
    <mergeCell ref="C123:F123"/>
    <mergeCell ref="C121:L121"/>
    <mergeCell ref="K123:L123"/>
    <mergeCell ref="I123:J123"/>
    <mergeCell ref="K122:L122"/>
    <mergeCell ref="I122:J122"/>
    <mergeCell ref="H106:I106"/>
    <mergeCell ref="H104:I104"/>
    <mergeCell ref="H105:I105"/>
    <mergeCell ref="C165:L165"/>
    <mergeCell ref="I124:J124"/>
    <mergeCell ref="C124:F124"/>
    <mergeCell ref="K126:L126"/>
    <mergeCell ref="K127:L127"/>
    <mergeCell ref="G125:J125"/>
    <mergeCell ref="G126:J126"/>
    <mergeCell ref="G127:J127"/>
    <mergeCell ref="K125:L125"/>
    <mergeCell ref="K124:L124"/>
  </mergeCells>
  <conditionalFormatting sqref="Q13">
    <cfRule type="duplicateValues" dxfId="34" priority="1"/>
  </conditionalFormatting>
  <pageMargins left="0.7" right="0.7" top="0.75" bottom="0.75" header="0.3" footer="0.3"/>
  <pageSetup paperSize="9" scale="85" fitToHeight="0" orientation="portrait" r:id="rId1"/>
  <headerFooter>
    <oddFooter>&amp;C&amp;P</oddFooter>
  </headerFooter>
  <rowBreaks count="3" manualBreakCount="3">
    <brk id="41" min="2" max="11" man="1"/>
    <brk id="81" min="2" max="11" man="1"/>
    <brk id="128" min="2"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SavePdf">
                <anchor moveWithCells="1" sizeWithCells="1">
                  <from>
                    <xdr:col>13</xdr:col>
                    <xdr:colOff>542925</xdr:colOff>
                    <xdr:row>8</xdr:row>
                    <xdr:rowOff>19050</xdr:rowOff>
                  </from>
                  <to>
                    <xdr:col>16</xdr:col>
                    <xdr:colOff>76200</xdr:colOff>
                    <xdr:row>8</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sheetPr>
  <dimension ref="A1:BX2468"/>
  <sheetViews>
    <sheetView tabSelected="1" zoomScaleNormal="100" workbookViewId="0">
      <pane xSplit="1" ySplit="1" topLeftCell="AA2" activePane="bottomRight" state="frozen"/>
      <selection pane="topRight" activeCell="B1" sqref="B1"/>
      <selection pane="bottomLeft" activeCell="A2" sqref="A2"/>
      <selection pane="bottomRight" activeCell="A10" sqref="A10"/>
    </sheetView>
  </sheetViews>
  <sheetFormatPr defaultRowHeight="15" x14ac:dyDescent="0.25"/>
  <cols>
    <col min="1" max="1" width="14.42578125" bestFit="1" customWidth="1"/>
    <col min="2" max="2" width="10.85546875" bestFit="1" customWidth="1"/>
    <col min="3" max="3" width="11.7109375" bestFit="1" customWidth="1"/>
    <col min="4" max="4" width="6.5703125" bestFit="1" customWidth="1"/>
    <col min="5" max="5" width="8.140625" bestFit="1" customWidth="1"/>
    <col min="6" max="6" width="26.28515625" bestFit="1" customWidth="1"/>
    <col min="7" max="7" width="13.5703125" style="65" bestFit="1" customWidth="1"/>
    <col min="8" max="8" width="19.5703125" style="65" bestFit="1" customWidth="1"/>
    <col min="9" max="9" width="11.42578125" style="65" bestFit="1" customWidth="1"/>
    <col min="10" max="10" width="15.140625" style="65" bestFit="1" customWidth="1"/>
    <col min="11" max="11" width="9.42578125" style="65" bestFit="1" customWidth="1"/>
    <col min="12" max="12" width="6.7109375" style="65" bestFit="1" customWidth="1"/>
    <col min="13" max="13" width="12.140625" style="65" bestFit="1" customWidth="1"/>
    <col min="14" max="14" width="22.5703125" style="65" bestFit="1" customWidth="1"/>
    <col min="15" max="15" width="34.85546875" style="65" bestFit="1" customWidth="1"/>
    <col min="16" max="16" width="30.7109375" style="65" bestFit="1" customWidth="1"/>
    <col min="17" max="17" width="25.7109375" style="65" bestFit="1" customWidth="1"/>
    <col min="18" max="18" width="10.5703125" style="65" bestFit="1" customWidth="1"/>
    <col min="19" max="19" width="16.85546875" style="65" bestFit="1" customWidth="1"/>
    <col min="20" max="20" width="20.5703125" style="65" bestFit="1" customWidth="1"/>
    <col min="21" max="21" width="17.28515625" style="65" bestFit="1" customWidth="1"/>
    <col min="22" max="22" width="25.85546875" style="65" bestFit="1" customWidth="1"/>
    <col min="23" max="23" width="19.5703125" style="65" bestFit="1" customWidth="1"/>
    <col min="24" max="24" width="18.140625" style="65" bestFit="1" customWidth="1"/>
    <col min="25" max="25" width="26.85546875" style="65" bestFit="1" customWidth="1"/>
    <col min="26" max="26" width="16.140625" style="65" bestFit="1" customWidth="1"/>
    <col min="27" max="27" width="16.28515625" style="65" bestFit="1" customWidth="1"/>
    <col min="28" max="28" width="29" style="65" bestFit="1" customWidth="1"/>
    <col min="29" max="29" width="13.42578125" style="65" bestFit="1" customWidth="1"/>
    <col min="30" max="30" width="35.28515625" style="65" bestFit="1" customWidth="1"/>
    <col min="31" max="31" width="15.42578125" style="65" bestFit="1" customWidth="1"/>
    <col min="32" max="32" width="13.85546875" style="65" bestFit="1" customWidth="1"/>
    <col min="33" max="33" width="28.85546875" style="65" bestFit="1" customWidth="1"/>
    <col min="34" max="34" width="35.42578125" style="65" bestFit="1" customWidth="1"/>
    <col min="35" max="35" width="22.5703125" style="65" bestFit="1" customWidth="1"/>
    <col min="36" max="36" width="12.85546875" style="65" bestFit="1" customWidth="1"/>
    <col min="37" max="37" width="34.42578125" style="65" bestFit="1" customWidth="1"/>
    <col min="38" max="38" width="13.85546875" style="65" bestFit="1" customWidth="1"/>
    <col min="39" max="39" width="17.85546875" style="65" bestFit="1" customWidth="1"/>
    <col min="40" max="40" width="22" style="65" bestFit="1" customWidth="1"/>
    <col min="41" max="41" width="22.7109375" style="65" bestFit="1" customWidth="1"/>
    <col min="42" max="42" width="19" style="65" bestFit="1" customWidth="1"/>
    <col min="43" max="43" width="20.28515625" style="65" bestFit="1" customWidth="1"/>
    <col min="44" max="44" width="17.140625" style="70" bestFit="1" customWidth="1"/>
    <col min="45" max="45" width="9.140625" style="70" bestFit="1" customWidth="1"/>
    <col min="46" max="47" width="9.140625" style="65" bestFit="1" customWidth="1"/>
    <col min="48" max="48" width="35.28515625" style="65" bestFit="1" customWidth="1"/>
    <col min="49" max="49" width="31" style="65" bestFit="1" customWidth="1"/>
    <col min="50" max="50" width="35.140625" style="65" bestFit="1" customWidth="1"/>
    <col min="51" max="51" width="25.85546875" style="65" bestFit="1" customWidth="1"/>
    <col min="52" max="52" width="35.42578125" style="65" bestFit="1" customWidth="1"/>
    <col min="53" max="53" width="69.7109375" style="65" bestFit="1" customWidth="1"/>
    <col min="54" max="54" width="31.5703125" style="65" bestFit="1" customWidth="1"/>
    <col min="55" max="55" width="27.42578125" style="65" customWidth="1"/>
    <col min="56" max="56" width="30.5703125" bestFit="1" customWidth="1"/>
    <col min="57" max="57" width="18.28515625" bestFit="1" customWidth="1"/>
    <col min="58" max="58" width="23.7109375" bestFit="1" customWidth="1"/>
    <col min="59" max="59" width="42.140625" bestFit="1" customWidth="1"/>
    <col min="60" max="60" width="26" bestFit="1" customWidth="1"/>
    <col min="61" max="61" width="34.7109375" bestFit="1" customWidth="1"/>
    <col min="62" max="62" width="24.5703125" bestFit="1" customWidth="1"/>
    <col min="63" max="63" width="38.28515625" bestFit="1" customWidth="1"/>
    <col min="64" max="64" width="48.140625" bestFit="1" customWidth="1"/>
    <col min="65" max="65" width="48" bestFit="1" customWidth="1"/>
    <col min="66" max="66" width="35.28515625" bestFit="1" customWidth="1"/>
    <col min="67" max="67" width="31" bestFit="1" customWidth="1"/>
    <col min="68" max="68" width="35.140625" bestFit="1" customWidth="1"/>
    <col min="69" max="69" width="25.85546875" bestFit="1" customWidth="1"/>
    <col min="70" max="70" width="35.42578125" bestFit="1" customWidth="1"/>
    <col min="71" max="71" width="69.7109375" style="65" bestFit="1" customWidth="1"/>
    <col min="72" max="72" width="31.5703125" style="65" bestFit="1" customWidth="1"/>
    <col min="73" max="73" width="27.42578125" style="65" customWidth="1"/>
    <col min="74" max="74" width="69.7109375" style="32" bestFit="1" customWidth="1"/>
    <col min="75" max="75" width="31.5703125" style="32" customWidth="1"/>
    <col min="76" max="76" width="27.42578125" style="32" bestFit="1" customWidth="1"/>
  </cols>
  <sheetData>
    <row r="1" spans="1:76" x14ac:dyDescent="0.25">
      <c r="A1" t="s">
        <v>368</v>
      </c>
      <c r="B1" t="s">
        <v>28</v>
      </c>
      <c r="C1" s="62" t="s">
        <v>0</v>
      </c>
      <c r="D1" t="s">
        <v>1</v>
      </c>
      <c r="E1" t="s">
        <v>27</v>
      </c>
      <c r="F1" t="s">
        <v>834</v>
      </c>
      <c r="G1" t="s">
        <v>140</v>
      </c>
      <c r="H1" t="s">
        <v>143</v>
      </c>
      <c r="I1" t="s">
        <v>144</v>
      </c>
      <c r="J1" t="s">
        <v>317</v>
      </c>
      <c r="K1" t="s">
        <v>369</v>
      </c>
      <c r="L1" t="s">
        <v>370</v>
      </c>
      <c r="M1" t="s">
        <v>371</v>
      </c>
      <c r="N1" t="s">
        <v>809</v>
      </c>
      <c r="O1" t="s">
        <v>832</v>
      </c>
      <c r="P1" t="s">
        <v>566</v>
      </c>
      <c r="Q1" t="s">
        <v>842</v>
      </c>
      <c r="R1" t="s">
        <v>372</v>
      </c>
      <c r="S1" t="s">
        <v>373</v>
      </c>
      <c r="T1" t="s">
        <v>377</v>
      </c>
      <c r="U1" s="65" t="s">
        <v>841</v>
      </c>
      <c r="V1" t="s">
        <v>843</v>
      </c>
      <c r="W1" t="s">
        <v>374</v>
      </c>
      <c r="X1" t="s">
        <v>375</v>
      </c>
      <c r="Y1" t="s">
        <v>297</v>
      </c>
      <c r="Z1" t="s">
        <v>295</v>
      </c>
      <c r="AA1" t="s">
        <v>296</v>
      </c>
      <c r="AB1" t="s">
        <v>266</v>
      </c>
      <c r="AC1" t="s">
        <v>267</v>
      </c>
      <c r="AD1" t="s">
        <v>409</v>
      </c>
      <c r="AE1" t="s">
        <v>376</v>
      </c>
      <c r="AF1" t="s">
        <v>294</v>
      </c>
      <c r="AG1" t="s">
        <v>410</v>
      </c>
      <c r="AH1" t="s">
        <v>411</v>
      </c>
      <c r="AI1" t="s">
        <v>378</v>
      </c>
      <c r="AJ1" s="71" t="s">
        <v>379</v>
      </c>
      <c r="AK1" s="71" t="s">
        <v>260</v>
      </c>
      <c r="AL1" s="70" t="s">
        <v>381</v>
      </c>
      <c r="AM1" s="70" t="s">
        <v>380</v>
      </c>
      <c r="AN1" s="71" t="s">
        <v>265</v>
      </c>
      <c r="AO1" s="71" t="s">
        <v>318</v>
      </c>
      <c r="AP1" s="74" t="s">
        <v>831</v>
      </c>
      <c r="AQ1" s="74" t="s">
        <v>833</v>
      </c>
      <c r="AR1" t="s">
        <v>341</v>
      </c>
      <c r="AS1"/>
      <c r="AT1"/>
      <c r="AU1"/>
      <c r="AV1"/>
      <c r="AW1"/>
      <c r="AX1"/>
      <c r="AY1"/>
      <c r="AZ1"/>
      <c r="BA1"/>
      <c r="BB1"/>
      <c r="BC1"/>
      <c r="BS1"/>
      <c r="BT1"/>
      <c r="BU1"/>
      <c r="BV1"/>
      <c r="BW1"/>
      <c r="BX1"/>
    </row>
    <row r="2" spans="1:76" x14ac:dyDescent="0.25">
      <c r="A2" s="65">
        <v>679</v>
      </c>
      <c r="B2" s="62"/>
      <c r="C2" s="62" t="s">
        <v>837</v>
      </c>
      <c r="D2" s="65">
        <v>0</v>
      </c>
      <c r="E2" s="62"/>
      <c r="F2" s="62" t="s">
        <v>835</v>
      </c>
      <c r="G2" s="62"/>
      <c r="H2" s="62" t="s">
        <v>147</v>
      </c>
      <c r="I2" s="62" t="s">
        <v>145</v>
      </c>
      <c r="J2" s="65">
        <v>60</v>
      </c>
      <c r="K2" s="62" t="s">
        <v>316</v>
      </c>
      <c r="L2" s="62" t="s">
        <v>470</v>
      </c>
      <c r="M2" s="65">
        <v>97.828630000000004</v>
      </c>
      <c r="N2" s="65">
        <v>0</v>
      </c>
      <c r="O2" s="64"/>
      <c r="P2" s="62" t="s">
        <v>846</v>
      </c>
      <c r="R2" s="65">
        <v>15.368080000000001</v>
      </c>
      <c r="S2" s="65">
        <v>0</v>
      </c>
      <c r="T2" s="65">
        <v>2</v>
      </c>
      <c r="U2" s="65">
        <v>1</v>
      </c>
      <c r="W2" s="62"/>
      <c r="X2" s="65">
        <v>0</v>
      </c>
      <c r="Y2" s="64"/>
      <c r="Z2" s="62"/>
      <c r="AA2" s="62"/>
      <c r="AB2" s="63"/>
      <c r="AC2" s="62" t="s">
        <v>362</v>
      </c>
      <c r="AD2" s="62"/>
      <c r="AE2" s="62"/>
      <c r="AF2" s="62" t="s">
        <v>312</v>
      </c>
      <c r="AG2" s="64"/>
      <c r="AH2" s="62"/>
      <c r="AI2" s="63"/>
      <c r="AJ2" s="62" t="str">
        <f>IF(MySQL[[#This Row],[Site Type]]="GBT","Green field",
IF(MySQL[[#This Row],[Site Type]]="RTP","Roof top",MySQL[[#This Row],[Site Type]]))</f>
        <v>Green field</v>
      </c>
      <c r="AK2" s="62">
        <f>IF(MySQL[[#This Row],[Vertical Upper]]-MySQL[[#This Row],[Vertical Lower]]+MySQL[[#This Row],[10colo_app.Upper limit 2]]-MySQL[[#This Row],[10colo_app.Lower limit 2]]&gt;5,100*(MySQL[[#This Row],[Vertical Upper]]-MySQL[[#This Row],[Vertical Lower]]+MySQL[[#This Row],[10colo_app.Upper limit 2]]-MySQL[[#This Row],[10colo_app.Lower limit 2]]-5),0)</f>
        <v>0</v>
      </c>
      <c r="AL2" s="73" t="b">
        <f>IF(MySQL[[#This Row],[Tower Extension]]&gt;0,TRUE,FALSE)</f>
        <v>0</v>
      </c>
      <c r="AM2" s="73">
        <f>IF(MySQL[[#This Row],[Is Extension]]=TRUE,COUNTIF($AL$2:AL2,TRUE),0)</f>
        <v>0</v>
      </c>
      <c r="AN2" s="62">
        <f>IF(MySQL[[#This Row],[Count Extension]]&lt;0.12*676,0,3500)</f>
        <v>0</v>
      </c>
      <c r="AO2" s="62" t="str">
        <f>CONCATENATE(MySQL[[#This Row],[AT Site ID]],"_",MySQL[[#This Row],[Mytel ID]],"_Rev ",MySQL[[#This Row],[10colo_app.Rev]],".xlsb")</f>
        <v>ASMO_0299__Rev 1.xlsb</v>
      </c>
      <c r="AP2" s="73" t="b">
        <f>MySQL[[#This Row],[Application Approval Date]]&gt;=MySQL[[#This Row],[10colo_app.Colo_Application_Date]]</f>
        <v>1</v>
      </c>
      <c r="AQ2" s="75" t="str">
        <f>IF(MySQL[[#This Row],[40site_lease.Site Lease Date]]&lt;&gt;"",MySQL[[#This Row],[40site_lease.Site Lease Date]]&gt;=MySQL[[#This Row],[Application Approval Date]],"")</f>
        <v/>
      </c>
      <c r="AR2" s="65"/>
      <c r="AS2"/>
      <c r="AT2"/>
      <c r="AU2"/>
      <c r="AV2"/>
      <c r="AW2"/>
      <c r="AX2"/>
      <c r="AY2"/>
      <c r="AZ2"/>
      <c r="BA2"/>
      <c r="BB2"/>
      <c r="BC2"/>
      <c r="BS2"/>
      <c r="BT2"/>
      <c r="BU2"/>
      <c r="BV2"/>
      <c r="BW2"/>
      <c r="BX2"/>
    </row>
    <row r="3" spans="1:76" x14ac:dyDescent="0.25">
      <c r="AS3"/>
      <c r="AT3"/>
      <c r="AU3"/>
      <c r="AV3"/>
      <c r="AW3"/>
      <c r="AX3"/>
      <c r="AY3"/>
      <c r="AZ3"/>
      <c r="BA3"/>
      <c r="BB3"/>
      <c r="BC3"/>
      <c r="BS3"/>
      <c r="BT3"/>
      <c r="BU3"/>
      <c r="BV3"/>
      <c r="BW3"/>
      <c r="BX3"/>
    </row>
    <row r="4" spans="1:76" x14ac:dyDescent="0.25">
      <c r="B4" s="32"/>
      <c r="F4" t="s">
        <v>732</v>
      </c>
      <c r="I4" s="64"/>
      <c r="AS4"/>
      <c r="AT4"/>
      <c r="AU4"/>
      <c r="AV4"/>
      <c r="AW4"/>
      <c r="AX4"/>
      <c r="AY4"/>
      <c r="AZ4"/>
      <c r="BA4"/>
      <c r="BB4"/>
      <c r="BC4"/>
      <c r="BS4"/>
      <c r="BT4"/>
      <c r="BU4"/>
      <c r="BV4"/>
      <c r="BW4"/>
      <c r="BX4"/>
    </row>
    <row r="5" spans="1:76" x14ac:dyDescent="0.25">
      <c r="B5" s="32"/>
      <c r="F5" t="s">
        <v>243</v>
      </c>
      <c r="AD5" s="81"/>
      <c r="AS5"/>
      <c r="AT5"/>
      <c r="AU5"/>
      <c r="AV5"/>
      <c r="AW5"/>
      <c r="AX5"/>
      <c r="AY5"/>
      <c r="AZ5"/>
      <c r="BA5"/>
      <c r="BB5"/>
      <c r="BC5"/>
      <c r="BS5"/>
      <c r="BT5"/>
      <c r="BU5"/>
      <c r="BV5"/>
      <c r="BW5"/>
      <c r="BX5"/>
    </row>
    <row r="6" spans="1:76" x14ac:dyDescent="0.25">
      <c r="B6" s="32"/>
      <c r="F6" t="s">
        <v>608</v>
      </c>
      <c r="I6" s="64"/>
      <c r="AS6"/>
      <c r="AT6"/>
      <c r="AU6"/>
      <c r="AV6"/>
      <c r="AW6"/>
      <c r="AX6"/>
      <c r="AY6"/>
      <c r="AZ6"/>
      <c r="BA6"/>
      <c r="BB6"/>
      <c r="BC6"/>
      <c r="BS6"/>
      <c r="BT6"/>
      <c r="BU6"/>
      <c r="BV6"/>
      <c r="BW6"/>
      <c r="BX6"/>
    </row>
    <row r="7" spans="1:76" x14ac:dyDescent="0.25">
      <c r="F7" t="s">
        <v>838</v>
      </c>
      <c r="I7" s="64"/>
      <c r="AS7"/>
      <c r="AT7"/>
      <c r="AU7"/>
      <c r="AV7"/>
      <c r="AW7"/>
      <c r="AX7"/>
      <c r="AY7"/>
      <c r="AZ7"/>
      <c r="BA7"/>
      <c r="BB7"/>
      <c r="BC7"/>
      <c r="BS7"/>
      <c r="BT7"/>
      <c r="BU7"/>
      <c r="BV7"/>
      <c r="BW7"/>
      <c r="BX7"/>
    </row>
    <row r="8" spans="1:76" x14ac:dyDescent="0.25">
      <c r="I8" s="64"/>
      <c r="AS8"/>
      <c r="AT8"/>
      <c r="AU8"/>
      <c r="AV8"/>
      <c r="AW8"/>
      <c r="AX8"/>
      <c r="AY8"/>
      <c r="AZ8"/>
      <c r="BA8"/>
      <c r="BB8"/>
      <c r="BC8"/>
      <c r="BS8"/>
      <c r="BT8"/>
      <c r="BU8"/>
      <c r="BV8"/>
      <c r="BW8"/>
      <c r="BX8"/>
    </row>
    <row r="9" spans="1:76" x14ac:dyDescent="0.25">
      <c r="I9" s="64"/>
      <c r="AS9"/>
      <c r="AT9"/>
      <c r="AU9"/>
      <c r="AV9"/>
      <c r="AW9"/>
      <c r="AX9"/>
      <c r="AY9"/>
      <c r="AZ9"/>
      <c r="BA9"/>
      <c r="BB9"/>
      <c r="BC9"/>
      <c r="BS9"/>
      <c r="BT9"/>
      <c r="BU9"/>
      <c r="BV9"/>
      <c r="BW9"/>
      <c r="BX9"/>
    </row>
    <row r="10" spans="1:76" x14ac:dyDescent="0.25">
      <c r="AS10"/>
      <c r="AT10"/>
      <c r="AU10"/>
      <c r="AV10"/>
      <c r="AW10"/>
      <c r="AX10"/>
      <c r="AY10"/>
      <c r="AZ10"/>
      <c r="BA10"/>
      <c r="BB10"/>
      <c r="BC10"/>
      <c r="BS10"/>
      <c r="BT10"/>
      <c r="BU10"/>
      <c r="BV10"/>
      <c r="BW10"/>
      <c r="BX10"/>
    </row>
    <row r="11" spans="1:76" x14ac:dyDescent="0.25">
      <c r="AS11"/>
      <c r="AT11"/>
      <c r="AU11"/>
      <c r="AV11"/>
      <c r="AW11"/>
      <c r="AX11"/>
      <c r="AY11"/>
      <c r="AZ11"/>
      <c r="BA11"/>
      <c r="BB11"/>
      <c r="BC11"/>
      <c r="BS11"/>
      <c r="BT11"/>
      <c r="BU11"/>
      <c r="BV11"/>
      <c r="BW11"/>
      <c r="BX11"/>
    </row>
    <row r="12" spans="1:76" x14ac:dyDescent="0.25">
      <c r="AS12"/>
      <c r="AT12"/>
      <c r="AU12"/>
      <c r="AV12"/>
      <c r="AW12"/>
      <c r="AX12"/>
      <c r="AY12"/>
      <c r="AZ12"/>
      <c r="BA12"/>
      <c r="BB12"/>
      <c r="BC12"/>
      <c r="BS12"/>
      <c r="BT12"/>
      <c r="BU12"/>
      <c r="BV12"/>
      <c r="BW12"/>
      <c r="BX12"/>
    </row>
    <row r="13" spans="1:76" x14ac:dyDescent="0.25">
      <c r="AS13"/>
      <c r="AT13"/>
      <c r="AU13"/>
      <c r="AV13"/>
      <c r="AW13"/>
      <c r="AX13"/>
      <c r="AY13"/>
      <c r="AZ13"/>
      <c r="BA13"/>
      <c r="BB13"/>
      <c r="BC13"/>
      <c r="BS13"/>
      <c r="BT13"/>
      <c r="BU13"/>
      <c r="BV13"/>
      <c r="BW13"/>
      <c r="BX13"/>
    </row>
    <row r="14" spans="1:76" x14ac:dyDescent="0.25">
      <c r="AS14"/>
      <c r="AT14"/>
      <c r="AU14"/>
      <c r="AV14"/>
      <c r="AW14"/>
      <c r="AX14"/>
      <c r="AY14"/>
      <c r="AZ14"/>
      <c r="BA14"/>
      <c r="BB14"/>
      <c r="BC14"/>
      <c r="BS14"/>
      <c r="BT14"/>
      <c r="BU14"/>
      <c r="BV14"/>
      <c r="BW14"/>
      <c r="BX14"/>
    </row>
    <row r="15" spans="1:76" x14ac:dyDescent="0.25">
      <c r="AS15"/>
      <c r="AT15"/>
      <c r="AU15"/>
      <c r="AV15"/>
      <c r="AW15"/>
      <c r="AX15"/>
      <c r="AY15"/>
      <c r="AZ15"/>
      <c r="BA15"/>
      <c r="BB15"/>
      <c r="BC15"/>
      <c r="BS15"/>
      <c r="BT15"/>
      <c r="BU15"/>
      <c r="BV15"/>
      <c r="BW15"/>
      <c r="BX15"/>
    </row>
    <row r="16" spans="1:76" x14ac:dyDescent="0.25">
      <c r="AS16"/>
      <c r="AT16"/>
      <c r="AU16"/>
      <c r="AV16"/>
      <c r="AW16"/>
      <c r="AX16"/>
      <c r="AY16"/>
      <c r="AZ16"/>
      <c r="BA16"/>
      <c r="BB16"/>
      <c r="BC16"/>
      <c r="BS16"/>
      <c r="BT16"/>
      <c r="BU16"/>
      <c r="BV16"/>
      <c r="BW16"/>
      <c r="BX16"/>
    </row>
    <row r="17" spans="45:76" x14ac:dyDescent="0.25">
      <c r="AS17"/>
      <c r="AT17"/>
      <c r="AU17"/>
      <c r="AV17"/>
      <c r="AW17"/>
      <c r="AX17"/>
      <c r="AY17"/>
      <c r="AZ17"/>
      <c r="BA17"/>
      <c r="BB17"/>
      <c r="BC17"/>
      <c r="BS17"/>
      <c r="BT17"/>
      <c r="BU17"/>
      <c r="BV17"/>
      <c r="BW17"/>
      <c r="BX17"/>
    </row>
    <row r="18" spans="45:76" x14ac:dyDescent="0.25">
      <c r="AS18"/>
      <c r="AT18"/>
      <c r="AU18"/>
      <c r="AV18"/>
      <c r="AW18"/>
      <c r="AX18"/>
      <c r="AY18"/>
      <c r="AZ18"/>
      <c r="BA18"/>
      <c r="BB18"/>
      <c r="BC18"/>
      <c r="BS18"/>
      <c r="BT18"/>
      <c r="BU18"/>
      <c r="BV18"/>
      <c r="BW18"/>
      <c r="BX18"/>
    </row>
    <row r="19" spans="45:76" x14ac:dyDescent="0.25">
      <c r="AS19"/>
      <c r="AT19"/>
      <c r="AU19"/>
      <c r="AV19"/>
      <c r="AW19"/>
      <c r="AX19"/>
      <c r="AY19"/>
      <c r="AZ19"/>
      <c r="BA19"/>
      <c r="BB19"/>
      <c r="BC19"/>
      <c r="BS19"/>
      <c r="BT19"/>
      <c r="BU19"/>
      <c r="BV19"/>
      <c r="BW19"/>
      <c r="BX19"/>
    </row>
    <row r="20" spans="45:76" x14ac:dyDescent="0.25">
      <c r="AS20"/>
      <c r="AT20"/>
      <c r="AU20"/>
      <c r="AV20"/>
      <c r="AW20"/>
      <c r="AX20"/>
      <c r="AY20"/>
      <c r="AZ20"/>
      <c r="BA20"/>
      <c r="BB20"/>
      <c r="BC20"/>
      <c r="BS20"/>
      <c r="BT20"/>
      <c r="BU20"/>
      <c r="BV20"/>
      <c r="BW20"/>
      <c r="BX20"/>
    </row>
    <row r="21" spans="45:76" x14ac:dyDescent="0.25">
      <c r="AS21"/>
      <c r="AT21"/>
      <c r="AU21"/>
      <c r="AV21"/>
      <c r="AW21"/>
      <c r="AX21"/>
      <c r="AY21"/>
      <c r="AZ21"/>
      <c r="BA21"/>
      <c r="BB21"/>
      <c r="BC21"/>
      <c r="BS21"/>
      <c r="BT21"/>
      <c r="BU21"/>
      <c r="BV21"/>
      <c r="BW21"/>
      <c r="BX21"/>
    </row>
    <row r="22" spans="45:76" x14ac:dyDescent="0.25">
      <c r="AS22"/>
      <c r="AT22"/>
      <c r="AU22"/>
      <c r="AV22"/>
      <c r="AW22"/>
      <c r="AX22"/>
      <c r="AY22"/>
      <c r="AZ22"/>
      <c r="BA22"/>
      <c r="BB22"/>
      <c r="BC22"/>
      <c r="BS22"/>
      <c r="BT22"/>
      <c r="BU22"/>
      <c r="BV22"/>
      <c r="BW22"/>
      <c r="BX22"/>
    </row>
    <row r="23" spans="45:76" x14ac:dyDescent="0.25">
      <c r="AS23"/>
      <c r="AT23"/>
      <c r="AU23"/>
      <c r="AV23"/>
      <c r="AW23"/>
      <c r="AX23"/>
      <c r="AY23"/>
      <c r="AZ23"/>
      <c r="BA23"/>
      <c r="BB23"/>
      <c r="BC23"/>
      <c r="BS23"/>
      <c r="BT23"/>
      <c r="BU23"/>
      <c r="BV23"/>
      <c r="BW23"/>
      <c r="BX23"/>
    </row>
    <row r="24" spans="45:76" x14ac:dyDescent="0.25">
      <c r="AS24"/>
      <c r="AT24"/>
      <c r="AU24"/>
      <c r="AV24"/>
      <c r="AW24"/>
      <c r="AX24"/>
      <c r="AY24"/>
      <c r="AZ24"/>
      <c r="BA24"/>
      <c r="BB24"/>
      <c r="BC24"/>
      <c r="BS24"/>
      <c r="BT24"/>
      <c r="BU24"/>
      <c r="BV24"/>
      <c r="BW24"/>
      <c r="BX24"/>
    </row>
    <row r="25" spans="45:76" x14ac:dyDescent="0.25">
      <c r="AS25"/>
      <c r="AT25"/>
      <c r="AU25"/>
      <c r="AV25"/>
      <c r="AW25"/>
      <c r="AX25"/>
      <c r="AY25"/>
      <c r="AZ25"/>
      <c r="BA25"/>
      <c r="BB25"/>
      <c r="BC25"/>
      <c r="BS25"/>
      <c r="BT25"/>
      <c r="BU25"/>
      <c r="BV25"/>
      <c r="BW25"/>
      <c r="BX25"/>
    </row>
    <row r="26" spans="45:76" x14ac:dyDescent="0.25">
      <c r="AS26"/>
      <c r="AT26"/>
      <c r="AU26"/>
      <c r="AV26"/>
      <c r="AW26"/>
      <c r="AX26"/>
      <c r="AY26"/>
      <c r="AZ26"/>
      <c r="BA26"/>
      <c r="BB26"/>
      <c r="BC26"/>
      <c r="BS26"/>
      <c r="BT26"/>
      <c r="BU26"/>
      <c r="BV26"/>
      <c r="BW26"/>
      <c r="BX26"/>
    </row>
    <row r="27" spans="45:76" x14ac:dyDescent="0.25">
      <c r="AS27"/>
      <c r="AT27"/>
      <c r="AU27"/>
      <c r="AV27"/>
      <c r="AW27"/>
      <c r="AX27"/>
      <c r="AY27"/>
      <c r="AZ27"/>
      <c r="BA27"/>
      <c r="BB27"/>
      <c r="BC27"/>
      <c r="BS27"/>
      <c r="BT27"/>
      <c r="BU27"/>
      <c r="BV27"/>
      <c r="BW27"/>
      <c r="BX27"/>
    </row>
    <row r="28" spans="45:76" x14ac:dyDescent="0.25">
      <c r="AS28"/>
      <c r="AT28"/>
      <c r="AU28"/>
      <c r="AV28"/>
      <c r="AW28"/>
      <c r="AX28"/>
      <c r="AY28"/>
      <c r="AZ28"/>
      <c r="BA28"/>
      <c r="BB28"/>
      <c r="BC28"/>
      <c r="BS28"/>
      <c r="BT28"/>
      <c r="BU28"/>
      <c r="BV28"/>
      <c r="BW28"/>
      <c r="BX28"/>
    </row>
    <row r="29" spans="45:76" x14ac:dyDescent="0.25">
      <c r="AS29"/>
      <c r="AT29"/>
      <c r="AU29"/>
      <c r="AV29"/>
      <c r="AW29"/>
      <c r="AX29"/>
      <c r="AY29"/>
      <c r="AZ29"/>
      <c r="BA29"/>
      <c r="BB29"/>
      <c r="BC29"/>
      <c r="BS29"/>
      <c r="BT29"/>
      <c r="BU29"/>
      <c r="BV29"/>
      <c r="BW29"/>
      <c r="BX29"/>
    </row>
    <row r="30" spans="45:76" x14ac:dyDescent="0.25">
      <c r="AS30"/>
      <c r="AT30"/>
      <c r="AU30"/>
      <c r="AV30"/>
      <c r="AW30"/>
      <c r="AX30"/>
      <c r="AY30"/>
      <c r="AZ30"/>
      <c r="BA30"/>
      <c r="BB30"/>
      <c r="BC30"/>
      <c r="BS30"/>
      <c r="BT30"/>
      <c r="BU30"/>
      <c r="BV30"/>
      <c r="BW30"/>
      <c r="BX30"/>
    </row>
    <row r="31" spans="45:76" x14ac:dyDescent="0.25">
      <c r="AS31"/>
      <c r="AT31"/>
      <c r="AU31"/>
      <c r="AV31"/>
      <c r="AW31"/>
      <c r="AX31"/>
      <c r="AY31"/>
      <c r="AZ31"/>
      <c r="BA31"/>
      <c r="BB31"/>
      <c r="BC31"/>
      <c r="BS31"/>
      <c r="BT31"/>
      <c r="BU31"/>
      <c r="BV31"/>
      <c r="BW31"/>
      <c r="BX31"/>
    </row>
    <row r="32" spans="45:76" x14ac:dyDescent="0.25">
      <c r="AS32"/>
      <c r="AT32"/>
      <c r="AU32"/>
      <c r="AV32"/>
      <c r="AW32"/>
      <c r="AX32"/>
      <c r="AY32"/>
      <c r="AZ32"/>
      <c r="BA32"/>
      <c r="BB32"/>
      <c r="BC32"/>
      <c r="BS32"/>
      <c r="BT32"/>
      <c r="BU32"/>
      <c r="BV32"/>
      <c r="BW32"/>
      <c r="BX32"/>
    </row>
    <row r="33" spans="45:76" x14ac:dyDescent="0.25">
      <c r="AS33"/>
      <c r="AT33"/>
      <c r="AU33"/>
      <c r="AV33"/>
      <c r="AW33"/>
      <c r="AX33"/>
      <c r="AY33"/>
      <c r="AZ33"/>
      <c r="BA33"/>
      <c r="BB33"/>
      <c r="BC33"/>
      <c r="BS33"/>
      <c r="BT33"/>
      <c r="BU33"/>
      <c r="BV33"/>
      <c r="BW33"/>
      <c r="BX33"/>
    </row>
    <row r="34" spans="45:76" x14ac:dyDescent="0.25">
      <c r="AS34"/>
      <c r="AT34"/>
      <c r="AU34"/>
      <c r="AV34"/>
      <c r="AW34"/>
      <c r="AX34"/>
      <c r="AY34"/>
      <c r="AZ34"/>
      <c r="BA34"/>
      <c r="BB34"/>
      <c r="BC34"/>
      <c r="BS34"/>
      <c r="BT34"/>
      <c r="BU34"/>
      <c r="BV34"/>
      <c r="BW34"/>
      <c r="BX34"/>
    </row>
    <row r="35" spans="45:76" x14ac:dyDescent="0.25">
      <c r="AS35"/>
      <c r="AT35"/>
      <c r="AU35"/>
      <c r="AV35"/>
      <c r="AW35"/>
      <c r="AX35"/>
      <c r="AY35"/>
      <c r="AZ35"/>
      <c r="BA35"/>
      <c r="BB35"/>
      <c r="BC35"/>
      <c r="BS35"/>
      <c r="BT35"/>
      <c r="BU35"/>
      <c r="BV35"/>
      <c r="BW35"/>
      <c r="BX35"/>
    </row>
    <row r="36" spans="45:76" x14ac:dyDescent="0.25">
      <c r="AS36"/>
      <c r="AT36"/>
      <c r="AU36"/>
      <c r="AV36"/>
      <c r="AW36"/>
      <c r="AX36"/>
      <c r="AY36"/>
      <c r="AZ36"/>
      <c r="BA36"/>
      <c r="BB36"/>
      <c r="BC36"/>
      <c r="BS36"/>
      <c r="BT36"/>
      <c r="BU36"/>
      <c r="BV36"/>
      <c r="BW36"/>
      <c r="BX36"/>
    </row>
    <row r="37" spans="45:76" x14ac:dyDescent="0.25">
      <c r="AS37"/>
      <c r="AT37"/>
      <c r="AU37"/>
      <c r="AV37"/>
      <c r="AW37"/>
      <c r="AX37"/>
      <c r="AY37"/>
      <c r="AZ37"/>
      <c r="BA37"/>
      <c r="BB37"/>
      <c r="BC37"/>
      <c r="BS37"/>
      <c r="BT37"/>
      <c r="BU37"/>
      <c r="BV37"/>
      <c r="BW37"/>
      <c r="BX37"/>
    </row>
    <row r="38" spans="45:76" x14ac:dyDescent="0.25">
      <c r="AS38"/>
      <c r="AT38"/>
      <c r="AU38"/>
      <c r="AV38"/>
      <c r="AW38"/>
      <c r="AX38"/>
      <c r="AY38"/>
      <c r="AZ38"/>
      <c r="BA38"/>
      <c r="BB38"/>
      <c r="BC38"/>
      <c r="BS38"/>
      <c r="BT38"/>
      <c r="BU38"/>
      <c r="BV38"/>
      <c r="BW38"/>
      <c r="BX38"/>
    </row>
    <row r="39" spans="45:76" x14ac:dyDescent="0.25">
      <c r="AS39"/>
      <c r="AT39"/>
      <c r="AU39"/>
      <c r="AV39"/>
      <c r="AW39"/>
      <c r="AX39"/>
      <c r="AY39"/>
      <c r="AZ39"/>
      <c r="BA39"/>
      <c r="BB39"/>
      <c r="BC39"/>
      <c r="BS39"/>
      <c r="BT39"/>
      <c r="BU39"/>
      <c r="BV39"/>
      <c r="BW39"/>
      <c r="BX39"/>
    </row>
    <row r="40" spans="45:76" x14ac:dyDescent="0.25">
      <c r="AS40"/>
      <c r="AT40"/>
      <c r="AU40"/>
      <c r="AV40"/>
      <c r="AW40"/>
      <c r="AX40"/>
      <c r="AY40"/>
      <c r="AZ40"/>
      <c r="BA40"/>
      <c r="BB40"/>
      <c r="BC40"/>
      <c r="BS40"/>
      <c r="BT40"/>
      <c r="BU40"/>
      <c r="BV40"/>
      <c r="BW40"/>
      <c r="BX40"/>
    </row>
    <row r="41" spans="45:76" x14ac:dyDescent="0.25">
      <c r="AS41"/>
      <c r="AT41"/>
      <c r="AU41"/>
      <c r="AV41"/>
      <c r="AW41"/>
      <c r="AX41"/>
      <c r="AY41"/>
      <c r="AZ41"/>
      <c r="BA41"/>
      <c r="BB41"/>
      <c r="BC41"/>
      <c r="BS41"/>
      <c r="BT41"/>
      <c r="BU41"/>
      <c r="BV41"/>
      <c r="BW41"/>
      <c r="BX41"/>
    </row>
    <row r="42" spans="45:76" x14ac:dyDescent="0.25">
      <c r="AS42"/>
      <c r="AT42"/>
      <c r="AU42"/>
      <c r="AV42"/>
      <c r="AW42"/>
      <c r="AX42"/>
      <c r="AY42"/>
      <c r="AZ42"/>
      <c r="BA42"/>
      <c r="BB42"/>
      <c r="BC42"/>
      <c r="BS42"/>
      <c r="BT42"/>
      <c r="BU42"/>
      <c r="BV42"/>
      <c r="BW42"/>
      <c r="BX42"/>
    </row>
    <row r="43" spans="45:76" x14ac:dyDescent="0.25">
      <c r="AS43"/>
      <c r="AT43"/>
      <c r="AU43"/>
      <c r="AV43"/>
      <c r="AW43"/>
      <c r="AX43"/>
      <c r="AY43"/>
      <c r="AZ43"/>
      <c r="BA43"/>
      <c r="BB43"/>
      <c r="BC43"/>
      <c r="BS43"/>
      <c r="BT43"/>
      <c r="BU43"/>
      <c r="BV43"/>
      <c r="BW43"/>
      <c r="BX43"/>
    </row>
    <row r="44" spans="45:76" x14ac:dyDescent="0.25">
      <c r="AS44"/>
      <c r="AT44"/>
      <c r="AU44"/>
      <c r="AV44"/>
      <c r="AW44"/>
      <c r="AX44"/>
      <c r="AY44"/>
      <c r="AZ44"/>
      <c r="BA44"/>
      <c r="BB44"/>
      <c r="BC44"/>
      <c r="BS44"/>
      <c r="BT44"/>
      <c r="BU44"/>
      <c r="BV44"/>
      <c r="BW44"/>
      <c r="BX44"/>
    </row>
    <row r="45" spans="45:76" x14ac:dyDescent="0.25">
      <c r="AS45"/>
      <c r="AT45"/>
      <c r="AU45"/>
      <c r="AV45"/>
      <c r="AW45"/>
      <c r="AX45"/>
      <c r="AY45"/>
      <c r="AZ45"/>
      <c r="BA45"/>
      <c r="BB45"/>
      <c r="BC45"/>
      <c r="BS45"/>
      <c r="BT45"/>
      <c r="BU45"/>
      <c r="BV45"/>
      <c r="BW45"/>
      <c r="BX45"/>
    </row>
    <row r="46" spans="45:76" x14ac:dyDescent="0.25">
      <c r="AS46"/>
      <c r="AT46"/>
      <c r="AU46"/>
      <c r="AV46"/>
      <c r="AW46"/>
      <c r="AX46"/>
      <c r="AY46"/>
      <c r="AZ46"/>
      <c r="BA46"/>
      <c r="BB46"/>
      <c r="BC46"/>
      <c r="BS46"/>
      <c r="BT46"/>
      <c r="BU46"/>
      <c r="BV46"/>
      <c r="BW46"/>
      <c r="BX46"/>
    </row>
    <row r="47" spans="45:76" x14ac:dyDescent="0.25">
      <c r="AS47"/>
      <c r="AT47"/>
      <c r="AU47"/>
      <c r="AV47"/>
      <c r="AW47"/>
      <c r="AX47"/>
      <c r="AY47"/>
      <c r="AZ47"/>
      <c r="BA47"/>
      <c r="BB47"/>
      <c r="BC47"/>
      <c r="BS47"/>
      <c r="BT47"/>
      <c r="BU47"/>
      <c r="BV47"/>
      <c r="BW47"/>
      <c r="BX47"/>
    </row>
    <row r="48" spans="45:76" x14ac:dyDescent="0.25">
      <c r="AS48"/>
      <c r="AT48"/>
      <c r="AU48"/>
      <c r="AV48"/>
      <c r="AW48"/>
      <c r="AX48"/>
      <c r="AY48"/>
      <c r="AZ48"/>
      <c r="BA48"/>
      <c r="BB48"/>
      <c r="BC48"/>
      <c r="BS48"/>
      <c r="BT48"/>
      <c r="BU48"/>
      <c r="BV48"/>
      <c r="BW48"/>
      <c r="BX48"/>
    </row>
    <row r="49" spans="45:76" x14ac:dyDescent="0.25">
      <c r="AS49"/>
      <c r="AT49"/>
      <c r="AU49"/>
      <c r="AV49"/>
      <c r="AW49"/>
      <c r="AX49"/>
      <c r="AY49"/>
      <c r="AZ49"/>
      <c r="BA49"/>
      <c r="BB49"/>
      <c r="BC49"/>
      <c r="BS49"/>
      <c r="BT49"/>
      <c r="BU49"/>
      <c r="BV49"/>
      <c r="BW49"/>
      <c r="BX49"/>
    </row>
    <row r="50" spans="45:76" x14ac:dyDescent="0.25">
      <c r="AS50"/>
      <c r="AT50"/>
      <c r="AU50"/>
      <c r="AV50"/>
      <c r="AW50"/>
      <c r="AX50"/>
      <c r="AY50"/>
      <c r="AZ50"/>
      <c r="BA50"/>
      <c r="BB50"/>
      <c r="BC50"/>
      <c r="BS50"/>
      <c r="BT50"/>
      <c r="BU50"/>
      <c r="BV50"/>
      <c r="BW50"/>
      <c r="BX50"/>
    </row>
    <row r="51" spans="45:76" x14ac:dyDescent="0.25">
      <c r="AS51"/>
      <c r="AT51"/>
      <c r="AU51"/>
      <c r="AV51"/>
      <c r="AW51"/>
      <c r="AX51"/>
      <c r="AY51"/>
      <c r="AZ51"/>
      <c r="BA51"/>
      <c r="BB51"/>
      <c r="BC51"/>
      <c r="BS51"/>
      <c r="BT51"/>
      <c r="BU51"/>
      <c r="BV51"/>
      <c r="BW51"/>
      <c r="BX51"/>
    </row>
    <row r="52" spans="45:76" x14ac:dyDescent="0.25">
      <c r="AS52"/>
      <c r="AT52"/>
      <c r="AU52"/>
      <c r="AV52"/>
      <c r="AW52"/>
      <c r="AX52"/>
      <c r="AY52"/>
      <c r="AZ52"/>
      <c r="BA52"/>
      <c r="BB52"/>
      <c r="BC52"/>
      <c r="BS52"/>
      <c r="BT52"/>
      <c r="BU52"/>
      <c r="BV52"/>
      <c r="BW52"/>
      <c r="BX52"/>
    </row>
    <row r="53" spans="45:76" x14ac:dyDescent="0.25">
      <c r="AS53"/>
      <c r="AT53"/>
      <c r="AU53"/>
      <c r="AV53"/>
      <c r="AW53"/>
      <c r="AX53"/>
      <c r="AY53"/>
      <c r="AZ53"/>
      <c r="BA53"/>
      <c r="BB53"/>
      <c r="BC53"/>
      <c r="BS53"/>
      <c r="BT53"/>
      <c r="BU53"/>
      <c r="BV53"/>
      <c r="BW53"/>
      <c r="BX53"/>
    </row>
    <row r="54" spans="45:76" x14ac:dyDescent="0.25">
      <c r="AS54"/>
      <c r="AT54"/>
      <c r="AU54"/>
      <c r="AV54"/>
      <c r="AW54"/>
      <c r="AX54"/>
      <c r="AY54"/>
      <c r="AZ54"/>
      <c r="BA54"/>
      <c r="BB54"/>
      <c r="BC54"/>
      <c r="BS54"/>
      <c r="BT54"/>
      <c r="BU54"/>
      <c r="BV54"/>
      <c r="BW54"/>
      <c r="BX54"/>
    </row>
    <row r="55" spans="45:76" x14ac:dyDescent="0.25">
      <c r="AS55"/>
      <c r="AT55"/>
      <c r="AU55"/>
      <c r="AV55"/>
      <c r="AW55"/>
      <c r="AX55"/>
      <c r="AY55"/>
      <c r="AZ55"/>
      <c r="BA55"/>
      <c r="BB55"/>
      <c r="BC55"/>
      <c r="BS55"/>
      <c r="BT55"/>
      <c r="BU55"/>
      <c r="BV55"/>
      <c r="BW55"/>
      <c r="BX55"/>
    </row>
    <row r="56" spans="45:76" x14ac:dyDescent="0.25">
      <c r="AS56"/>
      <c r="AT56"/>
      <c r="AU56"/>
      <c r="AV56"/>
      <c r="AW56"/>
      <c r="AX56"/>
      <c r="AY56"/>
      <c r="AZ56"/>
      <c r="BA56"/>
      <c r="BB56"/>
      <c r="BC56"/>
      <c r="BS56"/>
      <c r="BT56"/>
      <c r="BU56"/>
      <c r="BV56"/>
      <c r="BW56"/>
      <c r="BX56"/>
    </row>
    <row r="57" spans="45:76" x14ac:dyDescent="0.25">
      <c r="AS57"/>
      <c r="AT57"/>
      <c r="AU57"/>
      <c r="AV57"/>
      <c r="AW57"/>
      <c r="AX57"/>
      <c r="AY57"/>
      <c r="AZ57"/>
      <c r="BA57"/>
      <c r="BB57"/>
      <c r="BC57"/>
      <c r="BS57"/>
      <c r="BT57"/>
      <c r="BU57"/>
      <c r="BV57"/>
      <c r="BW57"/>
      <c r="BX57"/>
    </row>
    <row r="58" spans="45:76" x14ac:dyDescent="0.25">
      <c r="AS58"/>
      <c r="AT58"/>
      <c r="AU58"/>
      <c r="AV58"/>
      <c r="AW58"/>
      <c r="AX58"/>
      <c r="AY58"/>
      <c r="AZ58"/>
      <c r="BA58"/>
      <c r="BB58"/>
      <c r="BC58"/>
      <c r="BS58"/>
      <c r="BT58"/>
      <c r="BU58"/>
      <c r="BV58"/>
      <c r="BW58"/>
      <c r="BX58"/>
    </row>
    <row r="59" spans="45:76" x14ac:dyDescent="0.25">
      <c r="AS59"/>
      <c r="AT59"/>
      <c r="AU59"/>
      <c r="AV59"/>
      <c r="AW59"/>
      <c r="AX59"/>
      <c r="AY59"/>
      <c r="AZ59"/>
      <c r="BA59"/>
      <c r="BB59"/>
      <c r="BC59"/>
      <c r="BS59"/>
      <c r="BT59"/>
      <c r="BU59"/>
      <c r="BV59"/>
      <c r="BW59"/>
      <c r="BX59"/>
    </row>
    <row r="60" spans="45:76" x14ac:dyDescent="0.25">
      <c r="AS60"/>
      <c r="AT60"/>
      <c r="AU60"/>
      <c r="AV60"/>
      <c r="AW60"/>
      <c r="AX60"/>
      <c r="AY60"/>
      <c r="AZ60"/>
      <c r="BA60"/>
      <c r="BB60"/>
      <c r="BC60"/>
      <c r="BS60"/>
      <c r="BT60"/>
      <c r="BU60"/>
      <c r="BV60"/>
      <c r="BW60"/>
      <c r="BX60"/>
    </row>
    <row r="61" spans="45:76" x14ac:dyDescent="0.25">
      <c r="AS61"/>
      <c r="AT61"/>
      <c r="AU61"/>
      <c r="AV61"/>
      <c r="AW61"/>
      <c r="AX61"/>
      <c r="AY61"/>
      <c r="AZ61"/>
      <c r="BA61"/>
      <c r="BB61"/>
      <c r="BC61"/>
      <c r="BS61"/>
      <c r="BT61"/>
      <c r="BU61"/>
      <c r="BV61"/>
      <c r="BW61"/>
      <c r="BX61"/>
    </row>
    <row r="62" spans="45:76" x14ac:dyDescent="0.25">
      <c r="AS62"/>
      <c r="AT62"/>
      <c r="AU62"/>
      <c r="AV62"/>
      <c r="AW62"/>
      <c r="AX62"/>
      <c r="AY62"/>
      <c r="AZ62"/>
      <c r="BA62"/>
      <c r="BB62"/>
      <c r="BC62"/>
      <c r="BS62"/>
      <c r="BT62"/>
      <c r="BU62"/>
      <c r="BV62"/>
      <c r="BW62"/>
      <c r="BX62"/>
    </row>
    <row r="63" spans="45:76" x14ac:dyDescent="0.25">
      <c r="AS63"/>
      <c r="AT63"/>
      <c r="AU63"/>
      <c r="AV63"/>
      <c r="AW63"/>
      <c r="AX63"/>
      <c r="AY63"/>
      <c r="AZ63"/>
      <c r="BA63"/>
      <c r="BB63"/>
      <c r="BC63"/>
      <c r="BS63"/>
      <c r="BT63"/>
      <c r="BU63"/>
      <c r="BV63"/>
      <c r="BW63"/>
      <c r="BX63"/>
    </row>
    <row r="64" spans="45:76" x14ac:dyDescent="0.25">
      <c r="AS64"/>
      <c r="AT64"/>
      <c r="AU64"/>
      <c r="AV64"/>
      <c r="AW64"/>
      <c r="AX64"/>
      <c r="AY64"/>
      <c r="AZ64"/>
      <c r="BA64"/>
      <c r="BB64"/>
      <c r="BC64"/>
      <c r="BS64"/>
      <c r="BT64"/>
      <c r="BU64"/>
      <c r="BV64"/>
      <c r="BW64"/>
      <c r="BX64"/>
    </row>
    <row r="65" spans="45:76" x14ac:dyDescent="0.25">
      <c r="AS65"/>
      <c r="AT65"/>
      <c r="AU65"/>
      <c r="AV65"/>
      <c r="AW65"/>
      <c r="AX65"/>
      <c r="AY65"/>
      <c r="AZ65"/>
      <c r="BA65"/>
      <c r="BB65"/>
      <c r="BC65"/>
      <c r="BS65"/>
      <c r="BT65"/>
      <c r="BU65"/>
      <c r="BV65"/>
      <c r="BW65"/>
      <c r="BX65"/>
    </row>
    <row r="66" spans="45:76" x14ac:dyDescent="0.25">
      <c r="AS66"/>
      <c r="AT66"/>
      <c r="AU66"/>
      <c r="AV66"/>
      <c r="AW66"/>
      <c r="AX66"/>
      <c r="AY66"/>
      <c r="AZ66"/>
      <c r="BA66"/>
      <c r="BB66"/>
      <c r="BC66"/>
      <c r="BS66"/>
      <c r="BT66"/>
      <c r="BU66"/>
      <c r="BV66"/>
      <c r="BW66"/>
      <c r="BX66"/>
    </row>
    <row r="67" spans="45:76" x14ac:dyDescent="0.25">
      <c r="AS67"/>
      <c r="AT67"/>
      <c r="AU67"/>
      <c r="AV67"/>
      <c r="AW67"/>
      <c r="AX67"/>
      <c r="AY67"/>
      <c r="AZ67"/>
      <c r="BA67"/>
      <c r="BB67"/>
      <c r="BC67"/>
      <c r="BS67"/>
      <c r="BT67"/>
      <c r="BU67"/>
      <c r="BV67"/>
      <c r="BW67"/>
      <c r="BX67"/>
    </row>
    <row r="68" spans="45:76" x14ac:dyDescent="0.25">
      <c r="AS68"/>
      <c r="AT68"/>
      <c r="AU68"/>
      <c r="AV68"/>
      <c r="AW68"/>
      <c r="AX68"/>
      <c r="AY68"/>
      <c r="AZ68"/>
      <c r="BA68"/>
      <c r="BB68"/>
      <c r="BC68"/>
      <c r="BS68"/>
      <c r="BT68"/>
      <c r="BU68"/>
      <c r="BV68"/>
      <c r="BW68"/>
      <c r="BX68"/>
    </row>
    <row r="69" spans="45:76" x14ac:dyDescent="0.25">
      <c r="AS69"/>
      <c r="AT69"/>
      <c r="AU69"/>
      <c r="AV69"/>
      <c r="AW69"/>
      <c r="AX69"/>
      <c r="AY69"/>
      <c r="AZ69"/>
      <c r="BA69"/>
      <c r="BB69"/>
      <c r="BC69"/>
      <c r="BS69"/>
      <c r="BT69"/>
      <c r="BU69"/>
      <c r="BV69"/>
      <c r="BW69"/>
      <c r="BX69"/>
    </row>
    <row r="70" spans="45:76" x14ac:dyDescent="0.25">
      <c r="AS70"/>
      <c r="AT70"/>
      <c r="AU70"/>
      <c r="AV70"/>
      <c r="AW70"/>
      <c r="AX70"/>
      <c r="AY70"/>
      <c r="AZ70"/>
      <c r="BA70"/>
      <c r="BB70"/>
      <c r="BC70"/>
      <c r="BS70"/>
      <c r="BT70"/>
      <c r="BU70"/>
      <c r="BV70"/>
      <c r="BW70"/>
      <c r="BX70"/>
    </row>
    <row r="71" spans="45:76" x14ac:dyDescent="0.25">
      <c r="AS71"/>
      <c r="AT71"/>
      <c r="AU71"/>
      <c r="AV71"/>
      <c r="AW71"/>
      <c r="AX71"/>
      <c r="AY71"/>
      <c r="AZ71"/>
      <c r="BA71"/>
      <c r="BB71"/>
      <c r="BC71"/>
      <c r="BS71"/>
      <c r="BT71"/>
      <c r="BU71"/>
      <c r="BV71"/>
      <c r="BW71"/>
      <c r="BX71"/>
    </row>
    <row r="72" spans="45:76" x14ac:dyDescent="0.25">
      <c r="AS72"/>
      <c r="AT72"/>
      <c r="AU72"/>
      <c r="AV72"/>
      <c r="AW72"/>
      <c r="AX72"/>
      <c r="AY72"/>
      <c r="AZ72"/>
      <c r="BA72"/>
      <c r="BB72"/>
      <c r="BC72"/>
      <c r="BS72"/>
      <c r="BT72"/>
      <c r="BU72"/>
      <c r="BV72"/>
      <c r="BW72"/>
      <c r="BX72"/>
    </row>
    <row r="73" spans="45:76" x14ac:dyDescent="0.25">
      <c r="AS73"/>
      <c r="AT73"/>
      <c r="AU73"/>
      <c r="AV73"/>
      <c r="AW73"/>
      <c r="AX73"/>
      <c r="AY73"/>
      <c r="AZ73"/>
      <c r="BA73"/>
      <c r="BB73"/>
      <c r="BC73"/>
      <c r="BS73"/>
      <c r="BT73"/>
      <c r="BU73"/>
      <c r="BV73"/>
      <c r="BW73"/>
      <c r="BX73"/>
    </row>
    <row r="74" spans="45:76" x14ac:dyDescent="0.25">
      <c r="AS74"/>
      <c r="AT74"/>
      <c r="AU74"/>
      <c r="AV74"/>
      <c r="AW74"/>
      <c r="AX74"/>
      <c r="AY74"/>
      <c r="AZ74"/>
      <c r="BA74"/>
      <c r="BB74"/>
      <c r="BC74"/>
      <c r="BS74"/>
      <c r="BT74"/>
      <c r="BU74"/>
      <c r="BV74"/>
      <c r="BW74"/>
      <c r="BX74"/>
    </row>
    <row r="75" spans="45:76" x14ac:dyDescent="0.25">
      <c r="AS75"/>
      <c r="AT75"/>
      <c r="AU75"/>
      <c r="AV75"/>
      <c r="AW75"/>
      <c r="AX75"/>
      <c r="AY75"/>
      <c r="AZ75"/>
      <c r="BA75"/>
      <c r="BB75"/>
      <c r="BC75"/>
      <c r="BS75"/>
      <c r="BT75"/>
      <c r="BU75"/>
      <c r="BV75"/>
      <c r="BW75"/>
      <c r="BX75"/>
    </row>
    <row r="76" spans="45:76" x14ac:dyDescent="0.25">
      <c r="AS76"/>
      <c r="AT76"/>
      <c r="AU76"/>
      <c r="AV76"/>
      <c r="AW76"/>
      <c r="AX76"/>
      <c r="AY76"/>
      <c r="AZ76"/>
      <c r="BA76"/>
      <c r="BB76"/>
      <c r="BC76"/>
      <c r="BS76"/>
      <c r="BT76"/>
      <c r="BU76"/>
      <c r="BV76"/>
      <c r="BW76"/>
      <c r="BX76"/>
    </row>
    <row r="77" spans="45:76" x14ac:dyDescent="0.25">
      <c r="AS77"/>
      <c r="AT77"/>
      <c r="AU77"/>
      <c r="AV77"/>
      <c r="AW77"/>
      <c r="AX77"/>
      <c r="AY77"/>
      <c r="AZ77"/>
      <c r="BA77"/>
      <c r="BB77"/>
      <c r="BC77"/>
      <c r="BS77"/>
      <c r="BT77"/>
      <c r="BU77"/>
      <c r="BV77"/>
      <c r="BW77"/>
      <c r="BX77"/>
    </row>
    <row r="78" spans="45:76" x14ac:dyDescent="0.25">
      <c r="AS78"/>
      <c r="AT78"/>
      <c r="AU78"/>
      <c r="AV78"/>
      <c r="AW78"/>
      <c r="AX78"/>
      <c r="AY78"/>
      <c r="AZ78"/>
      <c r="BA78"/>
      <c r="BB78"/>
      <c r="BC78"/>
      <c r="BS78"/>
      <c r="BT78"/>
      <c r="BU78"/>
      <c r="BV78"/>
      <c r="BW78"/>
      <c r="BX78"/>
    </row>
    <row r="79" spans="45:76" x14ac:dyDescent="0.25">
      <c r="AS79"/>
      <c r="AT79"/>
      <c r="AU79"/>
      <c r="AV79"/>
      <c r="AW79"/>
      <c r="AX79"/>
      <c r="AY79"/>
      <c r="AZ79"/>
      <c r="BA79"/>
      <c r="BB79"/>
      <c r="BC79"/>
      <c r="BS79"/>
      <c r="BT79"/>
      <c r="BU79"/>
      <c r="BV79"/>
      <c r="BW79"/>
      <c r="BX79"/>
    </row>
    <row r="80" spans="45:76" x14ac:dyDescent="0.25">
      <c r="AS80"/>
      <c r="AT80"/>
      <c r="AU80"/>
      <c r="AV80"/>
      <c r="AW80"/>
      <c r="AX80"/>
      <c r="AY80"/>
      <c r="AZ80"/>
      <c r="BA80"/>
      <c r="BB80"/>
      <c r="BC80"/>
      <c r="BS80"/>
      <c r="BT80"/>
      <c r="BU80"/>
      <c r="BV80"/>
      <c r="BW80"/>
      <c r="BX80"/>
    </row>
    <row r="81" spans="45:76" x14ac:dyDescent="0.25">
      <c r="AS81"/>
      <c r="AT81"/>
      <c r="AU81"/>
      <c r="AV81"/>
      <c r="AW81"/>
      <c r="AX81"/>
      <c r="AY81"/>
      <c r="AZ81"/>
      <c r="BA81"/>
      <c r="BB81"/>
      <c r="BC81"/>
      <c r="BS81"/>
      <c r="BT81"/>
      <c r="BU81"/>
      <c r="BV81"/>
      <c r="BW81"/>
      <c r="BX81"/>
    </row>
    <row r="82" spans="45:76" x14ac:dyDescent="0.25">
      <c r="AS82"/>
      <c r="AT82"/>
      <c r="AU82"/>
      <c r="AV82"/>
      <c r="AW82"/>
      <c r="AX82"/>
      <c r="AY82"/>
      <c r="AZ82"/>
      <c r="BA82"/>
      <c r="BB82"/>
      <c r="BC82"/>
      <c r="BS82"/>
      <c r="BT82"/>
      <c r="BU82"/>
      <c r="BV82"/>
      <c r="BW82"/>
      <c r="BX82"/>
    </row>
    <row r="83" spans="45:76" x14ac:dyDescent="0.25">
      <c r="AS83"/>
      <c r="AT83"/>
      <c r="AU83"/>
      <c r="AV83"/>
      <c r="AW83"/>
      <c r="AX83"/>
      <c r="AY83"/>
      <c r="AZ83"/>
      <c r="BA83"/>
      <c r="BB83"/>
      <c r="BC83"/>
      <c r="BS83"/>
      <c r="BT83"/>
      <c r="BU83"/>
      <c r="BV83"/>
      <c r="BW83"/>
      <c r="BX83"/>
    </row>
    <row r="84" spans="45:76" x14ac:dyDescent="0.25">
      <c r="AS84"/>
      <c r="AT84"/>
      <c r="AU84"/>
      <c r="AV84"/>
      <c r="AW84"/>
      <c r="AX84"/>
      <c r="AY84"/>
      <c r="AZ84"/>
      <c r="BA84"/>
      <c r="BB84"/>
      <c r="BC84"/>
      <c r="BS84"/>
      <c r="BT84"/>
      <c r="BU84"/>
      <c r="BV84"/>
      <c r="BW84"/>
      <c r="BX84"/>
    </row>
    <row r="85" spans="45:76" x14ac:dyDescent="0.25">
      <c r="AS85"/>
      <c r="AT85"/>
      <c r="AU85"/>
      <c r="AV85"/>
      <c r="AW85"/>
      <c r="AX85"/>
      <c r="AY85"/>
      <c r="AZ85"/>
      <c r="BA85"/>
      <c r="BB85"/>
      <c r="BC85"/>
      <c r="BS85"/>
      <c r="BT85"/>
      <c r="BU85"/>
      <c r="BV85"/>
      <c r="BW85"/>
      <c r="BX85"/>
    </row>
    <row r="86" spans="45:76" x14ac:dyDescent="0.25">
      <c r="AS86"/>
      <c r="AT86"/>
      <c r="AU86"/>
      <c r="AV86"/>
      <c r="AW86"/>
      <c r="AX86"/>
      <c r="AY86"/>
      <c r="AZ86"/>
      <c r="BA86"/>
      <c r="BB86"/>
      <c r="BC86"/>
      <c r="BS86"/>
      <c r="BT86"/>
      <c r="BU86"/>
      <c r="BV86"/>
      <c r="BW86"/>
      <c r="BX86"/>
    </row>
    <row r="87" spans="45:76" x14ac:dyDescent="0.25">
      <c r="AS87"/>
      <c r="AT87"/>
      <c r="AU87"/>
      <c r="AV87"/>
      <c r="AW87"/>
      <c r="AX87"/>
      <c r="AY87"/>
      <c r="AZ87"/>
      <c r="BA87"/>
      <c r="BB87"/>
      <c r="BC87"/>
      <c r="BS87"/>
      <c r="BT87"/>
      <c r="BU87"/>
      <c r="BV87"/>
      <c r="BW87"/>
      <c r="BX87"/>
    </row>
    <row r="88" spans="45:76" x14ac:dyDescent="0.25">
      <c r="AS88"/>
      <c r="AT88"/>
      <c r="AU88"/>
      <c r="AV88"/>
      <c r="AW88"/>
      <c r="AX88"/>
      <c r="AY88"/>
      <c r="AZ88"/>
      <c r="BA88"/>
      <c r="BB88"/>
      <c r="BC88"/>
      <c r="BS88"/>
      <c r="BT88"/>
      <c r="BU88"/>
      <c r="BV88"/>
      <c r="BW88"/>
      <c r="BX88"/>
    </row>
    <row r="89" spans="45:76" x14ac:dyDescent="0.25">
      <c r="AS89"/>
      <c r="AT89"/>
      <c r="AU89"/>
      <c r="AV89"/>
      <c r="AW89"/>
      <c r="AX89"/>
      <c r="AY89"/>
      <c r="AZ89"/>
      <c r="BA89"/>
      <c r="BB89"/>
      <c r="BC89"/>
      <c r="BS89"/>
      <c r="BT89"/>
      <c r="BU89"/>
      <c r="BV89"/>
      <c r="BW89"/>
      <c r="BX89"/>
    </row>
    <row r="90" spans="45:76" x14ac:dyDescent="0.25">
      <c r="AS90"/>
      <c r="AT90"/>
      <c r="AU90"/>
      <c r="AV90"/>
      <c r="AW90"/>
      <c r="AX90"/>
      <c r="AY90"/>
      <c r="AZ90"/>
      <c r="BA90"/>
      <c r="BB90"/>
      <c r="BC90"/>
      <c r="BS90"/>
      <c r="BT90"/>
      <c r="BU90"/>
      <c r="BV90"/>
      <c r="BW90"/>
      <c r="BX90"/>
    </row>
    <row r="91" spans="45:76" x14ac:dyDescent="0.25">
      <c r="AS91"/>
      <c r="AT91"/>
      <c r="AU91"/>
      <c r="AV91"/>
      <c r="AW91"/>
      <c r="AX91"/>
      <c r="AY91"/>
      <c r="AZ91"/>
      <c r="BA91"/>
      <c r="BB91"/>
      <c r="BC91"/>
      <c r="BS91"/>
      <c r="BT91"/>
      <c r="BU91"/>
      <c r="BV91"/>
      <c r="BW91"/>
      <c r="BX91"/>
    </row>
    <row r="92" spans="45:76" x14ac:dyDescent="0.25">
      <c r="AS92"/>
      <c r="AT92"/>
      <c r="AU92"/>
      <c r="AV92"/>
      <c r="AW92"/>
      <c r="AX92"/>
      <c r="AY92"/>
      <c r="AZ92"/>
      <c r="BA92"/>
      <c r="BB92"/>
      <c r="BC92"/>
      <c r="BS92"/>
      <c r="BT92"/>
      <c r="BU92"/>
      <c r="BV92"/>
      <c r="BW92"/>
      <c r="BX92"/>
    </row>
    <row r="93" spans="45:76" x14ac:dyDescent="0.25">
      <c r="AS93"/>
      <c r="AT93"/>
      <c r="AU93"/>
      <c r="AV93"/>
      <c r="AW93"/>
      <c r="AX93"/>
      <c r="AY93"/>
      <c r="AZ93"/>
      <c r="BA93"/>
      <c r="BB93"/>
      <c r="BC93"/>
      <c r="BS93"/>
      <c r="BT93"/>
      <c r="BU93"/>
      <c r="BV93"/>
      <c r="BW93"/>
      <c r="BX93"/>
    </row>
    <row r="94" spans="45:76" x14ac:dyDescent="0.25">
      <c r="AS94"/>
      <c r="AT94"/>
      <c r="AU94"/>
      <c r="AV94"/>
      <c r="AW94"/>
      <c r="AX94"/>
      <c r="AY94"/>
      <c r="AZ94"/>
      <c r="BA94"/>
      <c r="BB94"/>
      <c r="BC94"/>
      <c r="BS94"/>
      <c r="BT94"/>
      <c r="BU94"/>
      <c r="BV94"/>
      <c r="BW94"/>
      <c r="BX94"/>
    </row>
    <row r="95" spans="45:76" x14ac:dyDescent="0.25">
      <c r="AS95"/>
      <c r="AT95"/>
      <c r="AU95"/>
      <c r="AV95"/>
      <c r="AW95"/>
      <c r="AX95"/>
      <c r="AY95"/>
      <c r="AZ95"/>
      <c r="BA95"/>
      <c r="BB95"/>
      <c r="BC95"/>
      <c r="BS95"/>
      <c r="BT95"/>
      <c r="BU95"/>
      <c r="BV95"/>
      <c r="BW95"/>
      <c r="BX95"/>
    </row>
    <row r="96" spans="45:76" x14ac:dyDescent="0.25">
      <c r="AS96"/>
      <c r="AT96"/>
      <c r="AU96"/>
      <c r="AV96"/>
      <c r="AW96"/>
      <c r="AX96"/>
      <c r="AY96"/>
      <c r="AZ96"/>
      <c r="BA96"/>
      <c r="BB96"/>
      <c r="BC96"/>
      <c r="BS96"/>
      <c r="BT96"/>
      <c r="BU96"/>
      <c r="BV96"/>
      <c r="BW96"/>
      <c r="BX96"/>
    </row>
    <row r="97" spans="45:76" x14ac:dyDescent="0.25">
      <c r="AS97"/>
      <c r="AT97"/>
      <c r="AU97"/>
      <c r="AV97"/>
      <c r="AW97"/>
      <c r="AX97"/>
      <c r="AY97"/>
      <c r="AZ97"/>
      <c r="BA97"/>
      <c r="BB97"/>
      <c r="BC97"/>
      <c r="BS97"/>
      <c r="BT97"/>
      <c r="BU97"/>
      <c r="BV97"/>
      <c r="BW97"/>
      <c r="BX97"/>
    </row>
    <row r="98" spans="45:76" x14ac:dyDescent="0.25">
      <c r="AS98"/>
      <c r="AT98"/>
      <c r="AU98"/>
      <c r="AV98"/>
      <c r="AW98"/>
      <c r="AX98"/>
      <c r="AY98"/>
      <c r="AZ98"/>
      <c r="BA98"/>
      <c r="BB98"/>
      <c r="BC98"/>
      <c r="BS98"/>
      <c r="BT98"/>
      <c r="BU98"/>
      <c r="BV98"/>
      <c r="BW98"/>
      <c r="BX98"/>
    </row>
    <row r="99" spans="45:76" x14ac:dyDescent="0.25">
      <c r="AS99"/>
      <c r="AT99"/>
      <c r="AU99"/>
      <c r="AV99"/>
      <c r="AW99"/>
      <c r="AX99"/>
      <c r="AY99"/>
      <c r="AZ99"/>
      <c r="BA99"/>
      <c r="BB99"/>
      <c r="BC99"/>
      <c r="BS99"/>
      <c r="BT99"/>
      <c r="BU99"/>
      <c r="BV99"/>
      <c r="BW99"/>
      <c r="BX99"/>
    </row>
    <row r="100" spans="45:76" x14ac:dyDescent="0.25">
      <c r="AS100"/>
      <c r="AT100"/>
      <c r="AU100"/>
      <c r="AV100"/>
      <c r="AW100"/>
      <c r="AX100"/>
      <c r="AY100"/>
      <c r="AZ100"/>
      <c r="BA100"/>
      <c r="BB100"/>
      <c r="BC100"/>
      <c r="BS100"/>
      <c r="BT100"/>
      <c r="BU100"/>
      <c r="BV100"/>
      <c r="BW100"/>
      <c r="BX100"/>
    </row>
    <row r="101" spans="45:76" x14ac:dyDescent="0.25">
      <c r="AS101"/>
      <c r="AT101"/>
      <c r="AU101"/>
      <c r="AV101"/>
      <c r="AW101"/>
      <c r="AX101"/>
      <c r="AY101"/>
      <c r="AZ101"/>
      <c r="BA101"/>
      <c r="BB101"/>
      <c r="BC101"/>
      <c r="BS101"/>
      <c r="BT101"/>
      <c r="BU101"/>
      <c r="BV101"/>
      <c r="BW101"/>
      <c r="BX101"/>
    </row>
    <row r="102" spans="45:76" x14ac:dyDescent="0.25">
      <c r="AS102"/>
      <c r="AT102"/>
      <c r="AU102"/>
      <c r="AV102"/>
      <c r="AW102"/>
      <c r="AX102"/>
      <c r="AY102"/>
      <c r="AZ102"/>
      <c r="BA102"/>
      <c r="BB102"/>
      <c r="BC102"/>
      <c r="BS102"/>
      <c r="BT102"/>
      <c r="BU102"/>
      <c r="BV102"/>
      <c r="BW102"/>
      <c r="BX102"/>
    </row>
    <row r="103" spans="45:76" x14ac:dyDescent="0.25">
      <c r="AS103"/>
      <c r="AT103"/>
      <c r="AU103"/>
      <c r="AV103"/>
      <c r="AW103"/>
      <c r="AX103"/>
      <c r="AY103"/>
      <c r="AZ103"/>
      <c r="BA103"/>
      <c r="BB103"/>
      <c r="BC103"/>
      <c r="BS103"/>
      <c r="BT103"/>
      <c r="BU103"/>
      <c r="BV103"/>
      <c r="BW103"/>
      <c r="BX103"/>
    </row>
    <row r="104" spans="45:76" x14ac:dyDescent="0.25">
      <c r="AS104"/>
      <c r="AT104"/>
      <c r="AU104"/>
      <c r="AV104"/>
      <c r="AW104"/>
      <c r="AX104"/>
      <c r="AY104"/>
      <c r="AZ104"/>
      <c r="BA104"/>
      <c r="BB104"/>
      <c r="BC104"/>
      <c r="BS104"/>
      <c r="BT104"/>
      <c r="BU104"/>
      <c r="BV104"/>
      <c r="BW104"/>
      <c r="BX104"/>
    </row>
    <row r="105" spans="45:76" x14ac:dyDescent="0.25">
      <c r="AS105"/>
      <c r="AT105"/>
      <c r="AU105"/>
      <c r="AV105"/>
      <c r="AW105"/>
      <c r="AX105"/>
      <c r="AY105"/>
      <c r="AZ105"/>
      <c r="BA105"/>
      <c r="BB105"/>
      <c r="BC105"/>
      <c r="BS105"/>
      <c r="BT105"/>
      <c r="BU105"/>
      <c r="BV105"/>
      <c r="BW105"/>
      <c r="BX105"/>
    </row>
    <row r="106" spans="45:76" x14ac:dyDescent="0.25">
      <c r="AS106"/>
      <c r="AT106"/>
      <c r="AU106"/>
      <c r="AV106"/>
      <c r="AW106"/>
      <c r="AX106"/>
      <c r="AY106"/>
      <c r="AZ106"/>
      <c r="BA106"/>
      <c r="BB106"/>
      <c r="BC106"/>
      <c r="BS106"/>
      <c r="BT106"/>
      <c r="BU106"/>
      <c r="BV106"/>
      <c r="BW106"/>
      <c r="BX106"/>
    </row>
    <row r="107" spans="45:76" x14ac:dyDescent="0.25">
      <c r="AS107"/>
      <c r="AT107"/>
      <c r="AU107"/>
      <c r="AV107"/>
      <c r="AW107"/>
      <c r="AX107"/>
      <c r="AY107"/>
      <c r="AZ107"/>
      <c r="BA107"/>
      <c r="BB107"/>
      <c r="BC107"/>
      <c r="BS107"/>
      <c r="BT107"/>
      <c r="BU107"/>
      <c r="BV107"/>
      <c r="BW107"/>
      <c r="BX107"/>
    </row>
    <row r="108" spans="45:76" x14ac:dyDescent="0.25">
      <c r="AS108"/>
      <c r="AT108"/>
      <c r="AU108"/>
      <c r="AV108"/>
      <c r="AW108"/>
      <c r="AX108"/>
      <c r="AY108"/>
      <c r="AZ108"/>
      <c r="BA108"/>
      <c r="BB108"/>
      <c r="BC108"/>
      <c r="BS108"/>
      <c r="BT108"/>
      <c r="BU108"/>
      <c r="BV108"/>
      <c r="BW108"/>
      <c r="BX108"/>
    </row>
    <row r="109" spans="45:76" x14ac:dyDescent="0.25">
      <c r="AS109"/>
      <c r="AT109"/>
      <c r="AU109"/>
      <c r="AV109"/>
      <c r="AW109"/>
      <c r="AX109"/>
      <c r="AY109"/>
      <c r="AZ109"/>
      <c r="BA109"/>
      <c r="BB109"/>
      <c r="BC109"/>
      <c r="BS109"/>
      <c r="BT109"/>
      <c r="BU109"/>
      <c r="BV109"/>
      <c r="BW109"/>
      <c r="BX109"/>
    </row>
    <row r="110" spans="45:76" x14ac:dyDescent="0.25">
      <c r="AS110"/>
      <c r="AT110"/>
      <c r="AU110"/>
      <c r="AV110"/>
      <c r="AW110"/>
      <c r="AX110"/>
      <c r="AY110"/>
      <c r="AZ110"/>
      <c r="BA110"/>
      <c r="BB110"/>
      <c r="BC110"/>
      <c r="BS110"/>
      <c r="BT110"/>
      <c r="BU110"/>
      <c r="BV110"/>
      <c r="BW110"/>
      <c r="BX110"/>
    </row>
    <row r="111" spans="45:76" x14ac:dyDescent="0.25">
      <c r="AS111"/>
      <c r="AT111"/>
      <c r="AU111"/>
      <c r="AV111"/>
      <c r="AW111"/>
      <c r="AX111"/>
      <c r="AY111"/>
      <c r="AZ111"/>
      <c r="BA111"/>
      <c r="BB111"/>
      <c r="BC111"/>
      <c r="BS111"/>
      <c r="BT111"/>
      <c r="BU111"/>
      <c r="BV111"/>
      <c r="BW111"/>
      <c r="BX111"/>
    </row>
    <row r="112" spans="45:76" x14ac:dyDescent="0.25">
      <c r="AS112"/>
      <c r="AT112"/>
      <c r="AU112"/>
      <c r="AV112"/>
      <c r="AW112"/>
      <c r="AX112"/>
      <c r="AY112"/>
      <c r="AZ112"/>
      <c r="BA112"/>
      <c r="BB112"/>
      <c r="BC112"/>
      <c r="BS112"/>
      <c r="BT112"/>
      <c r="BU112"/>
      <c r="BV112"/>
      <c r="BW112"/>
      <c r="BX112"/>
    </row>
    <row r="113" spans="45:76" x14ac:dyDescent="0.25">
      <c r="AS113"/>
      <c r="AT113"/>
      <c r="AU113"/>
      <c r="AV113"/>
      <c r="AW113"/>
      <c r="AX113"/>
      <c r="AY113"/>
      <c r="AZ113"/>
      <c r="BA113"/>
      <c r="BB113"/>
      <c r="BC113"/>
      <c r="BS113"/>
      <c r="BT113"/>
      <c r="BU113"/>
      <c r="BV113"/>
      <c r="BW113"/>
      <c r="BX113"/>
    </row>
    <row r="114" spans="45:76" x14ac:dyDescent="0.25">
      <c r="AS114"/>
      <c r="AT114"/>
      <c r="AU114"/>
      <c r="AV114"/>
      <c r="AW114"/>
      <c r="AX114"/>
      <c r="AY114"/>
      <c r="AZ114"/>
      <c r="BA114"/>
      <c r="BB114"/>
      <c r="BC114"/>
      <c r="BS114"/>
      <c r="BT114"/>
      <c r="BU114"/>
      <c r="BV114"/>
      <c r="BW114"/>
      <c r="BX114"/>
    </row>
    <row r="115" spans="45:76" x14ac:dyDescent="0.25">
      <c r="AS115"/>
      <c r="AT115"/>
      <c r="AU115"/>
      <c r="AV115"/>
      <c r="AW115"/>
      <c r="AX115"/>
      <c r="AY115"/>
      <c r="AZ115"/>
      <c r="BA115"/>
      <c r="BB115"/>
      <c r="BC115"/>
      <c r="BS115"/>
      <c r="BT115"/>
      <c r="BU115"/>
      <c r="BV115"/>
      <c r="BW115"/>
      <c r="BX115"/>
    </row>
    <row r="116" spans="45:76" x14ac:dyDescent="0.25">
      <c r="AS116"/>
      <c r="AT116"/>
      <c r="AU116"/>
      <c r="AV116"/>
      <c r="AW116"/>
      <c r="AX116"/>
      <c r="AY116"/>
      <c r="AZ116"/>
      <c r="BA116"/>
      <c r="BB116"/>
      <c r="BC116"/>
      <c r="BS116"/>
      <c r="BT116"/>
      <c r="BU116"/>
      <c r="BV116"/>
      <c r="BW116"/>
      <c r="BX116"/>
    </row>
    <row r="117" spans="45:76" x14ac:dyDescent="0.25">
      <c r="AS117"/>
      <c r="AT117"/>
      <c r="AU117"/>
      <c r="AV117"/>
      <c r="AW117"/>
      <c r="AX117"/>
      <c r="AY117"/>
      <c r="AZ117"/>
      <c r="BA117"/>
      <c r="BB117"/>
      <c r="BC117"/>
      <c r="BS117"/>
      <c r="BT117"/>
      <c r="BU117"/>
      <c r="BV117"/>
      <c r="BW117"/>
      <c r="BX117"/>
    </row>
    <row r="118" spans="45:76" x14ac:dyDescent="0.25">
      <c r="AS118"/>
      <c r="AT118"/>
      <c r="AU118"/>
      <c r="AV118"/>
      <c r="AW118"/>
      <c r="AX118"/>
      <c r="AY118"/>
      <c r="AZ118"/>
      <c r="BA118"/>
      <c r="BB118"/>
      <c r="BC118"/>
      <c r="BS118"/>
      <c r="BT118"/>
      <c r="BU118"/>
      <c r="BV118"/>
      <c r="BW118"/>
      <c r="BX118"/>
    </row>
    <row r="119" spans="45:76" x14ac:dyDescent="0.25">
      <c r="AS119"/>
      <c r="AT119"/>
      <c r="AU119"/>
      <c r="AV119"/>
      <c r="AW119"/>
      <c r="AX119"/>
      <c r="AY119"/>
      <c r="AZ119"/>
      <c r="BA119"/>
      <c r="BB119"/>
      <c r="BC119"/>
      <c r="BS119"/>
      <c r="BT119"/>
      <c r="BU119"/>
      <c r="BV119"/>
      <c r="BW119"/>
      <c r="BX119"/>
    </row>
    <row r="120" spans="45:76" x14ac:dyDescent="0.25">
      <c r="AS120"/>
      <c r="AT120"/>
      <c r="AU120"/>
      <c r="AV120"/>
      <c r="AW120"/>
      <c r="AX120"/>
      <c r="AY120"/>
      <c r="AZ120"/>
      <c r="BA120"/>
      <c r="BB120"/>
      <c r="BC120"/>
      <c r="BS120"/>
      <c r="BT120"/>
      <c r="BU120"/>
      <c r="BV120"/>
      <c r="BW120"/>
      <c r="BX120"/>
    </row>
    <row r="121" spans="45:76" x14ac:dyDescent="0.25">
      <c r="AS121"/>
      <c r="AT121"/>
      <c r="AU121"/>
      <c r="AV121"/>
      <c r="AW121"/>
      <c r="AX121"/>
      <c r="AY121"/>
      <c r="AZ121"/>
      <c r="BA121"/>
      <c r="BB121"/>
      <c r="BC121"/>
      <c r="BS121"/>
      <c r="BT121"/>
      <c r="BU121"/>
      <c r="BV121"/>
      <c r="BW121"/>
      <c r="BX121"/>
    </row>
    <row r="122" spans="45:76" x14ac:dyDescent="0.25">
      <c r="AS122"/>
      <c r="AT122"/>
      <c r="AU122"/>
      <c r="AV122"/>
      <c r="AW122"/>
      <c r="AX122"/>
      <c r="AY122"/>
      <c r="AZ122"/>
      <c r="BA122"/>
      <c r="BB122"/>
      <c r="BC122"/>
      <c r="BS122"/>
      <c r="BT122"/>
      <c r="BU122"/>
      <c r="BV122"/>
      <c r="BW122"/>
      <c r="BX122"/>
    </row>
    <row r="123" spans="45:76" x14ac:dyDescent="0.25">
      <c r="AS123"/>
      <c r="AT123"/>
      <c r="AU123"/>
      <c r="AV123"/>
      <c r="AW123"/>
      <c r="AX123"/>
      <c r="AY123"/>
      <c r="AZ123"/>
      <c r="BA123"/>
      <c r="BB123"/>
      <c r="BC123"/>
      <c r="BS123"/>
      <c r="BT123"/>
      <c r="BU123"/>
      <c r="BV123"/>
      <c r="BW123"/>
      <c r="BX123"/>
    </row>
    <row r="124" spans="45:76" x14ac:dyDescent="0.25">
      <c r="AS124"/>
      <c r="AT124"/>
      <c r="AU124"/>
      <c r="AV124"/>
      <c r="AW124"/>
      <c r="AX124"/>
      <c r="AY124"/>
      <c r="AZ124"/>
      <c r="BA124"/>
      <c r="BB124"/>
      <c r="BC124"/>
      <c r="BS124"/>
      <c r="BT124"/>
      <c r="BU124"/>
      <c r="BV124"/>
      <c r="BW124"/>
      <c r="BX124"/>
    </row>
    <row r="125" spans="45:76" x14ac:dyDescent="0.25">
      <c r="AS125"/>
      <c r="AT125"/>
      <c r="AU125"/>
      <c r="AV125"/>
      <c r="AW125"/>
      <c r="AX125"/>
      <c r="AY125"/>
      <c r="AZ125"/>
      <c r="BA125"/>
      <c r="BB125"/>
      <c r="BC125"/>
      <c r="BS125"/>
      <c r="BT125"/>
      <c r="BU125"/>
      <c r="BV125"/>
      <c r="BW125"/>
      <c r="BX125"/>
    </row>
    <row r="126" spans="45:76" x14ac:dyDescent="0.25">
      <c r="AS126"/>
      <c r="AT126"/>
      <c r="AU126"/>
      <c r="AV126"/>
      <c r="AW126"/>
      <c r="AX126"/>
      <c r="AY126"/>
      <c r="AZ126"/>
      <c r="BA126"/>
      <c r="BB126"/>
      <c r="BC126"/>
      <c r="BS126"/>
      <c r="BT126"/>
      <c r="BU126"/>
      <c r="BV126"/>
      <c r="BW126"/>
      <c r="BX126"/>
    </row>
    <row r="127" spans="45:76" x14ac:dyDescent="0.25">
      <c r="AS127"/>
      <c r="AT127"/>
      <c r="AU127"/>
      <c r="AV127"/>
      <c r="AW127"/>
      <c r="AX127"/>
      <c r="AY127"/>
      <c r="AZ127"/>
      <c r="BA127"/>
      <c r="BB127"/>
      <c r="BC127"/>
      <c r="BS127"/>
      <c r="BT127"/>
      <c r="BU127"/>
      <c r="BV127"/>
      <c r="BW127"/>
      <c r="BX127"/>
    </row>
    <row r="128" spans="45:76" x14ac:dyDescent="0.25">
      <c r="AS128"/>
      <c r="AT128"/>
      <c r="AU128"/>
      <c r="AV128"/>
      <c r="AW128"/>
      <c r="AX128"/>
      <c r="AY128"/>
      <c r="AZ128"/>
      <c r="BA128"/>
      <c r="BB128"/>
      <c r="BC128"/>
      <c r="BS128"/>
      <c r="BT128"/>
      <c r="BU128"/>
      <c r="BV128"/>
      <c r="BW128"/>
      <c r="BX128"/>
    </row>
    <row r="129" spans="45:76" x14ac:dyDescent="0.25">
      <c r="AS129"/>
      <c r="AT129"/>
      <c r="AU129"/>
      <c r="AV129"/>
      <c r="AW129"/>
      <c r="AX129"/>
      <c r="AY129"/>
      <c r="AZ129"/>
      <c r="BA129"/>
      <c r="BB129"/>
      <c r="BC129"/>
      <c r="BS129"/>
      <c r="BT129"/>
      <c r="BU129"/>
      <c r="BV129"/>
      <c r="BW129"/>
      <c r="BX129"/>
    </row>
    <row r="130" spans="45:76" x14ac:dyDescent="0.25">
      <c r="AS130"/>
      <c r="AT130"/>
      <c r="AU130"/>
      <c r="AV130"/>
      <c r="AW130"/>
      <c r="AX130"/>
      <c r="AY130"/>
      <c r="AZ130"/>
      <c r="BA130"/>
      <c r="BB130"/>
      <c r="BC130"/>
      <c r="BS130"/>
      <c r="BT130"/>
      <c r="BU130"/>
      <c r="BV130"/>
      <c r="BW130"/>
      <c r="BX130"/>
    </row>
    <row r="131" spans="45:76" x14ac:dyDescent="0.25">
      <c r="AS131"/>
      <c r="AT131"/>
      <c r="AU131"/>
      <c r="AV131"/>
      <c r="AW131"/>
      <c r="AX131"/>
      <c r="AY131"/>
      <c r="AZ131"/>
      <c r="BA131"/>
      <c r="BB131"/>
      <c r="BC131"/>
      <c r="BS131"/>
      <c r="BT131"/>
      <c r="BU131"/>
      <c r="BV131"/>
      <c r="BW131"/>
      <c r="BX131"/>
    </row>
    <row r="132" spans="45:76" x14ac:dyDescent="0.25">
      <c r="AS132"/>
      <c r="AT132"/>
      <c r="AU132"/>
      <c r="AV132"/>
      <c r="AW132"/>
      <c r="AX132"/>
      <c r="AY132"/>
      <c r="AZ132"/>
      <c r="BA132"/>
      <c r="BB132"/>
      <c r="BC132"/>
      <c r="BS132"/>
      <c r="BT132"/>
      <c r="BU132"/>
      <c r="BV132"/>
      <c r="BW132"/>
      <c r="BX132"/>
    </row>
    <row r="133" spans="45:76" x14ac:dyDescent="0.25">
      <c r="AS133"/>
      <c r="AT133"/>
      <c r="AU133"/>
      <c r="AV133"/>
      <c r="AW133"/>
      <c r="AX133"/>
      <c r="AY133"/>
      <c r="AZ133"/>
      <c r="BA133"/>
      <c r="BB133"/>
      <c r="BC133"/>
      <c r="BS133"/>
      <c r="BT133"/>
      <c r="BU133"/>
      <c r="BV133"/>
      <c r="BW133"/>
      <c r="BX133"/>
    </row>
    <row r="134" spans="45:76" x14ac:dyDescent="0.25">
      <c r="AS134"/>
      <c r="AT134"/>
      <c r="AU134"/>
      <c r="AV134"/>
      <c r="AW134"/>
      <c r="AX134"/>
      <c r="AY134"/>
      <c r="AZ134"/>
      <c r="BA134"/>
      <c r="BB134"/>
      <c r="BC134"/>
      <c r="BS134"/>
      <c r="BT134"/>
      <c r="BU134"/>
      <c r="BV134"/>
      <c r="BW134"/>
      <c r="BX134"/>
    </row>
    <row r="135" spans="45:76" x14ac:dyDescent="0.25">
      <c r="AS135"/>
      <c r="AT135"/>
      <c r="AU135"/>
      <c r="AV135"/>
      <c r="AW135"/>
      <c r="AX135"/>
      <c r="AY135"/>
      <c r="AZ135"/>
      <c r="BA135"/>
      <c r="BB135"/>
      <c r="BC135"/>
      <c r="BS135"/>
      <c r="BT135"/>
      <c r="BU135"/>
      <c r="BV135"/>
      <c r="BW135"/>
      <c r="BX135"/>
    </row>
    <row r="136" spans="45:76" x14ac:dyDescent="0.25">
      <c r="AS136"/>
      <c r="AT136"/>
      <c r="AU136"/>
      <c r="AV136"/>
      <c r="AW136"/>
      <c r="AX136"/>
      <c r="AY136"/>
      <c r="AZ136"/>
      <c r="BA136"/>
      <c r="BB136"/>
      <c r="BC136"/>
      <c r="BS136"/>
      <c r="BT136"/>
      <c r="BU136"/>
      <c r="BV136"/>
      <c r="BW136"/>
      <c r="BX136"/>
    </row>
    <row r="137" spans="45:76" x14ac:dyDescent="0.25">
      <c r="AS137"/>
      <c r="AT137"/>
      <c r="AU137"/>
      <c r="AV137"/>
      <c r="AW137"/>
      <c r="AX137"/>
      <c r="AY137"/>
      <c r="AZ137"/>
      <c r="BA137"/>
      <c r="BB137"/>
      <c r="BC137"/>
      <c r="BS137"/>
      <c r="BT137"/>
      <c r="BU137"/>
      <c r="BV137"/>
      <c r="BW137"/>
      <c r="BX137"/>
    </row>
    <row r="138" spans="45:76" x14ac:dyDescent="0.25">
      <c r="AS138"/>
      <c r="AT138"/>
      <c r="AU138"/>
      <c r="AV138"/>
      <c r="AW138"/>
      <c r="AX138"/>
      <c r="AY138"/>
      <c r="AZ138"/>
      <c r="BA138"/>
      <c r="BB138"/>
      <c r="BC138"/>
      <c r="BS138"/>
      <c r="BT138"/>
      <c r="BU138"/>
      <c r="BV138"/>
      <c r="BW138"/>
      <c r="BX138"/>
    </row>
    <row r="139" spans="45:76" x14ac:dyDescent="0.25">
      <c r="AS139"/>
      <c r="AT139"/>
      <c r="AU139"/>
      <c r="AV139"/>
      <c r="AW139"/>
      <c r="AX139"/>
      <c r="AY139"/>
      <c r="AZ139"/>
      <c r="BA139"/>
      <c r="BB139"/>
      <c r="BC139"/>
      <c r="BS139"/>
      <c r="BT139"/>
      <c r="BU139"/>
      <c r="BV139"/>
      <c r="BW139"/>
      <c r="BX139"/>
    </row>
    <row r="140" spans="45:76" x14ac:dyDescent="0.25">
      <c r="AS140"/>
      <c r="AT140"/>
      <c r="AU140"/>
      <c r="AV140"/>
      <c r="AW140"/>
      <c r="AX140"/>
      <c r="AY140"/>
      <c r="AZ140"/>
      <c r="BA140"/>
      <c r="BB140"/>
      <c r="BC140"/>
      <c r="BS140"/>
      <c r="BT140"/>
      <c r="BU140"/>
      <c r="BV140"/>
      <c r="BW140"/>
      <c r="BX140"/>
    </row>
    <row r="141" spans="45:76" x14ac:dyDescent="0.25">
      <c r="AS141"/>
      <c r="AT141"/>
      <c r="AU141"/>
      <c r="AV141"/>
      <c r="AW141"/>
      <c r="AX141"/>
      <c r="AY141"/>
      <c r="AZ141"/>
      <c r="BA141"/>
      <c r="BB141"/>
      <c r="BC141"/>
      <c r="BS141"/>
      <c r="BT141"/>
      <c r="BU141"/>
      <c r="BV141"/>
      <c r="BW141"/>
      <c r="BX141"/>
    </row>
    <row r="142" spans="45:76" x14ac:dyDescent="0.25">
      <c r="AS142"/>
      <c r="AT142"/>
      <c r="AU142"/>
      <c r="AV142"/>
      <c r="AW142"/>
      <c r="AX142"/>
      <c r="AY142"/>
      <c r="AZ142"/>
      <c r="BA142"/>
      <c r="BB142"/>
      <c r="BC142"/>
      <c r="BS142"/>
      <c r="BT142"/>
      <c r="BU142"/>
      <c r="BV142"/>
      <c r="BW142"/>
      <c r="BX142"/>
    </row>
    <row r="143" spans="45:76" x14ac:dyDescent="0.25">
      <c r="AS143"/>
      <c r="AT143"/>
      <c r="AU143"/>
      <c r="AV143"/>
      <c r="AW143"/>
      <c r="AX143"/>
      <c r="AY143"/>
      <c r="AZ143"/>
      <c r="BA143"/>
      <c r="BB143"/>
      <c r="BC143"/>
      <c r="BS143"/>
      <c r="BT143"/>
      <c r="BU143"/>
      <c r="BV143"/>
      <c r="BW143"/>
      <c r="BX143"/>
    </row>
    <row r="144" spans="45:76" x14ac:dyDescent="0.25">
      <c r="AS144"/>
      <c r="AT144"/>
      <c r="AU144"/>
      <c r="AV144"/>
      <c r="AW144"/>
      <c r="AX144"/>
      <c r="AY144"/>
      <c r="AZ144"/>
      <c r="BA144"/>
      <c r="BB144"/>
      <c r="BC144"/>
      <c r="BS144"/>
      <c r="BT144"/>
      <c r="BU144"/>
      <c r="BV144"/>
      <c r="BW144"/>
      <c r="BX144"/>
    </row>
    <row r="145" spans="45:76" x14ac:dyDescent="0.25">
      <c r="AS145"/>
      <c r="AT145"/>
      <c r="AU145"/>
      <c r="AV145"/>
      <c r="AW145"/>
      <c r="AX145"/>
      <c r="AY145"/>
      <c r="AZ145"/>
      <c r="BA145"/>
      <c r="BB145"/>
      <c r="BC145"/>
      <c r="BS145"/>
      <c r="BT145"/>
      <c r="BU145"/>
      <c r="BV145"/>
      <c r="BW145"/>
      <c r="BX145"/>
    </row>
    <row r="146" spans="45:76" x14ac:dyDescent="0.25">
      <c r="AS146"/>
      <c r="AT146"/>
      <c r="AU146"/>
      <c r="AV146"/>
      <c r="AW146"/>
      <c r="AX146"/>
      <c r="AY146"/>
      <c r="AZ146"/>
      <c r="BA146"/>
      <c r="BB146"/>
      <c r="BC146"/>
      <c r="BS146"/>
      <c r="BT146"/>
      <c r="BU146"/>
      <c r="BV146"/>
      <c r="BW146"/>
      <c r="BX146"/>
    </row>
    <row r="147" spans="45:76" x14ac:dyDescent="0.25">
      <c r="AS147"/>
      <c r="AT147"/>
      <c r="AU147"/>
      <c r="AV147"/>
      <c r="AW147"/>
      <c r="AX147"/>
      <c r="AY147"/>
      <c r="AZ147"/>
      <c r="BA147"/>
      <c r="BB147"/>
      <c r="BC147"/>
      <c r="BS147"/>
      <c r="BT147"/>
      <c r="BU147"/>
      <c r="BV147"/>
      <c r="BW147"/>
      <c r="BX147"/>
    </row>
    <row r="148" spans="45:76" x14ac:dyDescent="0.25">
      <c r="AS148"/>
      <c r="AT148"/>
      <c r="AU148"/>
      <c r="AV148"/>
      <c r="AW148"/>
      <c r="AX148"/>
      <c r="AY148"/>
      <c r="AZ148"/>
      <c r="BA148"/>
      <c r="BB148"/>
      <c r="BC148"/>
      <c r="BS148"/>
      <c r="BT148"/>
      <c r="BU148"/>
      <c r="BV148"/>
      <c r="BW148"/>
      <c r="BX148"/>
    </row>
    <row r="149" spans="45:76" x14ac:dyDescent="0.25">
      <c r="AS149"/>
      <c r="AT149"/>
      <c r="AU149"/>
      <c r="AV149"/>
      <c r="AW149"/>
      <c r="AX149"/>
      <c r="AY149"/>
      <c r="AZ149"/>
      <c r="BA149"/>
      <c r="BB149"/>
      <c r="BC149"/>
      <c r="BS149"/>
      <c r="BT149"/>
      <c r="BU149"/>
      <c r="BV149"/>
      <c r="BW149"/>
      <c r="BX149"/>
    </row>
    <row r="150" spans="45:76" x14ac:dyDescent="0.25">
      <c r="AS150"/>
      <c r="AT150"/>
      <c r="AU150"/>
      <c r="AV150"/>
      <c r="AW150"/>
      <c r="AX150"/>
      <c r="AY150"/>
      <c r="AZ150"/>
      <c r="BA150"/>
      <c r="BB150"/>
      <c r="BC150"/>
      <c r="BS150"/>
      <c r="BT150"/>
      <c r="BU150"/>
      <c r="BV150"/>
      <c r="BW150"/>
      <c r="BX150"/>
    </row>
    <row r="151" spans="45:76" x14ac:dyDescent="0.25">
      <c r="AS151"/>
      <c r="AT151"/>
      <c r="AU151"/>
      <c r="AV151"/>
      <c r="AW151"/>
      <c r="AX151"/>
      <c r="AY151"/>
      <c r="AZ151"/>
      <c r="BA151"/>
      <c r="BB151"/>
      <c r="BC151"/>
      <c r="BS151"/>
      <c r="BT151"/>
      <c r="BU151"/>
      <c r="BV151"/>
      <c r="BW151"/>
      <c r="BX151"/>
    </row>
    <row r="152" spans="45:76" x14ac:dyDescent="0.25">
      <c r="AS152"/>
      <c r="AT152"/>
      <c r="AU152"/>
      <c r="AV152"/>
      <c r="AW152"/>
      <c r="AX152"/>
      <c r="AY152"/>
      <c r="AZ152"/>
      <c r="BA152"/>
      <c r="BB152"/>
      <c r="BC152"/>
      <c r="BS152"/>
      <c r="BT152"/>
      <c r="BU152"/>
      <c r="BV152"/>
      <c r="BW152"/>
      <c r="BX152"/>
    </row>
    <row r="153" spans="45:76" x14ac:dyDescent="0.25">
      <c r="AS153"/>
      <c r="AT153"/>
      <c r="AU153"/>
      <c r="AV153"/>
      <c r="AW153"/>
      <c r="AX153"/>
      <c r="AY153"/>
      <c r="AZ153"/>
      <c r="BA153"/>
      <c r="BB153"/>
      <c r="BC153"/>
      <c r="BS153"/>
      <c r="BT153"/>
      <c r="BU153"/>
      <c r="BV153"/>
      <c r="BW153"/>
      <c r="BX153"/>
    </row>
    <row r="154" spans="45:76" x14ac:dyDescent="0.25">
      <c r="AS154"/>
      <c r="AT154"/>
      <c r="AU154"/>
      <c r="AV154"/>
      <c r="AW154"/>
      <c r="AX154"/>
      <c r="AY154"/>
      <c r="AZ154"/>
      <c r="BA154"/>
      <c r="BB154"/>
      <c r="BC154"/>
      <c r="BS154"/>
      <c r="BT154"/>
      <c r="BU154"/>
      <c r="BV154"/>
      <c r="BW154"/>
      <c r="BX154"/>
    </row>
    <row r="155" spans="45:76" x14ac:dyDescent="0.25">
      <c r="AS155"/>
      <c r="AT155"/>
      <c r="AU155"/>
      <c r="AV155"/>
      <c r="AW155"/>
      <c r="AX155"/>
      <c r="AY155"/>
      <c r="AZ155"/>
      <c r="BA155"/>
      <c r="BB155"/>
      <c r="BC155"/>
      <c r="BS155"/>
      <c r="BT155"/>
      <c r="BU155"/>
      <c r="BV155"/>
      <c r="BW155"/>
      <c r="BX155"/>
    </row>
    <row r="156" spans="45:76" x14ac:dyDescent="0.25">
      <c r="AS156"/>
      <c r="AT156"/>
      <c r="AU156"/>
      <c r="AV156"/>
      <c r="AW156"/>
      <c r="AX156"/>
      <c r="AY156"/>
      <c r="AZ156"/>
      <c r="BA156"/>
      <c r="BB156"/>
      <c r="BC156"/>
      <c r="BS156"/>
      <c r="BT156"/>
      <c r="BU156"/>
      <c r="BV156"/>
      <c r="BW156"/>
      <c r="BX156"/>
    </row>
    <row r="157" spans="45:76" x14ac:dyDescent="0.25">
      <c r="AS157"/>
      <c r="AT157"/>
      <c r="AU157"/>
      <c r="AV157"/>
      <c r="AW157"/>
      <c r="AX157"/>
      <c r="AY157"/>
      <c r="AZ157"/>
      <c r="BA157"/>
      <c r="BB157"/>
      <c r="BC157"/>
      <c r="BS157"/>
      <c r="BT157"/>
      <c r="BU157"/>
      <c r="BV157"/>
      <c r="BW157"/>
      <c r="BX157"/>
    </row>
    <row r="158" spans="45:76" x14ac:dyDescent="0.25">
      <c r="AS158"/>
      <c r="AT158"/>
      <c r="AU158"/>
      <c r="AV158"/>
      <c r="AW158"/>
      <c r="AX158"/>
      <c r="AY158"/>
      <c r="AZ158"/>
      <c r="BA158"/>
      <c r="BB158"/>
      <c r="BC158"/>
      <c r="BS158"/>
      <c r="BT158"/>
      <c r="BU158"/>
      <c r="BV158"/>
      <c r="BW158"/>
      <c r="BX158"/>
    </row>
    <row r="159" spans="45:76" x14ac:dyDescent="0.25">
      <c r="AS159"/>
      <c r="AT159"/>
      <c r="AU159"/>
      <c r="AV159"/>
      <c r="AW159"/>
      <c r="AX159"/>
      <c r="AY159"/>
      <c r="AZ159"/>
      <c r="BA159"/>
      <c r="BB159"/>
      <c r="BC159"/>
      <c r="BS159"/>
      <c r="BT159"/>
      <c r="BU159"/>
      <c r="BV159"/>
      <c r="BW159"/>
      <c r="BX159"/>
    </row>
    <row r="160" spans="45:76" x14ac:dyDescent="0.25">
      <c r="AS160"/>
      <c r="AT160"/>
      <c r="AU160"/>
      <c r="AV160"/>
      <c r="AW160"/>
      <c r="AX160"/>
      <c r="AY160"/>
      <c r="AZ160"/>
      <c r="BA160"/>
      <c r="BB160"/>
      <c r="BC160"/>
      <c r="BS160"/>
      <c r="BT160"/>
      <c r="BU160"/>
      <c r="BV160"/>
      <c r="BW160"/>
      <c r="BX160"/>
    </row>
    <row r="161" spans="45:76" x14ac:dyDescent="0.25">
      <c r="AS161"/>
      <c r="AT161"/>
      <c r="AU161"/>
      <c r="AV161"/>
      <c r="AW161"/>
      <c r="AX161"/>
      <c r="AY161"/>
      <c r="AZ161"/>
      <c r="BA161"/>
      <c r="BB161"/>
      <c r="BC161"/>
      <c r="BS161"/>
      <c r="BT161"/>
      <c r="BU161"/>
      <c r="BV161"/>
      <c r="BW161"/>
      <c r="BX161"/>
    </row>
    <row r="162" spans="45:76" x14ac:dyDescent="0.25">
      <c r="AS162"/>
      <c r="AT162"/>
      <c r="AU162"/>
      <c r="AV162"/>
      <c r="AW162"/>
      <c r="AX162"/>
      <c r="AY162"/>
      <c r="AZ162"/>
      <c r="BA162"/>
      <c r="BB162"/>
      <c r="BC162"/>
      <c r="BS162"/>
      <c r="BT162"/>
      <c r="BU162"/>
      <c r="BV162"/>
      <c r="BW162"/>
      <c r="BX162"/>
    </row>
    <row r="163" spans="45:76" x14ac:dyDescent="0.25">
      <c r="AS163"/>
      <c r="AT163"/>
      <c r="AU163"/>
      <c r="AV163"/>
      <c r="AW163"/>
      <c r="AX163"/>
      <c r="AY163"/>
      <c r="AZ163"/>
      <c r="BA163"/>
      <c r="BB163"/>
      <c r="BC163"/>
      <c r="BS163"/>
      <c r="BT163"/>
      <c r="BU163"/>
      <c r="BV163"/>
      <c r="BW163"/>
      <c r="BX163"/>
    </row>
    <row r="164" spans="45:76" x14ac:dyDescent="0.25">
      <c r="AS164"/>
      <c r="AT164"/>
      <c r="AU164"/>
      <c r="AV164"/>
      <c r="AW164"/>
      <c r="AX164"/>
      <c r="AY164"/>
      <c r="AZ164"/>
      <c r="BA164"/>
      <c r="BB164"/>
      <c r="BC164"/>
      <c r="BS164"/>
      <c r="BT164"/>
      <c r="BU164"/>
      <c r="BV164"/>
      <c r="BW164"/>
      <c r="BX164"/>
    </row>
    <row r="165" spans="45:76" x14ac:dyDescent="0.25">
      <c r="AS165"/>
      <c r="AT165"/>
      <c r="AU165"/>
      <c r="AV165"/>
      <c r="AW165"/>
      <c r="AX165"/>
      <c r="AY165"/>
      <c r="AZ165"/>
      <c r="BA165"/>
      <c r="BB165"/>
      <c r="BC165"/>
      <c r="BS165"/>
      <c r="BT165"/>
      <c r="BU165"/>
      <c r="BV165"/>
      <c r="BW165"/>
      <c r="BX165"/>
    </row>
    <row r="166" spans="45:76" x14ac:dyDescent="0.25">
      <c r="AS166"/>
      <c r="AT166"/>
      <c r="AU166"/>
      <c r="AV166"/>
      <c r="AW166"/>
      <c r="AX166"/>
      <c r="AY166"/>
      <c r="AZ166"/>
      <c r="BA166"/>
      <c r="BB166"/>
      <c r="BC166"/>
      <c r="BS166"/>
      <c r="BT166"/>
      <c r="BU166"/>
      <c r="BV166"/>
      <c r="BW166"/>
      <c r="BX166"/>
    </row>
    <row r="167" spans="45:76" x14ac:dyDescent="0.25">
      <c r="AS167"/>
      <c r="AT167"/>
      <c r="AU167"/>
      <c r="AV167"/>
      <c r="AW167"/>
      <c r="AX167"/>
      <c r="AY167"/>
      <c r="AZ167"/>
      <c r="BA167"/>
      <c r="BB167"/>
      <c r="BC167"/>
      <c r="BS167"/>
      <c r="BT167"/>
      <c r="BU167"/>
      <c r="BV167"/>
      <c r="BW167"/>
      <c r="BX167"/>
    </row>
    <row r="168" spans="45:76" x14ac:dyDescent="0.25">
      <c r="AS168"/>
      <c r="AT168"/>
      <c r="AU168"/>
      <c r="AV168"/>
      <c r="AW168"/>
      <c r="AX168"/>
      <c r="AY168"/>
      <c r="AZ168"/>
      <c r="BA168"/>
      <c r="BB168"/>
      <c r="BC168"/>
      <c r="BS168"/>
      <c r="BT168"/>
      <c r="BU168"/>
      <c r="BV168"/>
      <c r="BW168"/>
      <c r="BX168"/>
    </row>
    <row r="169" spans="45:76" x14ac:dyDescent="0.25">
      <c r="AS169"/>
      <c r="AT169"/>
      <c r="AU169"/>
      <c r="AV169"/>
      <c r="AW169"/>
      <c r="AX169"/>
      <c r="AY169"/>
      <c r="AZ169"/>
      <c r="BA169"/>
      <c r="BB169"/>
      <c r="BC169"/>
      <c r="BS169"/>
      <c r="BT169"/>
      <c r="BU169"/>
      <c r="BV169"/>
      <c r="BW169"/>
      <c r="BX169"/>
    </row>
    <row r="170" spans="45:76" x14ac:dyDescent="0.25">
      <c r="AS170"/>
      <c r="AT170"/>
      <c r="AU170"/>
      <c r="AV170"/>
      <c r="AW170"/>
      <c r="AX170"/>
      <c r="AY170"/>
      <c r="AZ170"/>
      <c r="BA170"/>
      <c r="BB170"/>
      <c r="BC170"/>
      <c r="BS170"/>
      <c r="BT170"/>
      <c r="BU170"/>
      <c r="BV170"/>
      <c r="BW170"/>
      <c r="BX170"/>
    </row>
    <row r="171" spans="45:76" x14ac:dyDescent="0.25">
      <c r="AS171"/>
      <c r="AT171"/>
      <c r="AU171"/>
      <c r="AV171"/>
      <c r="AW171"/>
      <c r="AX171"/>
      <c r="AY171"/>
      <c r="AZ171"/>
      <c r="BA171"/>
      <c r="BB171"/>
      <c r="BC171"/>
      <c r="BS171"/>
      <c r="BT171"/>
      <c r="BU171"/>
      <c r="BV171"/>
      <c r="BW171"/>
      <c r="BX171"/>
    </row>
    <row r="172" spans="45:76" x14ac:dyDescent="0.25">
      <c r="AS172"/>
      <c r="AT172"/>
      <c r="AU172"/>
      <c r="AV172"/>
      <c r="AW172"/>
      <c r="AX172"/>
      <c r="AY172"/>
      <c r="AZ172"/>
      <c r="BA172"/>
      <c r="BB172"/>
      <c r="BC172"/>
      <c r="BS172"/>
      <c r="BT172"/>
      <c r="BU172"/>
      <c r="BV172"/>
      <c r="BW172"/>
      <c r="BX172"/>
    </row>
    <row r="173" spans="45:76" x14ac:dyDescent="0.25">
      <c r="AS173"/>
      <c r="AT173"/>
      <c r="AU173"/>
      <c r="AV173"/>
      <c r="AW173"/>
      <c r="AX173"/>
      <c r="AY173"/>
      <c r="AZ173"/>
      <c r="BA173"/>
      <c r="BB173"/>
      <c r="BC173"/>
      <c r="BS173"/>
      <c r="BT173"/>
      <c r="BU173"/>
      <c r="BV173"/>
      <c r="BW173"/>
      <c r="BX173"/>
    </row>
    <row r="174" spans="45:76" x14ac:dyDescent="0.25">
      <c r="AS174"/>
      <c r="AT174"/>
      <c r="AU174"/>
      <c r="AV174"/>
      <c r="AW174"/>
      <c r="AX174"/>
      <c r="AY174"/>
      <c r="AZ174"/>
      <c r="BA174"/>
      <c r="BB174"/>
      <c r="BC174"/>
      <c r="BS174"/>
      <c r="BT174"/>
      <c r="BU174"/>
      <c r="BV174"/>
      <c r="BW174"/>
      <c r="BX174"/>
    </row>
    <row r="175" spans="45:76" x14ac:dyDescent="0.25">
      <c r="AS175"/>
      <c r="AT175"/>
      <c r="AU175"/>
      <c r="AV175"/>
      <c r="AW175"/>
      <c r="AX175"/>
      <c r="AY175"/>
      <c r="AZ175"/>
      <c r="BA175"/>
      <c r="BB175"/>
      <c r="BC175"/>
      <c r="BS175"/>
      <c r="BT175"/>
      <c r="BU175"/>
      <c r="BV175"/>
      <c r="BW175"/>
      <c r="BX175"/>
    </row>
    <row r="176" spans="45:76" x14ac:dyDescent="0.25">
      <c r="AS176"/>
      <c r="AT176"/>
      <c r="AU176"/>
      <c r="AV176"/>
      <c r="AW176"/>
      <c r="AX176"/>
      <c r="AY176"/>
      <c r="AZ176"/>
      <c r="BA176"/>
      <c r="BB176"/>
      <c r="BC176"/>
      <c r="BS176"/>
      <c r="BT176"/>
      <c r="BU176"/>
      <c r="BV176"/>
      <c r="BW176"/>
      <c r="BX176"/>
    </row>
    <row r="177" spans="45:76" x14ac:dyDescent="0.25">
      <c r="AS177"/>
      <c r="AT177"/>
      <c r="AU177"/>
      <c r="AV177"/>
      <c r="AW177"/>
      <c r="AX177"/>
      <c r="AY177"/>
      <c r="AZ177"/>
      <c r="BA177"/>
      <c r="BB177"/>
      <c r="BC177"/>
      <c r="BS177"/>
      <c r="BT177"/>
      <c r="BU177"/>
      <c r="BV177"/>
      <c r="BW177"/>
      <c r="BX177"/>
    </row>
    <row r="178" spans="45:76" x14ac:dyDescent="0.25">
      <c r="AS178"/>
      <c r="AT178"/>
      <c r="AU178"/>
      <c r="AV178"/>
      <c r="AW178"/>
      <c r="AX178"/>
      <c r="AY178"/>
      <c r="AZ178"/>
      <c r="BA178"/>
      <c r="BB178"/>
      <c r="BC178"/>
      <c r="BS178"/>
      <c r="BT178"/>
      <c r="BU178"/>
      <c r="BV178"/>
      <c r="BW178"/>
      <c r="BX178"/>
    </row>
    <row r="179" spans="45:76" x14ac:dyDescent="0.25">
      <c r="AS179"/>
      <c r="AT179"/>
      <c r="AU179"/>
      <c r="AV179"/>
      <c r="AW179"/>
      <c r="AX179"/>
      <c r="AY179"/>
      <c r="AZ179"/>
      <c r="BA179"/>
      <c r="BB179"/>
      <c r="BC179"/>
      <c r="BS179"/>
      <c r="BT179"/>
      <c r="BU179"/>
      <c r="BV179"/>
      <c r="BW179"/>
      <c r="BX179"/>
    </row>
    <row r="180" spans="45:76" x14ac:dyDescent="0.25">
      <c r="AS180"/>
      <c r="AT180"/>
      <c r="AU180"/>
      <c r="AV180"/>
      <c r="AW180"/>
      <c r="AX180"/>
      <c r="AY180"/>
      <c r="AZ180"/>
      <c r="BA180"/>
      <c r="BB180"/>
      <c r="BC180"/>
      <c r="BS180"/>
      <c r="BT180"/>
      <c r="BU180"/>
      <c r="BV180"/>
      <c r="BW180"/>
      <c r="BX180"/>
    </row>
    <row r="181" spans="45:76" x14ac:dyDescent="0.25">
      <c r="AS181"/>
      <c r="AT181"/>
      <c r="AU181"/>
      <c r="AV181"/>
      <c r="AW181"/>
      <c r="AX181"/>
      <c r="AY181"/>
      <c r="AZ181"/>
      <c r="BA181"/>
      <c r="BB181"/>
      <c r="BC181"/>
      <c r="BS181"/>
      <c r="BT181"/>
      <c r="BU181"/>
      <c r="BV181"/>
      <c r="BW181"/>
      <c r="BX181"/>
    </row>
    <row r="182" spans="45:76" x14ac:dyDescent="0.25">
      <c r="AS182"/>
      <c r="AT182"/>
      <c r="AU182"/>
      <c r="AV182"/>
      <c r="AW182"/>
      <c r="AX182"/>
      <c r="AY182"/>
      <c r="AZ182"/>
      <c r="BA182"/>
      <c r="BB182"/>
      <c r="BC182"/>
      <c r="BS182"/>
      <c r="BT182"/>
      <c r="BU182"/>
      <c r="BV182"/>
      <c r="BW182"/>
      <c r="BX182"/>
    </row>
    <row r="183" spans="45:76" x14ac:dyDescent="0.25">
      <c r="AS183"/>
      <c r="AT183"/>
      <c r="AU183"/>
      <c r="AV183"/>
      <c r="AW183"/>
      <c r="AX183"/>
      <c r="AY183"/>
      <c r="AZ183"/>
      <c r="BA183"/>
      <c r="BB183"/>
      <c r="BC183"/>
      <c r="BS183"/>
      <c r="BT183"/>
      <c r="BU183"/>
      <c r="BV183"/>
      <c r="BW183"/>
      <c r="BX183"/>
    </row>
    <row r="184" spans="45:76" x14ac:dyDescent="0.25">
      <c r="AS184"/>
      <c r="AT184"/>
      <c r="AU184"/>
      <c r="AV184"/>
      <c r="AW184"/>
      <c r="AX184"/>
      <c r="AY184"/>
      <c r="AZ184"/>
      <c r="BA184"/>
      <c r="BB184"/>
      <c r="BC184"/>
      <c r="BS184"/>
      <c r="BT184"/>
      <c r="BU184"/>
      <c r="BV184"/>
      <c r="BW184"/>
      <c r="BX184"/>
    </row>
    <row r="185" spans="45:76" x14ac:dyDescent="0.25">
      <c r="AS185"/>
      <c r="AT185"/>
      <c r="AU185"/>
      <c r="AV185"/>
      <c r="AW185"/>
      <c r="AX185"/>
      <c r="AY185"/>
      <c r="AZ185"/>
      <c r="BA185"/>
      <c r="BB185"/>
      <c r="BC185"/>
      <c r="BS185"/>
      <c r="BT185"/>
      <c r="BU185"/>
      <c r="BV185"/>
      <c r="BW185"/>
      <c r="BX185"/>
    </row>
    <row r="186" spans="45:76" x14ac:dyDescent="0.25">
      <c r="AS186"/>
      <c r="AT186"/>
      <c r="AU186"/>
      <c r="AV186"/>
      <c r="AW186"/>
      <c r="AX186"/>
      <c r="AY186"/>
      <c r="AZ186"/>
      <c r="BA186"/>
      <c r="BB186"/>
      <c r="BC186"/>
      <c r="BS186"/>
      <c r="BT186"/>
      <c r="BU186"/>
      <c r="BV186"/>
      <c r="BW186"/>
      <c r="BX186"/>
    </row>
    <row r="187" spans="45:76" x14ac:dyDescent="0.25">
      <c r="AS187"/>
      <c r="AT187"/>
      <c r="AU187"/>
      <c r="AV187"/>
      <c r="AW187"/>
      <c r="AX187"/>
      <c r="AY187"/>
      <c r="AZ187"/>
      <c r="BA187"/>
      <c r="BB187"/>
      <c r="BC187"/>
      <c r="BS187"/>
      <c r="BT187"/>
      <c r="BU187"/>
      <c r="BV187"/>
      <c r="BW187"/>
      <c r="BX187"/>
    </row>
    <row r="188" spans="45:76" x14ac:dyDescent="0.25">
      <c r="AS188"/>
      <c r="AT188"/>
      <c r="AU188"/>
      <c r="AV188"/>
      <c r="AW188"/>
      <c r="AX188"/>
      <c r="AY188"/>
      <c r="AZ188"/>
      <c r="BA188"/>
      <c r="BB188"/>
      <c r="BC188"/>
      <c r="BS188"/>
      <c r="BT188"/>
      <c r="BU188"/>
      <c r="BV188"/>
      <c r="BW188"/>
      <c r="BX188"/>
    </row>
    <row r="189" spans="45:76" x14ac:dyDescent="0.25">
      <c r="AS189"/>
      <c r="AT189"/>
      <c r="AU189"/>
      <c r="AV189"/>
      <c r="AW189"/>
      <c r="AX189"/>
      <c r="AY189"/>
      <c r="AZ189"/>
      <c r="BA189"/>
      <c r="BB189"/>
      <c r="BC189"/>
      <c r="BS189"/>
      <c r="BT189"/>
      <c r="BU189"/>
      <c r="BV189"/>
      <c r="BW189"/>
      <c r="BX189"/>
    </row>
    <row r="190" spans="45:76" x14ac:dyDescent="0.25">
      <c r="AS190"/>
      <c r="AT190"/>
      <c r="AU190"/>
      <c r="AV190"/>
      <c r="AW190"/>
      <c r="AX190"/>
      <c r="AY190"/>
      <c r="AZ190"/>
      <c r="BA190"/>
      <c r="BB190"/>
      <c r="BC190"/>
      <c r="BS190"/>
      <c r="BT190"/>
      <c r="BU190"/>
      <c r="BV190"/>
      <c r="BW190"/>
      <c r="BX190"/>
    </row>
    <row r="191" spans="45:76" x14ac:dyDescent="0.25">
      <c r="AS191"/>
      <c r="AT191"/>
      <c r="AU191"/>
      <c r="AV191"/>
      <c r="AW191"/>
      <c r="AX191"/>
      <c r="AY191"/>
      <c r="AZ191"/>
      <c r="BA191"/>
      <c r="BB191"/>
      <c r="BC191"/>
      <c r="BS191"/>
      <c r="BT191"/>
      <c r="BU191"/>
      <c r="BV191"/>
      <c r="BW191"/>
      <c r="BX191"/>
    </row>
    <row r="192" spans="45:76" x14ac:dyDescent="0.25">
      <c r="AS192"/>
      <c r="AT192"/>
      <c r="AU192"/>
      <c r="AV192"/>
      <c r="AW192"/>
      <c r="AX192"/>
      <c r="AY192"/>
      <c r="AZ192"/>
      <c r="BA192"/>
      <c r="BB192"/>
      <c r="BC192"/>
      <c r="BS192"/>
      <c r="BT192"/>
      <c r="BU192"/>
      <c r="BV192"/>
      <c r="BW192"/>
      <c r="BX192"/>
    </row>
    <row r="193" spans="45:76" x14ac:dyDescent="0.25">
      <c r="AS193"/>
      <c r="AT193"/>
      <c r="AU193"/>
      <c r="AV193"/>
      <c r="AW193"/>
      <c r="AX193"/>
      <c r="AY193"/>
      <c r="AZ193"/>
      <c r="BA193"/>
      <c r="BB193"/>
      <c r="BC193"/>
      <c r="BS193"/>
      <c r="BT193"/>
      <c r="BU193"/>
      <c r="BV193"/>
      <c r="BW193"/>
      <c r="BX193"/>
    </row>
    <row r="194" spans="45:76" x14ac:dyDescent="0.25">
      <c r="AS194"/>
      <c r="AT194"/>
      <c r="AU194"/>
      <c r="AV194"/>
      <c r="AW194"/>
      <c r="AX194"/>
      <c r="AY194"/>
      <c r="AZ194"/>
      <c r="BA194"/>
      <c r="BB194"/>
      <c r="BC194"/>
      <c r="BS194"/>
      <c r="BT194"/>
      <c r="BU194"/>
      <c r="BV194"/>
      <c r="BW194"/>
      <c r="BX194"/>
    </row>
    <row r="195" spans="45:76" x14ac:dyDescent="0.25">
      <c r="AS195"/>
      <c r="AT195"/>
      <c r="AU195"/>
      <c r="AV195"/>
      <c r="AW195"/>
      <c r="AX195"/>
      <c r="AY195"/>
      <c r="AZ195"/>
      <c r="BA195"/>
      <c r="BB195"/>
      <c r="BC195"/>
      <c r="BS195"/>
      <c r="BT195"/>
      <c r="BU195"/>
      <c r="BV195"/>
      <c r="BW195"/>
      <c r="BX195"/>
    </row>
    <row r="196" spans="45:76" x14ac:dyDescent="0.25">
      <c r="AS196"/>
      <c r="AT196"/>
      <c r="AU196"/>
      <c r="AV196"/>
      <c r="AW196"/>
      <c r="AX196"/>
      <c r="AY196"/>
      <c r="AZ196"/>
      <c r="BA196"/>
      <c r="BB196"/>
      <c r="BC196"/>
      <c r="BS196"/>
      <c r="BT196"/>
      <c r="BU196"/>
      <c r="BV196"/>
      <c r="BW196"/>
      <c r="BX196"/>
    </row>
    <row r="197" spans="45:76" x14ac:dyDescent="0.25">
      <c r="AS197"/>
      <c r="AT197"/>
      <c r="AU197"/>
      <c r="AV197"/>
      <c r="AW197"/>
      <c r="AX197"/>
      <c r="AY197"/>
      <c r="AZ197"/>
      <c r="BA197"/>
      <c r="BB197"/>
      <c r="BC197"/>
      <c r="BS197"/>
      <c r="BT197"/>
      <c r="BU197"/>
      <c r="BV197"/>
      <c r="BW197"/>
      <c r="BX197"/>
    </row>
    <row r="198" spans="45:76" x14ac:dyDescent="0.25">
      <c r="AS198"/>
      <c r="AT198"/>
      <c r="AU198"/>
      <c r="AV198"/>
      <c r="AW198"/>
      <c r="AX198"/>
      <c r="AY198"/>
      <c r="AZ198"/>
      <c r="BA198"/>
      <c r="BB198"/>
      <c r="BC198"/>
      <c r="BS198"/>
      <c r="BT198"/>
      <c r="BU198"/>
      <c r="BV198"/>
      <c r="BW198"/>
      <c r="BX198"/>
    </row>
    <row r="199" spans="45:76" x14ac:dyDescent="0.25">
      <c r="AS199"/>
      <c r="AT199"/>
      <c r="AU199"/>
      <c r="AV199"/>
      <c r="AW199"/>
      <c r="AX199"/>
      <c r="AY199"/>
      <c r="AZ199"/>
      <c r="BA199"/>
      <c r="BB199"/>
      <c r="BC199"/>
      <c r="BS199"/>
      <c r="BT199"/>
      <c r="BU199"/>
      <c r="BV199"/>
      <c r="BW199"/>
      <c r="BX199"/>
    </row>
    <row r="200" spans="45:76" x14ac:dyDescent="0.25">
      <c r="AS200"/>
      <c r="AT200"/>
      <c r="AU200"/>
      <c r="AV200"/>
      <c r="AW200"/>
      <c r="AX200"/>
      <c r="AY200"/>
      <c r="AZ200"/>
      <c r="BA200"/>
      <c r="BB200"/>
      <c r="BC200"/>
      <c r="BS200"/>
      <c r="BT200"/>
      <c r="BU200"/>
      <c r="BV200"/>
      <c r="BW200"/>
      <c r="BX200"/>
    </row>
    <row r="201" spans="45:76" x14ac:dyDescent="0.25">
      <c r="AS201" s="65"/>
      <c r="AY201"/>
      <c r="AZ201"/>
      <c r="BA201"/>
      <c r="BB201"/>
      <c r="BC201"/>
      <c r="BN201" s="65"/>
      <c r="BO201" s="65"/>
      <c r="BP201" s="65"/>
      <c r="BS201"/>
      <c r="BT201"/>
      <c r="BU201"/>
      <c r="BV201"/>
      <c r="BW201"/>
      <c r="BX201"/>
    </row>
    <row r="202" spans="45:76" x14ac:dyDescent="0.25">
      <c r="AS202" s="65"/>
      <c r="AY202"/>
      <c r="AZ202"/>
      <c r="BA202"/>
      <c r="BB202"/>
      <c r="BC202"/>
      <c r="BN202" s="65"/>
      <c r="BO202" s="65"/>
      <c r="BP202" s="65"/>
      <c r="BS202"/>
      <c r="BT202"/>
      <c r="BU202"/>
      <c r="BV202"/>
      <c r="BW202"/>
      <c r="BX202"/>
    </row>
    <row r="203" spans="45:76" x14ac:dyDescent="0.25">
      <c r="AS203" s="65"/>
      <c r="AY203"/>
      <c r="AZ203"/>
      <c r="BA203"/>
      <c r="BB203"/>
      <c r="BC203"/>
      <c r="BN203" s="65"/>
      <c r="BO203" s="65"/>
      <c r="BP203" s="65"/>
      <c r="BS203"/>
      <c r="BT203"/>
      <c r="BU203"/>
      <c r="BV203"/>
      <c r="BW203"/>
      <c r="BX203"/>
    </row>
    <row r="204" spans="45:76" x14ac:dyDescent="0.25">
      <c r="AS204" s="65"/>
      <c r="AY204"/>
      <c r="AZ204"/>
      <c r="BA204"/>
      <c r="BB204"/>
      <c r="BC204"/>
      <c r="BN204" s="65"/>
      <c r="BO204" s="65"/>
      <c r="BP204" s="65"/>
      <c r="BS204"/>
      <c r="BT204"/>
      <c r="BU204"/>
      <c r="BV204"/>
      <c r="BW204"/>
      <c r="BX204"/>
    </row>
    <row r="205" spans="45:76" x14ac:dyDescent="0.25">
      <c r="AS205" s="65"/>
      <c r="AY205"/>
      <c r="AZ205"/>
      <c r="BA205"/>
      <c r="BB205"/>
      <c r="BC205"/>
      <c r="BN205" s="65"/>
      <c r="BO205" s="65"/>
      <c r="BP205" s="65"/>
      <c r="BS205"/>
      <c r="BT205"/>
      <c r="BU205"/>
      <c r="BV205"/>
      <c r="BW205"/>
      <c r="BX205"/>
    </row>
    <row r="206" spans="45:76" x14ac:dyDescent="0.25">
      <c r="AS206" s="65"/>
      <c r="AY206"/>
      <c r="AZ206"/>
      <c r="BA206"/>
      <c r="BB206"/>
      <c r="BC206"/>
      <c r="BN206" s="65"/>
      <c r="BO206" s="65"/>
      <c r="BP206" s="65"/>
      <c r="BS206"/>
      <c r="BT206"/>
      <c r="BU206"/>
      <c r="BV206"/>
      <c r="BW206"/>
      <c r="BX206"/>
    </row>
    <row r="207" spans="45:76" x14ac:dyDescent="0.25">
      <c r="AS207" s="65"/>
      <c r="AY207"/>
      <c r="AZ207"/>
      <c r="BA207"/>
      <c r="BB207"/>
      <c r="BC207"/>
      <c r="BN207" s="65"/>
      <c r="BO207" s="65"/>
      <c r="BP207" s="65"/>
      <c r="BS207"/>
      <c r="BT207"/>
      <c r="BU207"/>
      <c r="BV207"/>
      <c r="BW207"/>
      <c r="BX207"/>
    </row>
    <row r="208" spans="45:76" x14ac:dyDescent="0.25">
      <c r="AS208" s="65"/>
      <c r="AY208"/>
      <c r="AZ208"/>
      <c r="BA208"/>
      <c r="BB208"/>
      <c r="BC208"/>
      <c r="BN208" s="65"/>
      <c r="BO208" s="65"/>
      <c r="BP208" s="65"/>
      <c r="BS208"/>
      <c r="BT208"/>
      <c r="BU208"/>
      <c r="BV208"/>
      <c r="BW208"/>
      <c r="BX208"/>
    </row>
    <row r="209" spans="45:76" x14ac:dyDescent="0.25">
      <c r="AS209" s="65"/>
      <c r="AY209"/>
      <c r="AZ209"/>
      <c r="BA209"/>
      <c r="BB209"/>
      <c r="BC209"/>
      <c r="BN209" s="65"/>
      <c r="BO209" s="65"/>
      <c r="BP209" s="65"/>
      <c r="BS209"/>
      <c r="BT209"/>
      <c r="BU209"/>
      <c r="BV209"/>
      <c r="BW209"/>
      <c r="BX209"/>
    </row>
    <row r="210" spans="45:76" x14ac:dyDescent="0.25">
      <c r="AS210" s="65"/>
      <c r="AY210"/>
      <c r="AZ210"/>
      <c r="BA210"/>
      <c r="BB210"/>
      <c r="BC210"/>
      <c r="BN210" s="65"/>
      <c r="BO210" s="65"/>
      <c r="BP210" s="65"/>
      <c r="BS210"/>
      <c r="BT210"/>
      <c r="BU210"/>
      <c r="BV210"/>
      <c r="BW210"/>
      <c r="BX210"/>
    </row>
    <row r="211" spans="45:76" x14ac:dyDescent="0.25">
      <c r="AS211" s="65"/>
      <c r="AY211"/>
      <c r="AZ211"/>
      <c r="BA211"/>
      <c r="BB211"/>
      <c r="BC211"/>
      <c r="BN211" s="65"/>
      <c r="BO211" s="65"/>
      <c r="BP211" s="65"/>
      <c r="BS211"/>
      <c r="BT211"/>
      <c r="BU211"/>
      <c r="BV211"/>
      <c r="BW211"/>
      <c r="BX211"/>
    </row>
    <row r="212" spans="45:76" x14ac:dyDescent="0.25">
      <c r="AS212" s="65"/>
      <c r="AY212"/>
      <c r="AZ212"/>
      <c r="BA212"/>
      <c r="BB212"/>
      <c r="BC212"/>
      <c r="BN212" s="65"/>
      <c r="BO212" s="65"/>
      <c r="BP212" s="65"/>
      <c r="BS212"/>
      <c r="BT212"/>
      <c r="BU212"/>
      <c r="BV212"/>
      <c r="BW212"/>
      <c r="BX212"/>
    </row>
    <row r="213" spans="45:76" x14ac:dyDescent="0.25">
      <c r="AS213" s="65"/>
      <c r="AY213"/>
      <c r="AZ213"/>
      <c r="BA213"/>
      <c r="BB213"/>
      <c r="BC213"/>
      <c r="BN213" s="65"/>
      <c r="BO213" s="65"/>
      <c r="BP213" s="65"/>
      <c r="BS213"/>
      <c r="BT213"/>
      <c r="BU213"/>
      <c r="BV213"/>
      <c r="BW213"/>
      <c r="BX213"/>
    </row>
    <row r="214" spans="45:76" x14ac:dyDescent="0.25">
      <c r="AS214" s="65"/>
      <c r="AY214"/>
      <c r="AZ214"/>
      <c r="BA214"/>
      <c r="BB214"/>
      <c r="BC214"/>
      <c r="BN214" s="65"/>
      <c r="BO214" s="65"/>
      <c r="BP214" s="65"/>
      <c r="BS214"/>
      <c r="BT214"/>
      <c r="BU214"/>
      <c r="BV214"/>
      <c r="BW214"/>
      <c r="BX214"/>
    </row>
    <row r="215" spans="45:76" x14ac:dyDescent="0.25">
      <c r="AS215" s="65"/>
      <c r="AY215"/>
      <c r="AZ215"/>
      <c r="BA215"/>
      <c r="BB215"/>
      <c r="BC215"/>
      <c r="BN215" s="65"/>
      <c r="BO215" s="65"/>
      <c r="BP215" s="65"/>
      <c r="BS215"/>
      <c r="BT215"/>
      <c r="BU215"/>
      <c r="BV215"/>
      <c r="BW215"/>
      <c r="BX215"/>
    </row>
    <row r="216" spans="45:76" x14ac:dyDescent="0.25">
      <c r="AS216" s="65"/>
      <c r="AY216"/>
      <c r="AZ216"/>
      <c r="BA216"/>
      <c r="BB216"/>
      <c r="BC216"/>
      <c r="BN216" s="65"/>
      <c r="BO216" s="65"/>
      <c r="BP216" s="65"/>
      <c r="BS216"/>
      <c r="BT216"/>
      <c r="BU216"/>
      <c r="BV216"/>
      <c r="BW216"/>
      <c r="BX216"/>
    </row>
    <row r="217" spans="45:76" x14ac:dyDescent="0.25">
      <c r="AS217" s="65"/>
      <c r="AY217"/>
      <c r="AZ217"/>
      <c r="BA217"/>
      <c r="BB217"/>
      <c r="BC217"/>
      <c r="BN217" s="65"/>
      <c r="BO217" s="65"/>
      <c r="BP217" s="65"/>
      <c r="BS217"/>
      <c r="BT217"/>
      <c r="BU217"/>
      <c r="BV217"/>
      <c r="BW217"/>
      <c r="BX217"/>
    </row>
    <row r="218" spans="45:76" x14ac:dyDescent="0.25">
      <c r="AS218" s="65"/>
      <c r="AY218"/>
      <c r="AZ218"/>
      <c r="BA218"/>
      <c r="BB218"/>
      <c r="BC218"/>
      <c r="BN218" s="65"/>
      <c r="BO218" s="65"/>
      <c r="BP218" s="65"/>
      <c r="BS218"/>
      <c r="BT218"/>
      <c r="BU218"/>
      <c r="BV218"/>
      <c r="BW218"/>
      <c r="BX218"/>
    </row>
    <row r="219" spans="45:76" x14ac:dyDescent="0.25">
      <c r="AS219" s="65"/>
      <c r="AY219"/>
      <c r="AZ219"/>
      <c r="BA219"/>
      <c r="BB219"/>
      <c r="BC219"/>
      <c r="BN219" s="65"/>
      <c r="BO219" s="65"/>
      <c r="BP219" s="65"/>
      <c r="BS219"/>
      <c r="BT219"/>
      <c r="BU219"/>
      <c r="BV219"/>
      <c r="BW219"/>
      <c r="BX219"/>
    </row>
    <row r="220" spans="45:76" x14ac:dyDescent="0.25">
      <c r="AS220" s="65"/>
      <c r="AY220"/>
      <c r="AZ220"/>
      <c r="BA220"/>
      <c r="BB220"/>
      <c r="BC220"/>
      <c r="BN220" s="65"/>
      <c r="BO220" s="65"/>
      <c r="BP220" s="65"/>
      <c r="BS220"/>
      <c r="BT220"/>
      <c r="BU220"/>
      <c r="BV220"/>
      <c r="BW220"/>
      <c r="BX220"/>
    </row>
    <row r="221" spans="45:76" x14ac:dyDescent="0.25">
      <c r="AS221" s="65"/>
      <c r="AY221"/>
      <c r="AZ221"/>
      <c r="BA221"/>
      <c r="BB221"/>
      <c r="BC221"/>
      <c r="BN221" s="65"/>
      <c r="BO221" s="65"/>
      <c r="BP221" s="65"/>
      <c r="BS221"/>
      <c r="BT221"/>
      <c r="BU221"/>
      <c r="BV221"/>
      <c r="BW221"/>
      <c r="BX221"/>
    </row>
    <row r="222" spans="45:76" x14ac:dyDescent="0.25">
      <c r="AS222" s="65"/>
      <c r="AY222"/>
      <c r="AZ222"/>
      <c r="BA222"/>
      <c r="BB222"/>
      <c r="BC222"/>
      <c r="BN222" s="65"/>
      <c r="BO222" s="65"/>
      <c r="BP222" s="65"/>
      <c r="BS222"/>
      <c r="BT222"/>
      <c r="BU222"/>
      <c r="BV222"/>
      <c r="BW222"/>
      <c r="BX222"/>
    </row>
    <row r="223" spans="45:76" x14ac:dyDescent="0.25">
      <c r="AS223" s="65"/>
      <c r="AY223"/>
      <c r="AZ223"/>
      <c r="BA223"/>
      <c r="BB223"/>
      <c r="BC223"/>
      <c r="BN223" s="65"/>
      <c r="BO223" s="65"/>
      <c r="BP223" s="65"/>
      <c r="BS223"/>
      <c r="BT223"/>
      <c r="BU223"/>
      <c r="BV223"/>
      <c r="BW223"/>
      <c r="BX223"/>
    </row>
    <row r="224" spans="45:76" x14ac:dyDescent="0.25">
      <c r="AS224" s="65"/>
      <c r="AY224"/>
      <c r="AZ224"/>
      <c r="BA224"/>
      <c r="BB224"/>
      <c r="BC224"/>
      <c r="BN224" s="65"/>
      <c r="BO224" s="65"/>
      <c r="BP224" s="65"/>
      <c r="BS224"/>
      <c r="BT224"/>
      <c r="BU224"/>
      <c r="BV224"/>
      <c r="BW224"/>
      <c r="BX224"/>
    </row>
    <row r="225" spans="45:76" x14ac:dyDescent="0.25">
      <c r="AS225" s="65"/>
      <c r="AY225"/>
      <c r="AZ225"/>
      <c r="BA225"/>
      <c r="BB225"/>
      <c r="BC225"/>
      <c r="BN225" s="65"/>
      <c r="BO225" s="65"/>
      <c r="BP225" s="65"/>
      <c r="BS225"/>
      <c r="BT225"/>
      <c r="BU225"/>
      <c r="BV225"/>
      <c r="BW225"/>
      <c r="BX225"/>
    </row>
    <row r="226" spans="45:76" x14ac:dyDescent="0.25">
      <c r="AS226" s="65"/>
      <c r="AY226"/>
      <c r="AZ226"/>
      <c r="BA226"/>
      <c r="BB226"/>
      <c r="BC226"/>
      <c r="BN226" s="65"/>
      <c r="BO226" s="65"/>
      <c r="BP226" s="65"/>
      <c r="BS226"/>
      <c r="BT226"/>
      <c r="BU226"/>
      <c r="BV226"/>
      <c r="BW226"/>
      <c r="BX226"/>
    </row>
    <row r="227" spans="45:76" x14ac:dyDescent="0.25">
      <c r="AS227" s="65"/>
      <c r="AY227"/>
      <c r="AZ227"/>
      <c r="BA227"/>
      <c r="BB227"/>
      <c r="BC227"/>
      <c r="BN227" s="65"/>
      <c r="BO227" s="65"/>
      <c r="BP227" s="65"/>
      <c r="BS227"/>
      <c r="BT227"/>
      <c r="BU227"/>
      <c r="BV227"/>
      <c r="BW227"/>
      <c r="BX227"/>
    </row>
    <row r="228" spans="45:76" x14ac:dyDescent="0.25">
      <c r="AS228" s="65"/>
      <c r="AY228"/>
      <c r="AZ228"/>
      <c r="BA228"/>
      <c r="BB228"/>
      <c r="BC228"/>
      <c r="BN228" s="65"/>
      <c r="BO228" s="65"/>
      <c r="BP228" s="65"/>
      <c r="BS228"/>
      <c r="BT228"/>
      <c r="BU228"/>
      <c r="BV228"/>
      <c r="BW228"/>
      <c r="BX228"/>
    </row>
    <row r="229" spans="45:76" x14ac:dyDescent="0.25">
      <c r="AS229" s="65"/>
      <c r="AY229"/>
      <c r="AZ229"/>
      <c r="BA229"/>
      <c r="BB229"/>
      <c r="BC229"/>
      <c r="BN229" s="65"/>
      <c r="BO229" s="65"/>
      <c r="BP229" s="65"/>
      <c r="BS229"/>
      <c r="BT229"/>
      <c r="BU229"/>
      <c r="BV229"/>
      <c r="BW229"/>
      <c r="BX229"/>
    </row>
    <row r="230" spans="45:76" x14ac:dyDescent="0.25">
      <c r="AS230" s="65"/>
      <c r="AY230"/>
      <c r="AZ230"/>
      <c r="BA230"/>
      <c r="BB230"/>
      <c r="BC230"/>
      <c r="BN230" s="65"/>
      <c r="BO230" s="65"/>
      <c r="BP230" s="65"/>
      <c r="BS230"/>
      <c r="BT230"/>
      <c r="BU230"/>
      <c r="BV230"/>
      <c r="BW230"/>
      <c r="BX230"/>
    </row>
    <row r="231" spans="45:76" x14ac:dyDescent="0.25">
      <c r="AS231" s="65"/>
      <c r="AY231"/>
      <c r="AZ231"/>
      <c r="BA231"/>
      <c r="BB231"/>
      <c r="BC231"/>
      <c r="BN231" s="65"/>
      <c r="BO231" s="65"/>
      <c r="BP231" s="65"/>
      <c r="BS231"/>
      <c r="BT231"/>
      <c r="BU231"/>
      <c r="BV231"/>
      <c r="BW231"/>
      <c r="BX231"/>
    </row>
    <row r="232" spans="45:76" x14ac:dyDescent="0.25">
      <c r="AS232" s="65"/>
      <c r="AY232"/>
      <c r="AZ232"/>
      <c r="BA232"/>
      <c r="BB232"/>
      <c r="BC232"/>
      <c r="BN232" s="65"/>
      <c r="BO232" s="65"/>
      <c r="BP232" s="65"/>
      <c r="BS232"/>
      <c r="BT232"/>
      <c r="BU232"/>
      <c r="BV232"/>
      <c r="BW232"/>
      <c r="BX232"/>
    </row>
    <row r="233" spans="45:76" x14ac:dyDescent="0.25">
      <c r="AS233" s="65"/>
      <c r="AY233"/>
      <c r="AZ233"/>
      <c r="BA233"/>
      <c r="BB233"/>
      <c r="BC233"/>
      <c r="BN233" s="65"/>
      <c r="BO233" s="65"/>
      <c r="BP233" s="65"/>
      <c r="BS233"/>
      <c r="BT233"/>
      <c r="BU233"/>
      <c r="BV233"/>
      <c r="BW233"/>
      <c r="BX233"/>
    </row>
    <row r="234" spans="45:76" x14ac:dyDescent="0.25">
      <c r="AS234" s="65"/>
      <c r="AY234"/>
      <c r="AZ234"/>
      <c r="BA234"/>
      <c r="BB234"/>
      <c r="BC234"/>
      <c r="BN234" s="65"/>
      <c r="BO234" s="65"/>
      <c r="BP234" s="65"/>
      <c r="BS234"/>
      <c r="BT234"/>
      <c r="BU234"/>
      <c r="BV234"/>
      <c r="BW234"/>
      <c r="BX234"/>
    </row>
    <row r="235" spans="45:76" x14ac:dyDescent="0.25">
      <c r="AS235" s="65"/>
      <c r="AY235"/>
      <c r="AZ235"/>
      <c r="BA235"/>
      <c r="BB235"/>
      <c r="BC235"/>
      <c r="BN235" s="65"/>
      <c r="BO235" s="65"/>
      <c r="BP235" s="65"/>
      <c r="BS235"/>
      <c r="BT235"/>
      <c r="BU235"/>
      <c r="BV235"/>
      <c r="BW235"/>
      <c r="BX235"/>
    </row>
    <row r="236" spans="45:76" x14ac:dyDescent="0.25">
      <c r="AS236" s="65"/>
      <c r="AY236"/>
      <c r="AZ236"/>
      <c r="BA236"/>
      <c r="BB236"/>
      <c r="BC236"/>
      <c r="BN236" s="65"/>
      <c r="BO236" s="65"/>
      <c r="BP236" s="65"/>
      <c r="BS236"/>
      <c r="BT236"/>
      <c r="BU236"/>
      <c r="BV236"/>
      <c r="BW236"/>
      <c r="BX236"/>
    </row>
    <row r="237" spans="45:76" x14ac:dyDescent="0.25">
      <c r="AS237" s="65"/>
      <c r="AY237"/>
      <c r="AZ237"/>
      <c r="BA237"/>
      <c r="BB237"/>
      <c r="BC237"/>
      <c r="BN237" s="65"/>
      <c r="BO237" s="65"/>
      <c r="BP237" s="65"/>
      <c r="BS237"/>
      <c r="BT237"/>
      <c r="BU237"/>
      <c r="BV237"/>
      <c r="BW237"/>
      <c r="BX237"/>
    </row>
    <row r="238" spans="45:76" x14ac:dyDescent="0.25">
      <c r="AS238" s="65"/>
      <c r="AY238"/>
      <c r="AZ238"/>
      <c r="BA238"/>
      <c r="BB238"/>
      <c r="BC238"/>
      <c r="BN238" s="65"/>
      <c r="BO238" s="65"/>
      <c r="BP238" s="65"/>
      <c r="BS238"/>
      <c r="BT238"/>
      <c r="BU238"/>
      <c r="BV238"/>
      <c r="BW238"/>
      <c r="BX238"/>
    </row>
    <row r="239" spans="45:76" x14ac:dyDescent="0.25">
      <c r="AS239" s="65"/>
      <c r="AY239"/>
      <c r="AZ239"/>
      <c r="BA239"/>
      <c r="BB239"/>
      <c r="BC239"/>
      <c r="BN239" s="65"/>
      <c r="BO239" s="65"/>
      <c r="BP239" s="65"/>
      <c r="BS239"/>
      <c r="BT239"/>
      <c r="BU239"/>
      <c r="BV239"/>
      <c r="BW239"/>
      <c r="BX239"/>
    </row>
    <row r="240" spans="45:76" x14ac:dyDescent="0.25">
      <c r="AS240" s="65"/>
      <c r="AY240"/>
      <c r="AZ240"/>
      <c r="BA240"/>
      <c r="BB240"/>
      <c r="BC240"/>
      <c r="BN240" s="65"/>
      <c r="BO240" s="65"/>
      <c r="BP240" s="65"/>
      <c r="BS240"/>
      <c r="BT240"/>
      <c r="BU240"/>
      <c r="BV240"/>
      <c r="BW240"/>
      <c r="BX240"/>
    </row>
    <row r="241" spans="45:76" x14ac:dyDescent="0.25">
      <c r="AS241" s="65"/>
      <c r="AY241"/>
      <c r="AZ241"/>
      <c r="BA241"/>
      <c r="BB241"/>
      <c r="BC241"/>
      <c r="BN241" s="65"/>
      <c r="BO241" s="65"/>
      <c r="BP241" s="65"/>
      <c r="BS241"/>
      <c r="BT241"/>
      <c r="BU241"/>
      <c r="BV241"/>
      <c r="BW241"/>
      <c r="BX241"/>
    </row>
    <row r="242" spans="45:76" x14ac:dyDescent="0.25">
      <c r="AS242" s="65"/>
      <c r="AY242"/>
      <c r="AZ242"/>
      <c r="BA242"/>
      <c r="BB242"/>
      <c r="BC242"/>
      <c r="BN242" s="65"/>
      <c r="BO242" s="65"/>
      <c r="BP242" s="65"/>
      <c r="BS242"/>
      <c r="BT242"/>
      <c r="BU242"/>
      <c r="BV242"/>
      <c r="BW242"/>
      <c r="BX242"/>
    </row>
    <row r="243" spans="45:76" x14ac:dyDescent="0.25">
      <c r="AS243" s="65"/>
      <c r="AY243"/>
      <c r="AZ243"/>
      <c r="BA243"/>
      <c r="BB243"/>
      <c r="BC243"/>
      <c r="BN243" s="65"/>
      <c r="BO243" s="65"/>
      <c r="BP243" s="65"/>
      <c r="BS243"/>
      <c r="BT243"/>
      <c r="BU243"/>
      <c r="BV243"/>
      <c r="BW243"/>
      <c r="BX243"/>
    </row>
    <row r="244" spans="45:76" x14ac:dyDescent="0.25">
      <c r="AS244" s="65"/>
      <c r="AY244"/>
      <c r="AZ244"/>
      <c r="BA244"/>
      <c r="BB244"/>
      <c r="BC244"/>
      <c r="BN244" s="65"/>
      <c r="BO244" s="65"/>
      <c r="BP244" s="65"/>
      <c r="BS244"/>
      <c r="BT244"/>
      <c r="BU244"/>
      <c r="BV244"/>
      <c r="BW244"/>
      <c r="BX244"/>
    </row>
    <row r="245" spans="45:76" x14ac:dyDescent="0.25">
      <c r="AS245" s="65"/>
      <c r="AY245"/>
      <c r="AZ245"/>
      <c r="BA245"/>
      <c r="BB245"/>
      <c r="BC245"/>
      <c r="BN245" s="65"/>
      <c r="BO245" s="65"/>
      <c r="BP245" s="65"/>
      <c r="BS245"/>
      <c r="BT245"/>
      <c r="BU245"/>
      <c r="BV245"/>
      <c r="BW245"/>
      <c r="BX245"/>
    </row>
    <row r="246" spans="45:76" x14ac:dyDescent="0.25">
      <c r="AS246" s="65"/>
      <c r="AY246"/>
      <c r="AZ246"/>
      <c r="BA246"/>
      <c r="BB246"/>
      <c r="BC246"/>
      <c r="BN246" s="65"/>
      <c r="BO246" s="65"/>
      <c r="BP246" s="65"/>
      <c r="BS246"/>
      <c r="BT246"/>
      <c r="BU246"/>
      <c r="BV246"/>
      <c r="BW246"/>
      <c r="BX246"/>
    </row>
    <row r="247" spans="45:76" x14ac:dyDescent="0.25">
      <c r="AS247" s="65"/>
      <c r="AY247"/>
      <c r="AZ247"/>
      <c r="BA247"/>
      <c r="BB247"/>
      <c r="BC247"/>
      <c r="BN247" s="65"/>
      <c r="BO247" s="65"/>
      <c r="BP247" s="65"/>
      <c r="BS247"/>
      <c r="BT247"/>
      <c r="BU247"/>
      <c r="BV247"/>
      <c r="BW247"/>
      <c r="BX247"/>
    </row>
    <row r="248" spans="45:76" x14ac:dyDescent="0.25">
      <c r="AS248" s="65"/>
      <c r="AY248"/>
      <c r="AZ248"/>
      <c r="BA248"/>
      <c r="BB248"/>
      <c r="BC248"/>
      <c r="BN248" s="65"/>
      <c r="BO248" s="65"/>
      <c r="BP248" s="65"/>
      <c r="BS248"/>
      <c r="BT248"/>
      <c r="BU248"/>
      <c r="BV248"/>
      <c r="BW248"/>
      <c r="BX248"/>
    </row>
    <row r="249" spans="45:76" x14ac:dyDescent="0.25">
      <c r="AS249" s="65"/>
      <c r="AY249"/>
      <c r="AZ249"/>
      <c r="BA249"/>
      <c r="BB249"/>
      <c r="BC249"/>
      <c r="BN249" s="65"/>
      <c r="BO249" s="65"/>
      <c r="BP249" s="65"/>
      <c r="BS249"/>
      <c r="BT249"/>
      <c r="BU249"/>
      <c r="BV249"/>
      <c r="BW249"/>
      <c r="BX249"/>
    </row>
    <row r="250" spans="45:76" x14ac:dyDescent="0.25">
      <c r="AS250" s="65"/>
      <c r="AY250"/>
      <c r="AZ250"/>
      <c r="BA250"/>
      <c r="BB250"/>
      <c r="BC250"/>
      <c r="BN250" s="65"/>
      <c r="BO250" s="65"/>
      <c r="BP250" s="65"/>
      <c r="BS250"/>
      <c r="BT250"/>
      <c r="BU250"/>
      <c r="BV250"/>
      <c r="BW250"/>
      <c r="BX250"/>
    </row>
    <row r="251" spans="45:76" x14ac:dyDescent="0.25">
      <c r="AS251" s="65"/>
      <c r="AY251"/>
      <c r="AZ251"/>
      <c r="BA251"/>
      <c r="BB251"/>
      <c r="BC251"/>
      <c r="BN251" s="65"/>
      <c r="BO251" s="65"/>
      <c r="BP251" s="65"/>
      <c r="BS251"/>
      <c r="BT251"/>
      <c r="BU251"/>
      <c r="BV251"/>
      <c r="BW251"/>
      <c r="BX251"/>
    </row>
    <row r="252" spans="45:76" x14ac:dyDescent="0.25">
      <c r="AS252" s="65"/>
      <c r="AY252"/>
      <c r="AZ252"/>
      <c r="BA252"/>
      <c r="BB252"/>
      <c r="BC252"/>
      <c r="BN252" s="65"/>
      <c r="BO252" s="65"/>
      <c r="BP252" s="65"/>
      <c r="BS252"/>
      <c r="BT252"/>
      <c r="BU252"/>
      <c r="BV252"/>
      <c r="BW252"/>
      <c r="BX252"/>
    </row>
    <row r="253" spans="45:76" x14ac:dyDescent="0.25">
      <c r="AS253" s="65"/>
      <c r="AY253"/>
      <c r="AZ253"/>
      <c r="BA253"/>
      <c r="BB253"/>
      <c r="BC253"/>
      <c r="BN253" s="65"/>
      <c r="BO253" s="65"/>
      <c r="BP253" s="65"/>
      <c r="BS253"/>
      <c r="BT253"/>
      <c r="BU253"/>
      <c r="BV253"/>
      <c r="BW253"/>
      <c r="BX253"/>
    </row>
    <row r="254" spans="45:76" x14ac:dyDescent="0.25">
      <c r="AS254" s="65"/>
      <c r="AY254"/>
      <c r="AZ254"/>
      <c r="BA254"/>
      <c r="BB254"/>
      <c r="BC254"/>
      <c r="BN254" s="65"/>
      <c r="BO254" s="65"/>
      <c r="BP254" s="65"/>
      <c r="BS254"/>
      <c r="BT254"/>
      <c r="BU254"/>
      <c r="BV254"/>
      <c r="BW254"/>
      <c r="BX254"/>
    </row>
    <row r="255" spans="45:76" x14ac:dyDescent="0.25">
      <c r="AS255" s="65"/>
      <c r="AY255"/>
      <c r="AZ255"/>
      <c r="BA255"/>
      <c r="BB255"/>
      <c r="BC255"/>
      <c r="BN255" s="65"/>
      <c r="BO255" s="65"/>
      <c r="BP255" s="65"/>
      <c r="BS255"/>
      <c r="BT255"/>
      <c r="BU255"/>
      <c r="BV255"/>
      <c r="BW255"/>
      <c r="BX255"/>
    </row>
    <row r="256" spans="45:76" x14ac:dyDescent="0.25">
      <c r="AS256" s="65"/>
      <c r="AY256"/>
      <c r="AZ256"/>
      <c r="BA256"/>
      <c r="BB256"/>
      <c r="BC256"/>
      <c r="BN256" s="65"/>
      <c r="BO256" s="65"/>
      <c r="BP256" s="65"/>
      <c r="BS256"/>
      <c r="BT256"/>
      <c r="BU256"/>
      <c r="BV256"/>
      <c r="BW256"/>
      <c r="BX256"/>
    </row>
    <row r="257" spans="45:76" x14ac:dyDescent="0.25">
      <c r="AS257" s="65"/>
      <c r="AY257"/>
      <c r="AZ257"/>
      <c r="BA257"/>
      <c r="BB257"/>
      <c r="BC257"/>
      <c r="BN257" s="65"/>
      <c r="BO257" s="65"/>
      <c r="BP257" s="65"/>
      <c r="BS257"/>
      <c r="BT257"/>
      <c r="BU257"/>
      <c r="BV257"/>
      <c r="BW257"/>
      <c r="BX257"/>
    </row>
    <row r="258" spans="45:76" x14ac:dyDescent="0.25">
      <c r="AS258" s="65"/>
      <c r="AY258"/>
      <c r="AZ258"/>
      <c r="BA258"/>
      <c r="BB258"/>
      <c r="BC258"/>
      <c r="BN258" s="65"/>
      <c r="BO258" s="65"/>
      <c r="BP258" s="65"/>
      <c r="BS258"/>
      <c r="BT258"/>
      <c r="BU258"/>
      <c r="BV258"/>
      <c r="BW258"/>
      <c r="BX258"/>
    </row>
    <row r="259" spans="45:76" x14ac:dyDescent="0.25">
      <c r="AS259" s="65"/>
      <c r="AY259"/>
      <c r="AZ259"/>
      <c r="BA259"/>
      <c r="BB259"/>
      <c r="BC259"/>
      <c r="BN259" s="65"/>
      <c r="BO259" s="65"/>
      <c r="BP259" s="65"/>
      <c r="BS259"/>
      <c r="BT259"/>
      <c r="BU259"/>
      <c r="BV259"/>
      <c r="BW259"/>
      <c r="BX259"/>
    </row>
    <row r="260" spans="45:76" x14ac:dyDescent="0.25">
      <c r="AS260" s="65"/>
      <c r="BA260"/>
      <c r="BB260"/>
      <c r="BC260"/>
      <c r="BP260" s="65"/>
      <c r="BQ260" s="65"/>
      <c r="BR260" s="65"/>
      <c r="BS260"/>
      <c r="BT260"/>
      <c r="BU260"/>
      <c r="BV260"/>
      <c r="BW260"/>
      <c r="BX260"/>
    </row>
    <row r="261" spans="45:76" x14ac:dyDescent="0.25">
      <c r="AS261" s="65"/>
      <c r="BA261"/>
      <c r="BB261"/>
      <c r="BC261"/>
      <c r="BP261" s="65"/>
      <c r="BQ261" s="65"/>
      <c r="BR261" s="65"/>
      <c r="BS261"/>
      <c r="BT261"/>
      <c r="BU261"/>
      <c r="BV261"/>
      <c r="BW261"/>
      <c r="BX261"/>
    </row>
    <row r="262" spans="45:76" x14ac:dyDescent="0.25">
      <c r="AS262" s="65"/>
      <c r="BA262"/>
      <c r="BB262"/>
      <c r="BC262"/>
      <c r="BP262" s="65"/>
      <c r="BQ262" s="65"/>
      <c r="BR262" s="65"/>
      <c r="BS262"/>
      <c r="BT262"/>
      <c r="BU262"/>
      <c r="BV262"/>
      <c r="BW262"/>
      <c r="BX262"/>
    </row>
    <row r="263" spans="45:76" x14ac:dyDescent="0.25">
      <c r="AS263" s="65"/>
      <c r="BA263"/>
      <c r="BB263"/>
      <c r="BC263"/>
      <c r="BP263" s="65"/>
      <c r="BQ263" s="65"/>
      <c r="BR263" s="65"/>
      <c r="BS263"/>
      <c r="BT263"/>
      <c r="BU263"/>
      <c r="BV263"/>
      <c r="BW263"/>
      <c r="BX263"/>
    </row>
    <row r="264" spans="45:76" x14ac:dyDescent="0.25">
      <c r="AS264" s="65"/>
      <c r="BA264"/>
      <c r="BB264"/>
      <c r="BC264"/>
      <c r="BP264" s="65"/>
      <c r="BQ264" s="65"/>
      <c r="BR264" s="65"/>
      <c r="BS264"/>
      <c r="BT264"/>
      <c r="BU264"/>
      <c r="BV264"/>
      <c r="BW264"/>
      <c r="BX264"/>
    </row>
    <row r="265" spans="45:76" x14ac:dyDescent="0.25">
      <c r="AS265" s="65"/>
      <c r="BA265"/>
      <c r="BB265"/>
      <c r="BC265"/>
      <c r="BP265" s="65"/>
      <c r="BQ265" s="65"/>
      <c r="BR265" s="65"/>
      <c r="BS265"/>
      <c r="BT265"/>
      <c r="BU265"/>
      <c r="BV265"/>
      <c r="BW265"/>
      <c r="BX265"/>
    </row>
    <row r="266" spans="45:76" x14ac:dyDescent="0.25">
      <c r="AS266" s="65"/>
      <c r="BA266"/>
      <c r="BB266"/>
      <c r="BC266"/>
      <c r="BP266" s="65"/>
      <c r="BQ266" s="65"/>
      <c r="BR266" s="65"/>
      <c r="BS266"/>
      <c r="BT266"/>
      <c r="BU266"/>
      <c r="BV266"/>
      <c r="BW266"/>
      <c r="BX266"/>
    </row>
    <row r="267" spans="45:76" x14ac:dyDescent="0.25">
      <c r="AS267" s="65"/>
      <c r="BA267"/>
      <c r="BB267"/>
      <c r="BC267"/>
      <c r="BP267" s="65"/>
      <c r="BQ267" s="65"/>
      <c r="BR267" s="65"/>
      <c r="BS267"/>
      <c r="BT267"/>
      <c r="BU267"/>
      <c r="BV267"/>
      <c r="BW267"/>
      <c r="BX267"/>
    </row>
    <row r="268" spans="45:76" x14ac:dyDescent="0.25">
      <c r="AS268" s="65"/>
      <c r="BA268"/>
      <c r="BB268"/>
      <c r="BC268"/>
      <c r="BP268" s="65"/>
      <c r="BQ268" s="65"/>
      <c r="BR268" s="65"/>
      <c r="BS268"/>
      <c r="BT268"/>
      <c r="BU268"/>
      <c r="BV268"/>
      <c r="BW268"/>
      <c r="BX268"/>
    </row>
    <row r="269" spans="45:76" x14ac:dyDescent="0.25">
      <c r="AS269" s="65"/>
      <c r="BA269"/>
      <c r="BB269"/>
      <c r="BC269"/>
      <c r="BP269" s="65"/>
      <c r="BQ269" s="65"/>
      <c r="BR269" s="65"/>
      <c r="BS269"/>
      <c r="BT269"/>
      <c r="BU269"/>
      <c r="BV269"/>
      <c r="BW269"/>
      <c r="BX269"/>
    </row>
    <row r="270" spans="45:76" x14ac:dyDescent="0.25">
      <c r="AS270" s="65"/>
      <c r="BA270"/>
      <c r="BB270"/>
      <c r="BC270"/>
      <c r="BP270" s="65"/>
      <c r="BQ270" s="65"/>
      <c r="BR270" s="65"/>
      <c r="BS270"/>
      <c r="BT270"/>
      <c r="BU270"/>
      <c r="BV270"/>
      <c r="BW270"/>
      <c r="BX270"/>
    </row>
    <row r="271" spans="45:76" x14ac:dyDescent="0.25">
      <c r="AS271" s="65"/>
      <c r="BA271"/>
      <c r="BB271"/>
      <c r="BC271"/>
      <c r="BP271" s="65"/>
      <c r="BQ271" s="65"/>
      <c r="BR271" s="65"/>
      <c r="BS271"/>
      <c r="BT271"/>
      <c r="BU271"/>
      <c r="BV271"/>
      <c r="BW271"/>
      <c r="BX271"/>
    </row>
    <row r="272" spans="45:76" x14ac:dyDescent="0.25">
      <c r="AS272" s="65"/>
      <c r="BA272"/>
      <c r="BB272"/>
      <c r="BC272"/>
      <c r="BP272" s="65"/>
      <c r="BQ272" s="65"/>
      <c r="BR272" s="65"/>
      <c r="BS272"/>
      <c r="BT272"/>
      <c r="BU272"/>
      <c r="BV272"/>
      <c r="BW272"/>
      <c r="BX272"/>
    </row>
    <row r="273" spans="45:76" x14ac:dyDescent="0.25">
      <c r="AS273" s="65"/>
      <c r="BA273"/>
      <c r="BB273"/>
      <c r="BC273"/>
      <c r="BP273" s="65"/>
      <c r="BQ273" s="65"/>
      <c r="BR273" s="65"/>
      <c r="BS273"/>
      <c r="BT273"/>
      <c r="BU273"/>
      <c r="BV273"/>
      <c r="BW273"/>
      <c r="BX273"/>
    </row>
    <row r="274" spans="45:76" x14ac:dyDescent="0.25">
      <c r="AS274" s="65"/>
      <c r="BA274"/>
      <c r="BB274"/>
      <c r="BC274"/>
      <c r="BP274" s="65"/>
      <c r="BQ274" s="65"/>
      <c r="BR274" s="65"/>
      <c r="BS274"/>
      <c r="BT274"/>
      <c r="BU274"/>
      <c r="BV274"/>
      <c r="BW274"/>
      <c r="BX274"/>
    </row>
    <row r="275" spans="45:76" x14ac:dyDescent="0.25">
      <c r="AS275" s="65"/>
      <c r="BA275"/>
      <c r="BB275"/>
      <c r="BC275"/>
      <c r="BP275" s="65"/>
      <c r="BQ275" s="65"/>
      <c r="BR275" s="65"/>
      <c r="BS275"/>
      <c r="BT275"/>
      <c r="BU275"/>
      <c r="BV275"/>
      <c r="BW275"/>
      <c r="BX275"/>
    </row>
    <row r="276" spans="45:76" x14ac:dyDescent="0.25">
      <c r="AS276" s="65"/>
      <c r="BA276"/>
      <c r="BB276"/>
      <c r="BC276"/>
      <c r="BP276" s="65"/>
      <c r="BQ276" s="65"/>
      <c r="BR276" s="65"/>
      <c r="BS276"/>
      <c r="BT276"/>
      <c r="BU276"/>
      <c r="BV276"/>
      <c r="BW276"/>
      <c r="BX276"/>
    </row>
    <row r="277" spans="45:76" x14ac:dyDescent="0.25">
      <c r="AS277" s="65"/>
      <c r="BA277"/>
      <c r="BB277"/>
      <c r="BC277"/>
      <c r="BP277" s="65"/>
      <c r="BQ277" s="65"/>
      <c r="BR277" s="65"/>
      <c r="BS277"/>
      <c r="BT277"/>
      <c r="BU277"/>
      <c r="BV277"/>
      <c r="BW277"/>
      <c r="BX277"/>
    </row>
    <row r="278" spans="45:76" x14ac:dyDescent="0.25">
      <c r="AS278" s="65"/>
      <c r="BA278"/>
      <c r="BB278"/>
      <c r="BC278"/>
      <c r="BP278" s="65"/>
      <c r="BQ278" s="65"/>
      <c r="BR278" s="65"/>
      <c r="BS278"/>
      <c r="BT278"/>
      <c r="BU278"/>
      <c r="BV278"/>
      <c r="BW278"/>
      <c r="BX278"/>
    </row>
    <row r="279" spans="45:76" x14ac:dyDescent="0.25">
      <c r="AS279" s="65"/>
      <c r="BA279"/>
      <c r="BB279"/>
      <c r="BC279"/>
      <c r="BP279" s="65"/>
      <c r="BQ279" s="65"/>
      <c r="BR279" s="65"/>
      <c r="BS279"/>
      <c r="BT279"/>
      <c r="BU279"/>
      <c r="BV279"/>
      <c r="BW279"/>
      <c r="BX279"/>
    </row>
    <row r="280" spans="45:76" x14ac:dyDescent="0.25">
      <c r="AS280" s="65"/>
      <c r="BA280"/>
      <c r="BB280"/>
      <c r="BC280"/>
      <c r="BP280" s="65"/>
      <c r="BQ280" s="65"/>
      <c r="BR280" s="65"/>
      <c r="BS280"/>
      <c r="BT280"/>
      <c r="BU280"/>
      <c r="BV280"/>
      <c r="BW280"/>
      <c r="BX280"/>
    </row>
    <row r="281" spans="45:76" x14ac:dyDescent="0.25">
      <c r="AS281" s="65"/>
      <c r="BA281"/>
      <c r="BB281"/>
      <c r="BC281"/>
      <c r="BP281" s="65"/>
      <c r="BQ281" s="65"/>
      <c r="BR281" s="65"/>
      <c r="BS281"/>
      <c r="BT281"/>
      <c r="BU281"/>
      <c r="BV281"/>
      <c r="BW281"/>
      <c r="BX281"/>
    </row>
    <row r="282" spans="45:76" x14ac:dyDescent="0.25">
      <c r="AS282" s="65"/>
      <c r="BA282"/>
      <c r="BB282"/>
      <c r="BC282"/>
      <c r="BP282" s="65"/>
      <c r="BQ282" s="65"/>
      <c r="BR282" s="65"/>
      <c r="BS282"/>
      <c r="BT282"/>
      <c r="BU282"/>
      <c r="BV282"/>
      <c r="BW282"/>
      <c r="BX282"/>
    </row>
    <row r="283" spans="45:76" x14ac:dyDescent="0.25">
      <c r="AS283" s="65"/>
      <c r="BA283"/>
      <c r="BB283"/>
      <c r="BC283"/>
      <c r="BP283" s="65"/>
      <c r="BQ283" s="65"/>
      <c r="BR283" s="65"/>
      <c r="BS283"/>
      <c r="BT283"/>
      <c r="BU283"/>
      <c r="BV283"/>
      <c r="BW283"/>
      <c r="BX283"/>
    </row>
    <row r="284" spans="45:76" x14ac:dyDescent="0.25">
      <c r="AS284" s="65"/>
      <c r="BA284"/>
      <c r="BB284"/>
      <c r="BC284"/>
      <c r="BP284" s="65"/>
      <c r="BQ284" s="65"/>
      <c r="BR284" s="65"/>
      <c r="BS284"/>
      <c r="BT284"/>
      <c r="BU284"/>
      <c r="BV284"/>
      <c r="BW284"/>
      <c r="BX284"/>
    </row>
    <row r="285" spans="45:76" x14ac:dyDescent="0.25">
      <c r="AS285" s="65"/>
      <c r="BA285"/>
      <c r="BB285"/>
      <c r="BC285"/>
      <c r="BP285" s="65"/>
      <c r="BQ285" s="65"/>
      <c r="BR285" s="65"/>
      <c r="BS285"/>
      <c r="BT285"/>
      <c r="BU285"/>
      <c r="BV285"/>
      <c r="BW285"/>
      <c r="BX285"/>
    </row>
    <row r="286" spans="45:76" x14ac:dyDescent="0.25">
      <c r="AS286" s="65"/>
      <c r="BA286"/>
      <c r="BB286"/>
      <c r="BC286"/>
      <c r="BP286" s="65"/>
      <c r="BQ286" s="65"/>
      <c r="BR286" s="65"/>
      <c r="BS286"/>
      <c r="BT286"/>
      <c r="BU286"/>
      <c r="BV286"/>
      <c r="BW286"/>
      <c r="BX286"/>
    </row>
    <row r="287" spans="45:76" x14ac:dyDescent="0.25">
      <c r="AS287" s="65"/>
      <c r="BA287"/>
      <c r="BB287"/>
      <c r="BC287"/>
      <c r="BP287" s="65"/>
      <c r="BQ287" s="65"/>
      <c r="BR287" s="65"/>
      <c r="BS287"/>
      <c r="BT287"/>
      <c r="BU287"/>
      <c r="BV287"/>
      <c r="BW287"/>
      <c r="BX287"/>
    </row>
    <row r="288" spans="45:76" x14ac:dyDescent="0.25">
      <c r="AS288" s="65"/>
      <c r="BA288"/>
      <c r="BB288"/>
      <c r="BC288"/>
      <c r="BP288" s="65"/>
      <c r="BQ288" s="65"/>
      <c r="BR288" s="65"/>
      <c r="BS288"/>
      <c r="BT288"/>
      <c r="BU288"/>
      <c r="BV288"/>
      <c r="BW288"/>
      <c r="BX288"/>
    </row>
    <row r="289" spans="45:76" x14ac:dyDescent="0.25">
      <c r="AS289" s="65"/>
      <c r="BA289"/>
      <c r="BB289"/>
      <c r="BC289"/>
      <c r="BP289" s="65"/>
      <c r="BQ289" s="65"/>
      <c r="BR289" s="65"/>
      <c r="BS289"/>
      <c r="BT289"/>
      <c r="BU289"/>
      <c r="BV289"/>
      <c r="BW289"/>
      <c r="BX289"/>
    </row>
    <row r="290" spans="45:76" x14ac:dyDescent="0.25">
      <c r="AS290" s="65"/>
      <c r="BA290"/>
      <c r="BB290"/>
      <c r="BC290"/>
      <c r="BP290" s="65"/>
      <c r="BQ290" s="65"/>
      <c r="BR290" s="65"/>
      <c r="BS290"/>
      <c r="BT290"/>
      <c r="BU290"/>
      <c r="BV290"/>
      <c r="BW290"/>
      <c r="BX290"/>
    </row>
    <row r="291" spans="45:76" x14ac:dyDescent="0.25">
      <c r="AS291" s="65"/>
      <c r="BA291"/>
      <c r="BB291"/>
      <c r="BC291"/>
      <c r="BP291" s="65"/>
      <c r="BQ291" s="65"/>
      <c r="BR291" s="65"/>
      <c r="BS291"/>
      <c r="BT291"/>
      <c r="BU291"/>
      <c r="BV291"/>
      <c r="BW291"/>
      <c r="BX291"/>
    </row>
    <row r="292" spans="45:76" x14ac:dyDescent="0.25">
      <c r="AS292" s="65"/>
      <c r="BA292"/>
      <c r="BB292"/>
      <c r="BC292"/>
      <c r="BP292" s="65"/>
      <c r="BQ292" s="65"/>
      <c r="BR292" s="65"/>
      <c r="BS292"/>
      <c r="BT292"/>
      <c r="BU292"/>
      <c r="BV292"/>
      <c r="BW292"/>
      <c r="BX292"/>
    </row>
    <row r="293" spans="45:76" x14ac:dyDescent="0.25">
      <c r="AS293" s="65"/>
      <c r="BA293"/>
      <c r="BB293"/>
      <c r="BC293"/>
      <c r="BP293" s="65"/>
      <c r="BQ293" s="65"/>
      <c r="BR293" s="65"/>
      <c r="BS293"/>
      <c r="BT293"/>
      <c r="BU293"/>
      <c r="BV293"/>
      <c r="BW293"/>
      <c r="BX293"/>
    </row>
    <row r="294" spans="45:76" x14ac:dyDescent="0.25">
      <c r="AS294" s="65"/>
      <c r="BA294"/>
      <c r="BB294"/>
      <c r="BC294"/>
      <c r="BP294" s="65"/>
      <c r="BQ294" s="65"/>
      <c r="BR294" s="65"/>
      <c r="BS294"/>
      <c r="BT294"/>
      <c r="BU294"/>
      <c r="BV294"/>
      <c r="BW294"/>
      <c r="BX294"/>
    </row>
    <row r="295" spans="45:76" x14ac:dyDescent="0.25">
      <c r="AS295" s="65"/>
      <c r="BA295"/>
      <c r="BB295"/>
      <c r="BC295"/>
      <c r="BP295" s="65"/>
      <c r="BQ295" s="65"/>
      <c r="BR295" s="65"/>
      <c r="BS295"/>
      <c r="BT295"/>
      <c r="BU295"/>
      <c r="BV295"/>
      <c r="BW295"/>
      <c r="BX295"/>
    </row>
    <row r="296" spans="45:76" x14ac:dyDescent="0.25">
      <c r="AS296" s="65"/>
      <c r="BA296"/>
      <c r="BB296"/>
      <c r="BC296"/>
      <c r="BP296" s="65"/>
      <c r="BQ296" s="65"/>
      <c r="BR296" s="65"/>
      <c r="BS296"/>
      <c r="BT296"/>
      <c r="BU296"/>
      <c r="BV296"/>
      <c r="BW296"/>
      <c r="BX296"/>
    </row>
    <row r="297" spans="45:76" x14ac:dyDescent="0.25">
      <c r="AS297" s="65"/>
      <c r="BA297"/>
      <c r="BB297"/>
      <c r="BC297"/>
      <c r="BP297" s="65"/>
      <c r="BQ297" s="65"/>
      <c r="BR297" s="65"/>
      <c r="BS297"/>
      <c r="BT297"/>
      <c r="BU297"/>
      <c r="BV297"/>
      <c r="BW297"/>
      <c r="BX297"/>
    </row>
    <row r="298" spans="45:76" x14ac:dyDescent="0.25">
      <c r="AS298" s="65"/>
      <c r="BA298"/>
      <c r="BB298"/>
      <c r="BC298"/>
      <c r="BP298" s="65"/>
      <c r="BQ298" s="65"/>
      <c r="BR298" s="65"/>
      <c r="BS298"/>
      <c r="BT298"/>
      <c r="BU298"/>
      <c r="BV298"/>
      <c r="BW298"/>
      <c r="BX298"/>
    </row>
    <row r="299" spans="45:76" x14ac:dyDescent="0.25">
      <c r="AS299" s="65"/>
      <c r="BA299"/>
      <c r="BB299"/>
      <c r="BC299"/>
      <c r="BP299" s="65"/>
      <c r="BQ299" s="65"/>
      <c r="BR299" s="65"/>
      <c r="BS299"/>
      <c r="BT299"/>
      <c r="BU299"/>
      <c r="BV299"/>
      <c r="BW299"/>
      <c r="BX299"/>
    </row>
    <row r="300" spans="45:76" x14ac:dyDescent="0.25">
      <c r="AS300" s="65"/>
      <c r="BA300"/>
      <c r="BB300"/>
      <c r="BC300"/>
      <c r="BP300" s="65"/>
      <c r="BQ300" s="65"/>
      <c r="BR300" s="65"/>
      <c r="BS300"/>
      <c r="BT300"/>
      <c r="BU300"/>
      <c r="BV300"/>
      <c r="BW300"/>
      <c r="BX300"/>
    </row>
    <row r="301" spans="45:76" x14ac:dyDescent="0.25">
      <c r="AS301" s="65"/>
      <c r="BA301"/>
      <c r="BB301"/>
      <c r="BC301"/>
      <c r="BP301" s="65"/>
      <c r="BQ301" s="65"/>
      <c r="BR301" s="65"/>
      <c r="BS301"/>
      <c r="BT301"/>
      <c r="BU301"/>
      <c r="BV301"/>
      <c r="BW301"/>
      <c r="BX301"/>
    </row>
    <row r="302" spans="45:76" x14ac:dyDescent="0.25">
      <c r="AS302" s="65"/>
      <c r="BA302"/>
      <c r="BB302"/>
      <c r="BC302"/>
      <c r="BP302" s="65"/>
      <c r="BQ302" s="65"/>
      <c r="BR302" s="65"/>
      <c r="BS302"/>
      <c r="BT302"/>
      <c r="BU302"/>
      <c r="BV302"/>
      <c r="BW302"/>
      <c r="BX302"/>
    </row>
    <row r="303" spans="45:76" x14ac:dyDescent="0.25">
      <c r="AS303" s="65"/>
      <c r="BA303"/>
      <c r="BB303"/>
      <c r="BC303"/>
      <c r="BP303" s="65"/>
      <c r="BQ303" s="65"/>
      <c r="BR303" s="65"/>
      <c r="BS303"/>
      <c r="BT303"/>
      <c r="BU303"/>
      <c r="BV303"/>
      <c r="BW303"/>
      <c r="BX303"/>
    </row>
    <row r="304" spans="45:76" x14ac:dyDescent="0.25">
      <c r="AS304" s="65"/>
      <c r="BA304"/>
      <c r="BB304"/>
      <c r="BC304"/>
      <c r="BP304" s="65"/>
      <c r="BQ304" s="65"/>
      <c r="BR304" s="65"/>
      <c r="BS304"/>
      <c r="BT304"/>
      <c r="BU304"/>
      <c r="BV304"/>
      <c r="BW304"/>
      <c r="BX304"/>
    </row>
    <row r="305" spans="45:76" x14ac:dyDescent="0.25">
      <c r="AS305" s="65"/>
      <c r="BA305"/>
      <c r="BB305"/>
      <c r="BC305"/>
      <c r="BP305" s="65"/>
      <c r="BQ305" s="65"/>
      <c r="BR305" s="65"/>
      <c r="BS305"/>
      <c r="BT305"/>
      <c r="BU305"/>
      <c r="BV305"/>
      <c r="BW305"/>
      <c r="BX305"/>
    </row>
    <row r="306" spans="45:76" x14ac:dyDescent="0.25">
      <c r="AS306" s="65"/>
      <c r="BA306"/>
      <c r="BB306"/>
      <c r="BC306"/>
      <c r="BP306" s="65"/>
      <c r="BQ306" s="65"/>
      <c r="BR306" s="65"/>
      <c r="BS306"/>
      <c r="BT306"/>
      <c r="BU306"/>
      <c r="BV306"/>
      <c r="BW306"/>
      <c r="BX306"/>
    </row>
    <row r="307" spans="45:76" x14ac:dyDescent="0.25">
      <c r="AS307" s="65"/>
      <c r="BA307"/>
      <c r="BB307"/>
      <c r="BC307"/>
      <c r="BP307" s="65"/>
      <c r="BQ307" s="65"/>
      <c r="BR307" s="65"/>
      <c r="BS307"/>
      <c r="BT307"/>
      <c r="BU307"/>
      <c r="BV307"/>
      <c r="BW307"/>
      <c r="BX307"/>
    </row>
    <row r="308" spans="45:76" x14ac:dyDescent="0.25">
      <c r="AS308" s="65"/>
      <c r="BA308"/>
      <c r="BB308"/>
      <c r="BC308"/>
      <c r="BP308" s="65"/>
      <c r="BQ308" s="65"/>
      <c r="BR308" s="65"/>
      <c r="BS308"/>
      <c r="BT308"/>
      <c r="BU308"/>
      <c r="BV308"/>
      <c r="BW308"/>
      <c r="BX308"/>
    </row>
    <row r="309" spans="45:76" x14ac:dyDescent="0.25">
      <c r="AS309" s="65"/>
      <c r="BA309"/>
      <c r="BB309"/>
      <c r="BC309"/>
      <c r="BP309" s="65"/>
      <c r="BQ309" s="65"/>
      <c r="BR309" s="65"/>
      <c r="BS309"/>
      <c r="BT309"/>
      <c r="BU309"/>
      <c r="BV309"/>
      <c r="BW309"/>
      <c r="BX309"/>
    </row>
    <row r="310" spans="45:76" x14ac:dyDescent="0.25">
      <c r="AS310" s="65"/>
      <c r="BA310"/>
      <c r="BB310"/>
      <c r="BC310"/>
      <c r="BP310" s="65"/>
      <c r="BQ310" s="65"/>
      <c r="BR310" s="65"/>
      <c r="BS310"/>
      <c r="BT310"/>
      <c r="BU310"/>
      <c r="BV310"/>
      <c r="BW310"/>
      <c r="BX310"/>
    </row>
    <row r="311" spans="45:76" x14ac:dyDescent="0.25">
      <c r="AS311" s="65"/>
      <c r="BA311"/>
      <c r="BB311"/>
      <c r="BC311"/>
      <c r="BP311" s="65"/>
      <c r="BQ311" s="65"/>
      <c r="BR311" s="65"/>
      <c r="BS311"/>
      <c r="BT311"/>
      <c r="BU311"/>
      <c r="BV311"/>
      <c r="BW311"/>
      <c r="BX311"/>
    </row>
    <row r="312" spans="45:76" x14ac:dyDescent="0.25">
      <c r="AS312" s="65"/>
      <c r="BA312"/>
      <c r="BB312"/>
      <c r="BC312"/>
      <c r="BP312" s="65"/>
      <c r="BQ312" s="65"/>
      <c r="BR312" s="65"/>
      <c r="BS312"/>
      <c r="BT312"/>
      <c r="BU312"/>
      <c r="BV312"/>
      <c r="BW312"/>
      <c r="BX312"/>
    </row>
    <row r="313" spans="45:76" x14ac:dyDescent="0.25">
      <c r="AS313" s="65"/>
      <c r="BA313"/>
      <c r="BB313"/>
      <c r="BC313"/>
      <c r="BP313" s="65"/>
      <c r="BQ313" s="65"/>
      <c r="BR313" s="65"/>
      <c r="BS313"/>
      <c r="BT313"/>
      <c r="BU313"/>
      <c r="BV313"/>
      <c r="BW313"/>
      <c r="BX313"/>
    </row>
    <row r="314" spans="45:76" x14ac:dyDescent="0.25">
      <c r="AS314" s="65"/>
      <c r="BA314"/>
      <c r="BB314"/>
      <c r="BC314"/>
      <c r="BP314" s="65"/>
      <c r="BQ314" s="65"/>
      <c r="BR314" s="65"/>
      <c r="BS314"/>
      <c r="BT314"/>
      <c r="BU314"/>
      <c r="BV314"/>
      <c r="BW314"/>
      <c r="BX314"/>
    </row>
    <row r="315" spans="45:76" x14ac:dyDescent="0.25">
      <c r="AS315" s="65"/>
      <c r="BA315"/>
      <c r="BB315"/>
      <c r="BC315"/>
      <c r="BP315" s="65"/>
      <c r="BQ315" s="65"/>
      <c r="BR315" s="65"/>
      <c r="BS315"/>
      <c r="BT315"/>
      <c r="BU315"/>
      <c r="BV315"/>
      <c r="BW315"/>
      <c r="BX315"/>
    </row>
    <row r="316" spans="45:76" x14ac:dyDescent="0.25">
      <c r="AS316" s="65"/>
      <c r="BA316"/>
      <c r="BB316"/>
      <c r="BC316"/>
      <c r="BP316" s="65"/>
      <c r="BQ316" s="65"/>
      <c r="BR316" s="65"/>
      <c r="BS316"/>
      <c r="BT316"/>
      <c r="BU316"/>
      <c r="BV316"/>
      <c r="BW316"/>
      <c r="BX316"/>
    </row>
    <row r="317" spans="45:76" x14ac:dyDescent="0.25">
      <c r="AS317" s="65"/>
      <c r="BA317"/>
      <c r="BB317"/>
      <c r="BC317"/>
      <c r="BP317" s="65"/>
      <c r="BQ317" s="65"/>
      <c r="BR317" s="65"/>
      <c r="BS317"/>
      <c r="BT317"/>
      <c r="BU317"/>
      <c r="BV317"/>
      <c r="BW317"/>
      <c r="BX317"/>
    </row>
    <row r="318" spans="45:76" x14ac:dyDescent="0.25">
      <c r="AS318" s="65"/>
      <c r="BA318"/>
      <c r="BB318"/>
      <c r="BC318"/>
      <c r="BP318" s="65"/>
      <c r="BQ318" s="65"/>
      <c r="BR318" s="65"/>
      <c r="BS318"/>
      <c r="BT318"/>
      <c r="BU318"/>
      <c r="BV318"/>
      <c r="BW318"/>
      <c r="BX318"/>
    </row>
    <row r="319" spans="45:76" x14ac:dyDescent="0.25">
      <c r="AS319" s="65"/>
      <c r="BA319"/>
      <c r="BB319"/>
      <c r="BC319"/>
      <c r="BP319" s="65"/>
      <c r="BQ319" s="65"/>
      <c r="BR319" s="65"/>
      <c r="BS319"/>
      <c r="BT319"/>
      <c r="BU319"/>
      <c r="BV319"/>
      <c r="BW319"/>
      <c r="BX319"/>
    </row>
    <row r="320" spans="45:76" x14ac:dyDescent="0.25">
      <c r="AS320" s="65"/>
      <c r="BA320"/>
      <c r="BB320"/>
      <c r="BC320"/>
      <c r="BP320" s="65"/>
      <c r="BQ320" s="65"/>
      <c r="BR320" s="65"/>
      <c r="BS320"/>
      <c r="BT320"/>
      <c r="BU320"/>
      <c r="BV320"/>
      <c r="BW320"/>
      <c r="BX320"/>
    </row>
    <row r="321" spans="45:76" x14ac:dyDescent="0.25">
      <c r="AS321" s="65"/>
      <c r="BA321"/>
      <c r="BB321"/>
      <c r="BC321"/>
      <c r="BP321" s="65"/>
      <c r="BQ321" s="65"/>
      <c r="BR321" s="65"/>
      <c r="BS321"/>
      <c r="BT321"/>
      <c r="BU321"/>
      <c r="BV321"/>
      <c r="BW321"/>
      <c r="BX321"/>
    </row>
    <row r="322" spans="45:76" x14ac:dyDescent="0.25">
      <c r="AS322" s="65"/>
      <c r="BA322"/>
      <c r="BB322"/>
      <c r="BC322"/>
      <c r="BP322" s="65"/>
      <c r="BQ322" s="65"/>
      <c r="BR322" s="65"/>
      <c r="BS322"/>
      <c r="BT322"/>
      <c r="BU322"/>
      <c r="BV322"/>
      <c r="BW322"/>
      <c r="BX322"/>
    </row>
    <row r="323" spans="45:76" x14ac:dyDescent="0.25">
      <c r="AS323" s="65"/>
      <c r="BA323"/>
      <c r="BB323"/>
      <c r="BC323"/>
      <c r="BP323" s="65"/>
      <c r="BQ323" s="65"/>
      <c r="BR323" s="65"/>
      <c r="BS323"/>
      <c r="BT323"/>
      <c r="BU323"/>
      <c r="BV323"/>
      <c r="BW323"/>
      <c r="BX323"/>
    </row>
    <row r="324" spans="45:76" x14ac:dyDescent="0.25">
      <c r="AS324" s="65"/>
      <c r="BA324"/>
      <c r="BB324"/>
      <c r="BC324"/>
      <c r="BP324" s="65"/>
      <c r="BQ324" s="65"/>
      <c r="BR324" s="65"/>
      <c r="BS324"/>
      <c r="BT324"/>
      <c r="BU324"/>
      <c r="BV324"/>
      <c r="BW324"/>
      <c r="BX324"/>
    </row>
    <row r="325" spans="45:76" x14ac:dyDescent="0.25">
      <c r="AS325" s="65"/>
      <c r="BA325"/>
      <c r="BB325"/>
      <c r="BC325"/>
      <c r="BP325" s="65"/>
      <c r="BQ325" s="65"/>
      <c r="BR325" s="65"/>
      <c r="BS325"/>
      <c r="BT325"/>
      <c r="BU325"/>
      <c r="BV325"/>
      <c r="BW325"/>
      <c r="BX325"/>
    </row>
    <row r="326" spans="45:76" x14ac:dyDescent="0.25">
      <c r="AS326" s="65"/>
      <c r="BA326"/>
      <c r="BB326"/>
      <c r="BC326"/>
      <c r="BP326" s="65"/>
      <c r="BQ326" s="65"/>
      <c r="BR326" s="65"/>
      <c r="BS326"/>
      <c r="BT326"/>
      <c r="BU326"/>
      <c r="BV326"/>
      <c r="BW326"/>
      <c r="BX326"/>
    </row>
    <row r="327" spans="45:76" x14ac:dyDescent="0.25">
      <c r="AS327" s="65"/>
      <c r="BA327"/>
      <c r="BB327"/>
      <c r="BC327"/>
      <c r="BP327" s="65"/>
      <c r="BQ327" s="65"/>
      <c r="BR327" s="65"/>
      <c r="BS327"/>
      <c r="BT327"/>
      <c r="BU327"/>
      <c r="BV327"/>
      <c r="BW327"/>
      <c r="BX327"/>
    </row>
    <row r="328" spans="45:76" x14ac:dyDescent="0.25">
      <c r="AS328" s="65"/>
      <c r="BA328"/>
      <c r="BB328"/>
      <c r="BC328"/>
      <c r="BP328" s="65"/>
      <c r="BQ328" s="65"/>
      <c r="BR328" s="65"/>
      <c r="BS328"/>
      <c r="BT328"/>
      <c r="BU328"/>
      <c r="BV328"/>
      <c r="BW328"/>
      <c r="BX328"/>
    </row>
    <row r="329" spans="45:76" x14ac:dyDescent="0.25">
      <c r="AS329" s="65"/>
      <c r="BA329"/>
      <c r="BB329"/>
      <c r="BC329"/>
      <c r="BP329" s="65"/>
      <c r="BQ329" s="65"/>
      <c r="BR329" s="65"/>
      <c r="BS329"/>
      <c r="BT329"/>
      <c r="BU329"/>
      <c r="BV329"/>
      <c r="BW329"/>
      <c r="BX329"/>
    </row>
    <row r="330" spans="45:76" x14ac:dyDescent="0.25">
      <c r="AS330" s="65"/>
      <c r="BA330"/>
      <c r="BB330"/>
      <c r="BC330"/>
      <c r="BP330" s="65"/>
      <c r="BQ330" s="65"/>
      <c r="BR330" s="65"/>
      <c r="BS330"/>
      <c r="BT330"/>
      <c r="BU330"/>
      <c r="BV330"/>
      <c r="BW330"/>
      <c r="BX330"/>
    </row>
    <row r="331" spans="45:76" x14ac:dyDescent="0.25">
      <c r="AS331" s="65"/>
      <c r="BA331"/>
      <c r="BB331"/>
      <c r="BC331"/>
      <c r="BP331" s="65"/>
      <c r="BQ331" s="65"/>
      <c r="BR331" s="65"/>
      <c r="BS331"/>
      <c r="BT331"/>
      <c r="BU331"/>
      <c r="BV331"/>
      <c r="BW331"/>
      <c r="BX331"/>
    </row>
    <row r="332" spans="45:76" x14ac:dyDescent="0.25">
      <c r="AS332" s="65"/>
      <c r="BA332"/>
      <c r="BB332"/>
      <c r="BC332"/>
      <c r="BP332" s="65"/>
      <c r="BQ332" s="65"/>
      <c r="BR332" s="65"/>
      <c r="BS332"/>
      <c r="BT332"/>
      <c r="BU332"/>
      <c r="BV332"/>
      <c r="BW332"/>
      <c r="BX332"/>
    </row>
    <row r="333" spans="45:76" x14ac:dyDescent="0.25">
      <c r="AS333" s="65"/>
      <c r="BA333"/>
      <c r="BB333"/>
      <c r="BC333"/>
      <c r="BP333" s="65"/>
      <c r="BQ333" s="65"/>
      <c r="BR333" s="65"/>
      <c r="BS333"/>
      <c r="BT333"/>
      <c r="BU333"/>
      <c r="BV333"/>
      <c r="BW333"/>
      <c r="BX333"/>
    </row>
    <row r="334" spans="45:76" x14ac:dyDescent="0.25">
      <c r="AS334" s="65"/>
      <c r="BA334"/>
      <c r="BB334"/>
      <c r="BC334"/>
      <c r="BP334" s="65"/>
      <c r="BQ334" s="65"/>
      <c r="BR334" s="65"/>
      <c r="BS334"/>
      <c r="BT334"/>
      <c r="BU334"/>
      <c r="BV334"/>
      <c r="BW334"/>
      <c r="BX334"/>
    </row>
    <row r="335" spans="45:76" x14ac:dyDescent="0.25">
      <c r="AS335" s="65"/>
      <c r="BA335"/>
      <c r="BB335"/>
      <c r="BC335"/>
      <c r="BP335" s="65"/>
      <c r="BQ335" s="65"/>
      <c r="BR335" s="65"/>
      <c r="BS335"/>
      <c r="BT335"/>
      <c r="BU335"/>
      <c r="BV335"/>
      <c r="BW335"/>
      <c r="BX335"/>
    </row>
    <row r="336" spans="45:76" x14ac:dyDescent="0.25">
      <c r="AS336" s="65"/>
      <c r="BA336"/>
      <c r="BB336"/>
      <c r="BC336"/>
      <c r="BP336" s="65"/>
      <c r="BQ336" s="65"/>
      <c r="BR336" s="65"/>
      <c r="BS336"/>
      <c r="BT336"/>
      <c r="BU336"/>
      <c r="BV336"/>
      <c r="BW336"/>
      <c r="BX336"/>
    </row>
    <row r="337" spans="45:76" x14ac:dyDescent="0.25">
      <c r="AS337" s="65"/>
      <c r="BA337"/>
      <c r="BB337"/>
      <c r="BC337"/>
      <c r="BP337" s="65"/>
      <c r="BQ337" s="65"/>
      <c r="BR337" s="65"/>
      <c r="BS337"/>
      <c r="BT337"/>
      <c r="BU337"/>
      <c r="BV337"/>
      <c r="BW337"/>
      <c r="BX337"/>
    </row>
    <row r="338" spans="45:76" x14ac:dyDescent="0.25">
      <c r="AS338" s="65"/>
      <c r="BA338"/>
      <c r="BB338"/>
      <c r="BC338"/>
      <c r="BP338" s="65"/>
      <c r="BQ338" s="65"/>
      <c r="BR338" s="65"/>
      <c r="BS338"/>
      <c r="BT338"/>
      <c r="BU338"/>
      <c r="BV338"/>
      <c r="BW338"/>
      <c r="BX338"/>
    </row>
    <row r="339" spans="45:76" x14ac:dyDescent="0.25">
      <c r="AS339" s="65"/>
      <c r="BA339"/>
      <c r="BB339"/>
      <c r="BC339"/>
      <c r="BP339" s="65"/>
      <c r="BQ339" s="65"/>
      <c r="BR339" s="65"/>
      <c r="BS339"/>
      <c r="BT339"/>
      <c r="BU339"/>
      <c r="BV339"/>
      <c r="BW339"/>
      <c r="BX339"/>
    </row>
    <row r="340" spans="45:76" x14ac:dyDescent="0.25">
      <c r="AS340" s="65"/>
      <c r="BA340"/>
      <c r="BB340"/>
      <c r="BC340"/>
      <c r="BP340" s="65"/>
      <c r="BQ340" s="65"/>
      <c r="BR340" s="65"/>
      <c r="BS340"/>
      <c r="BT340"/>
      <c r="BU340"/>
      <c r="BV340"/>
      <c r="BW340"/>
      <c r="BX340"/>
    </row>
    <row r="341" spans="45:76" x14ac:dyDescent="0.25">
      <c r="AS341" s="65"/>
      <c r="BA341"/>
      <c r="BB341"/>
      <c r="BC341"/>
      <c r="BP341" s="65"/>
      <c r="BQ341" s="65"/>
      <c r="BR341" s="65"/>
      <c r="BS341"/>
      <c r="BT341"/>
      <c r="BU341"/>
      <c r="BV341"/>
      <c r="BW341"/>
      <c r="BX341"/>
    </row>
    <row r="342" spans="45:76" x14ac:dyDescent="0.25">
      <c r="AS342" s="65"/>
      <c r="BA342"/>
      <c r="BB342"/>
      <c r="BC342"/>
      <c r="BP342" s="65"/>
      <c r="BQ342" s="65"/>
      <c r="BR342" s="65"/>
      <c r="BS342"/>
      <c r="BT342"/>
      <c r="BU342"/>
      <c r="BV342"/>
      <c r="BW342"/>
      <c r="BX342"/>
    </row>
    <row r="343" spans="45:76" x14ac:dyDescent="0.25">
      <c r="AS343" s="65"/>
      <c r="BA343"/>
      <c r="BB343"/>
      <c r="BC343"/>
      <c r="BP343" s="65"/>
      <c r="BQ343" s="65"/>
      <c r="BR343" s="65"/>
      <c r="BS343"/>
      <c r="BT343"/>
      <c r="BU343"/>
      <c r="BV343"/>
      <c r="BW343"/>
      <c r="BX343"/>
    </row>
    <row r="344" spans="45:76" x14ac:dyDescent="0.25">
      <c r="AS344" s="65"/>
      <c r="BA344"/>
      <c r="BB344"/>
      <c r="BC344"/>
      <c r="BP344" s="65"/>
      <c r="BQ344" s="65"/>
      <c r="BR344" s="65"/>
      <c r="BS344"/>
      <c r="BT344"/>
      <c r="BU344"/>
      <c r="BV344"/>
      <c r="BW344"/>
      <c r="BX344"/>
    </row>
    <row r="345" spans="45:76" x14ac:dyDescent="0.25">
      <c r="AS345" s="65"/>
      <c r="BA345"/>
      <c r="BB345"/>
      <c r="BC345"/>
      <c r="BP345" s="65"/>
      <c r="BQ345" s="65"/>
      <c r="BR345" s="65"/>
      <c r="BS345"/>
      <c r="BT345"/>
      <c r="BU345"/>
      <c r="BV345"/>
      <c r="BW345"/>
      <c r="BX345"/>
    </row>
    <row r="346" spans="45:76" x14ac:dyDescent="0.25">
      <c r="AS346" s="65"/>
      <c r="BA346"/>
      <c r="BB346"/>
      <c r="BC346"/>
      <c r="BP346" s="65"/>
      <c r="BQ346" s="65"/>
      <c r="BR346" s="65"/>
      <c r="BS346"/>
      <c r="BT346"/>
      <c r="BU346"/>
      <c r="BV346"/>
      <c r="BW346"/>
      <c r="BX346"/>
    </row>
    <row r="347" spans="45:76" x14ac:dyDescent="0.25">
      <c r="AS347" s="65"/>
      <c r="BA347"/>
      <c r="BB347"/>
      <c r="BC347"/>
      <c r="BP347" s="65"/>
      <c r="BQ347" s="65"/>
      <c r="BR347" s="65"/>
      <c r="BS347"/>
      <c r="BT347"/>
      <c r="BU347"/>
      <c r="BV347"/>
      <c r="BW347"/>
      <c r="BX347"/>
    </row>
    <row r="348" spans="45:76" x14ac:dyDescent="0.25">
      <c r="AS348" s="65"/>
      <c r="BA348"/>
      <c r="BB348"/>
      <c r="BC348"/>
      <c r="BP348" s="65"/>
      <c r="BQ348" s="65"/>
      <c r="BR348" s="65"/>
      <c r="BS348"/>
      <c r="BT348"/>
      <c r="BU348"/>
      <c r="BV348"/>
      <c r="BW348"/>
      <c r="BX348"/>
    </row>
    <row r="349" spans="45:76" x14ac:dyDescent="0.25">
      <c r="AS349" s="65"/>
      <c r="BA349"/>
      <c r="BB349"/>
      <c r="BC349"/>
      <c r="BP349" s="65"/>
      <c r="BQ349" s="65"/>
      <c r="BR349" s="65"/>
      <c r="BS349"/>
      <c r="BT349"/>
      <c r="BU349"/>
      <c r="BV349"/>
      <c r="BW349"/>
      <c r="BX349"/>
    </row>
    <row r="350" spans="45:76" x14ac:dyDescent="0.25">
      <c r="AS350" s="65"/>
      <c r="BA350"/>
      <c r="BB350"/>
      <c r="BC350"/>
      <c r="BP350" s="65"/>
      <c r="BQ350" s="65"/>
      <c r="BR350" s="65"/>
      <c r="BS350"/>
      <c r="BT350"/>
      <c r="BU350"/>
      <c r="BV350"/>
      <c r="BW350"/>
      <c r="BX350"/>
    </row>
    <row r="351" spans="45:76" x14ac:dyDescent="0.25">
      <c r="AS351" s="65"/>
      <c r="BA351"/>
      <c r="BB351"/>
      <c r="BC351"/>
      <c r="BP351" s="65"/>
      <c r="BQ351" s="65"/>
      <c r="BR351" s="65"/>
      <c r="BS351"/>
      <c r="BT351"/>
      <c r="BU351"/>
      <c r="BV351"/>
      <c r="BW351"/>
      <c r="BX351"/>
    </row>
    <row r="352" spans="45:76" x14ac:dyDescent="0.25">
      <c r="AS352" s="65"/>
      <c r="BA352"/>
      <c r="BB352"/>
      <c r="BC352"/>
      <c r="BP352" s="65"/>
      <c r="BQ352" s="65"/>
      <c r="BR352" s="65"/>
      <c r="BS352"/>
      <c r="BT352"/>
      <c r="BU352"/>
      <c r="BV352"/>
      <c r="BW352"/>
      <c r="BX352"/>
    </row>
    <row r="353" spans="45:76" x14ac:dyDescent="0.25">
      <c r="AS353" s="65"/>
      <c r="BA353"/>
      <c r="BB353"/>
      <c r="BC353"/>
      <c r="BP353" s="65"/>
      <c r="BQ353" s="65"/>
      <c r="BR353" s="65"/>
      <c r="BS353"/>
      <c r="BT353"/>
      <c r="BU353"/>
      <c r="BV353"/>
      <c r="BW353"/>
      <c r="BX353"/>
    </row>
    <row r="354" spans="45:76" x14ac:dyDescent="0.25">
      <c r="AS354" s="65"/>
      <c r="BA354"/>
      <c r="BB354"/>
      <c r="BC354"/>
      <c r="BP354" s="65"/>
      <c r="BQ354" s="65"/>
      <c r="BR354" s="65"/>
      <c r="BS354"/>
      <c r="BT354"/>
      <c r="BU354"/>
      <c r="BV354"/>
      <c r="BW354"/>
      <c r="BX354"/>
    </row>
    <row r="355" spans="45:76" x14ac:dyDescent="0.25">
      <c r="AS355" s="65"/>
      <c r="BA355"/>
      <c r="BB355"/>
      <c r="BC355"/>
      <c r="BP355" s="65"/>
      <c r="BQ355" s="65"/>
      <c r="BR355" s="65"/>
      <c r="BS355"/>
      <c r="BT355"/>
      <c r="BU355"/>
      <c r="BV355"/>
      <c r="BW355"/>
      <c r="BX355"/>
    </row>
    <row r="356" spans="45:76" x14ac:dyDescent="0.25">
      <c r="AS356" s="65"/>
      <c r="BA356"/>
      <c r="BB356"/>
      <c r="BC356"/>
      <c r="BP356" s="65"/>
      <c r="BQ356" s="65"/>
      <c r="BR356" s="65"/>
      <c r="BS356"/>
      <c r="BT356"/>
      <c r="BU356"/>
      <c r="BV356"/>
      <c r="BW356"/>
      <c r="BX356"/>
    </row>
    <row r="357" spans="45:76" x14ac:dyDescent="0.25">
      <c r="AS357" s="65"/>
      <c r="BA357"/>
      <c r="BB357"/>
      <c r="BC357"/>
      <c r="BP357" s="65"/>
      <c r="BQ357" s="65"/>
      <c r="BR357" s="65"/>
      <c r="BS357"/>
      <c r="BT357"/>
      <c r="BU357"/>
      <c r="BV357"/>
      <c r="BW357"/>
      <c r="BX357"/>
    </row>
    <row r="358" spans="45:76" x14ac:dyDescent="0.25">
      <c r="AS358" s="65"/>
      <c r="BA358"/>
      <c r="BB358"/>
      <c r="BC358"/>
      <c r="BP358" s="65"/>
      <c r="BQ358" s="65"/>
      <c r="BR358" s="65"/>
      <c r="BS358"/>
      <c r="BT358"/>
      <c r="BU358"/>
      <c r="BV358"/>
      <c r="BW358"/>
      <c r="BX358"/>
    </row>
    <row r="359" spans="45:76" x14ac:dyDescent="0.25">
      <c r="AS359" s="65"/>
      <c r="BA359"/>
      <c r="BB359"/>
      <c r="BC359"/>
      <c r="BP359" s="65"/>
      <c r="BQ359" s="65"/>
      <c r="BR359" s="65"/>
      <c r="BS359"/>
      <c r="BT359"/>
      <c r="BU359"/>
      <c r="BV359"/>
      <c r="BW359"/>
      <c r="BX359"/>
    </row>
    <row r="360" spans="45:76" x14ac:dyDescent="0.25">
      <c r="AS360" s="65"/>
      <c r="BA360"/>
      <c r="BB360"/>
      <c r="BC360"/>
      <c r="BP360" s="65"/>
      <c r="BQ360" s="65"/>
      <c r="BR360" s="65"/>
      <c r="BS360"/>
      <c r="BT360"/>
      <c r="BU360"/>
      <c r="BV360"/>
      <c r="BW360"/>
      <c r="BX360"/>
    </row>
    <row r="361" spans="45:76" x14ac:dyDescent="0.25">
      <c r="AS361" s="65"/>
      <c r="BA361"/>
      <c r="BB361"/>
      <c r="BC361"/>
      <c r="BP361" s="65"/>
      <c r="BQ361" s="65"/>
      <c r="BR361" s="65"/>
      <c r="BS361"/>
      <c r="BT361"/>
      <c r="BU361"/>
      <c r="BV361"/>
      <c r="BW361"/>
      <c r="BX361"/>
    </row>
    <row r="362" spans="45:76" x14ac:dyDescent="0.25">
      <c r="AS362" s="65"/>
      <c r="BA362"/>
      <c r="BB362"/>
      <c r="BC362"/>
      <c r="BP362" s="65"/>
      <c r="BQ362" s="65"/>
      <c r="BR362" s="65"/>
      <c r="BS362"/>
      <c r="BT362"/>
      <c r="BU362"/>
      <c r="BV362"/>
      <c r="BW362"/>
      <c r="BX362"/>
    </row>
    <row r="363" spans="45:76" x14ac:dyDescent="0.25">
      <c r="AS363" s="65"/>
      <c r="BA363"/>
      <c r="BB363"/>
      <c r="BC363"/>
      <c r="BP363" s="65"/>
      <c r="BQ363" s="65"/>
      <c r="BR363" s="65"/>
      <c r="BS363"/>
      <c r="BT363"/>
      <c r="BU363"/>
      <c r="BV363"/>
      <c r="BW363"/>
      <c r="BX363"/>
    </row>
    <row r="364" spans="45:76" x14ac:dyDescent="0.25">
      <c r="AS364" s="65"/>
      <c r="BA364"/>
      <c r="BB364"/>
      <c r="BC364"/>
      <c r="BP364" s="65"/>
      <c r="BQ364" s="65"/>
      <c r="BR364" s="65"/>
      <c r="BS364"/>
      <c r="BT364"/>
      <c r="BU364"/>
      <c r="BV364"/>
      <c r="BW364"/>
      <c r="BX364"/>
    </row>
    <row r="365" spans="45:76" x14ac:dyDescent="0.25">
      <c r="AS365" s="65"/>
      <c r="BA365"/>
      <c r="BB365"/>
      <c r="BC365"/>
      <c r="BP365" s="65"/>
      <c r="BQ365" s="65"/>
      <c r="BR365" s="65"/>
      <c r="BS365"/>
      <c r="BT365"/>
      <c r="BU365"/>
      <c r="BV365"/>
      <c r="BW365"/>
      <c r="BX365"/>
    </row>
    <row r="366" spans="45:76" x14ac:dyDescent="0.25">
      <c r="AS366" s="65"/>
      <c r="BA366"/>
      <c r="BB366"/>
      <c r="BC366"/>
      <c r="BP366" s="65"/>
      <c r="BQ366" s="65"/>
      <c r="BR366" s="65"/>
      <c r="BS366"/>
      <c r="BT366"/>
      <c r="BU366"/>
      <c r="BV366"/>
      <c r="BW366"/>
      <c r="BX366"/>
    </row>
    <row r="367" spans="45:76" x14ac:dyDescent="0.25">
      <c r="AS367" s="65"/>
      <c r="BA367"/>
      <c r="BB367"/>
      <c r="BC367"/>
      <c r="BP367" s="65"/>
      <c r="BQ367" s="65"/>
      <c r="BR367" s="65"/>
      <c r="BS367"/>
      <c r="BT367"/>
      <c r="BU367"/>
      <c r="BV367"/>
      <c r="BW367"/>
      <c r="BX367"/>
    </row>
    <row r="368" spans="45:76" x14ac:dyDescent="0.25">
      <c r="AS368" s="65"/>
      <c r="BA368"/>
      <c r="BB368"/>
      <c r="BC368"/>
      <c r="BP368" s="65"/>
      <c r="BQ368" s="65"/>
      <c r="BR368" s="65"/>
      <c r="BS368"/>
      <c r="BT368"/>
      <c r="BU368"/>
      <c r="BV368"/>
      <c r="BW368"/>
      <c r="BX368"/>
    </row>
    <row r="369" spans="45:76" x14ac:dyDescent="0.25">
      <c r="AS369" s="65"/>
      <c r="BA369"/>
      <c r="BB369"/>
      <c r="BC369"/>
      <c r="BP369" s="65"/>
      <c r="BQ369" s="65"/>
      <c r="BR369" s="65"/>
      <c r="BS369"/>
      <c r="BT369"/>
      <c r="BU369"/>
      <c r="BV369"/>
      <c r="BW369"/>
      <c r="BX369"/>
    </row>
    <row r="370" spans="45:76" x14ac:dyDescent="0.25">
      <c r="AS370" s="65"/>
      <c r="BA370"/>
      <c r="BB370"/>
      <c r="BC370"/>
      <c r="BP370" s="65"/>
      <c r="BQ370" s="65"/>
      <c r="BR370" s="65"/>
      <c r="BS370"/>
      <c r="BT370"/>
      <c r="BU370"/>
      <c r="BV370"/>
      <c r="BW370"/>
      <c r="BX370"/>
    </row>
    <row r="371" spans="45:76" x14ac:dyDescent="0.25">
      <c r="AS371" s="65"/>
      <c r="BA371"/>
      <c r="BB371"/>
      <c r="BC371"/>
      <c r="BP371" s="65"/>
      <c r="BQ371" s="65"/>
      <c r="BR371" s="65"/>
      <c r="BS371"/>
      <c r="BT371"/>
      <c r="BU371"/>
      <c r="BV371"/>
      <c r="BW371"/>
      <c r="BX371"/>
    </row>
    <row r="372" spans="45:76" x14ac:dyDescent="0.25">
      <c r="AS372" s="65"/>
      <c r="BA372"/>
      <c r="BB372"/>
      <c r="BC372"/>
      <c r="BP372" s="65"/>
      <c r="BQ372" s="65"/>
      <c r="BR372" s="65"/>
      <c r="BS372"/>
      <c r="BT372"/>
      <c r="BU372"/>
      <c r="BV372"/>
      <c r="BW372"/>
      <c r="BX372"/>
    </row>
    <row r="373" spans="45:76" x14ac:dyDescent="0.25">
      <c r="AS373" s="65"/>
      <c r="BA373"/>
      <c r="BB373"/>
      <c r="BC373"/>
      <c r="BP373" s="65"/>
      <c r="BQ373" s="65"/>
      <c r="BR373" s="65"/>
      <c r="BS373"/>
      <c r="BT373"/>
      <c r="BU373"/>
      <c r="BV373"/>
      <c r="BW373"/>
      <c r="BX373"/>
    </row>
    <row r="374" spans="45:76" x14ac:dyDescent="0.25">
      <c r="AS374" s="65"/>
      <c r="BA374"/>
      <c r="BB374"/>
      <c r="BC374"/>
      <c r="BP374" s="65"/>
      <c r="BQ374" s="65"/>
      <c r="BR374" s="65"/>
      <c r="BS374"/>
      <c r="BT374"/>
      <c r="BU374"/>
      <c r="BV374"/>
      <c r="BW374"/>
      <c r="BX374"/>
    </row>
    <row r="375" spans="45:76" x14ac:dyDescent="0.25">
      <c r="AS375" s="65"/>
      <c r="BA375"/>
      <c r="BB375"/>
      <c r="BC375"/>
      <c r="BP375" s="65"/>
      <c r="BQ375" s="65"/>
      <c r="BR375" s="65"/>
      <c r="BS375"/>
      <c r="BT375"/>
      <c r="BU375"/>
      <c r="BV375"/>
      <c r="BW375"/>
      <c r="BX375"/>
    </row>
    <row r="376" spans="45:76" x14ac:dyDescent="0.25">
      <c r="AS376" s="65"/>
      <c r="BA376"/>
      <c r="BB376"/>
      <c r="BC376"/>
      <c r="BP376" s="65"/>
      <c r="BQ376" s="65"/>
      <c r="BR376" s="65"/>
      <c r="BS376"/>
      <c r="BT376"/>
      <c r="BU376"/>
      <c r="BV376"/>
      <c r="BW376"/>
      <c r="BX376"/>
    </row>
    <row r="377" spans="45:76" x14ac:dyDescent="0.25">
      <c r="AS377" s="65"/>
      <c r="BA377"/>
      <c r="BB377"/>
      <c r="BC377"/>
      <c r="BP377" s="65"/>
      <c r="BQ377" s="65"/>
      <c r="BR377" s="65"/>
      <c r="BS377"/>
      <c r="BT377"/>
      <c r="BU377"/>
      <c r="BV377"/>
      <c r="BW377"/>
      <c r="BX377"/>
    </row>
    <row r="378" spans="45:76" x14ac:dyDescent="0.25">
      <c r="AS378" s="65"/>
      <c r="BA378"/>
      <c r="BB378"/>
      <c r="BC378"/>
      <c r="BP378" s="65"/>
      <c r="BQ378" s="65"/>
      <c r="BR378" s="65"/>
      <c r="BS378"/>
      <c r="BT378"/>
      <c r="BU378"/>
      <c r="BV378"/>
      <c r="BW378"/>
      <c r="BX378"/>
    </row>
    <row r="379" spans="45:76" x14ac:dyDescent="0.25">
      <c r="AS379" s="65"/>
      <c r="BA379"/>
      <c r="BB379"/>
      <c r="BC379"/>
      <c r="BP379" s="65"/>
      <c r="BQ379" s="65"/>
      <c r="BR379" s="65"/>
      <c r="BS379"/>
      <c r="BT379"/>
      <c r="BU379"/>
      <c r="BV379"/>
      <c r="BW379"/>
      <c r="BX379"/>
    </row>
    <row r="380" spans="45:76" x14ac:dyDescent="0.25">
      <c r="AS380" s="65"/>
      <c r="BA380"/>
      <c r="BB380"/>
      <c r="BC380"/>
      <c r="BP380" s="65"/>
      <c r="BQ380" s="65"/>
      <c r="BR380" s="65"/>
      <c r="BS380"/>
      <c r="BT380"/>
      <c r="BU380"/>
      <c r="BV380"/>
      <c r="BW380"/>
      <c r="BX380"/>
    </row>
    <row r="381" spans="45:76" x14ac:dyDescent="0.25">
      <c r="AS381" s="65"/>
      <c r="BA381"/>
      <c r="BB381"/>
      <c r="BC381"/>
      <c r="BP381" s="65"/>
      <c r="BQ381" s="65"/>
      <c r="BR381" s="65"/>
      <c r="BS381"/>
      <c r="BT381"/>
      <c r="BU381"/>
      <c r="BV381"/>
      <c r="BW381"/>
      <c r="BX381"/>
    </row>
    <row r="382" spans="45:76" x14ac:dyDescent="0.25">
      <c r="AS382" s="65"/>
      <c r="BA382"/>
      <c r="BB382"/>
      <c r="BC382"/>
      <c r="BP382" s="65"/>
      <c r="BQ382" s="65"/>
      <c r="BR382" s="65"/>
      <c r="BS382"/>
      <c r="BT382"/>
      <c r="BU382"/>
      <c r="BV382"/>
      <c r="BW382"/>
      <c r="BX382"/>
    </row>
    <row r="383" spans="45:76" x14ac:dyDescent="0.25">
      <c r="AS383" s="65"/>
      <c r="BA383"/>
      <c r="BB383"/>
      <c r="BC383"/>
      <c r="BP383" s="65"/>
      <c r="BQ383" s="65"/>
      <c r="BR383" s="65"/>
      <c r="BS383"/>
      <c r="BT383"/>
      <c r="BU383"/>
      <c r="BV383"/>
      <c r="BW383"/>
      <c r="BX383"/>
    </row>
    <row r="384" spans="45:76" x14ac:dyDescent="0.25">
      <c r="AS384" s="65"/>
      <c r="BA384"/>
      <c r="BB384"/>
      <c r="BC384"/>
      <c r="BP384" s="65"/>
      <c r="BQ384" s="65"/>
      <c r="BR384" s="65"/>
      <c r="BS384"/>
      <c r="BT384"/>
      <c r="BU384"/>
      <c r="BV384"/>
      <c r="BW384"/>
      <c r="BX384"/>
    </row>
    <row r="385" spans="45:76" x14ac:dyDescent="0.25">
      <c r="AS385" s="65"/>
      <c r="BA385"/>
      <c r="BB385"/>
      <c r="BC385"/>
      <c r="BP385" s="65"/>
      <c r="BQ385" s="65"/>
      <c r="BR385" s="65"/>
      <c r="BS385"/>
      <c r="BT385"/>
      <c r="BU385"/>
      <c r="BV385"/>
      <c r="BW385"/>
      <c r="BX385"/>
    </row>
    <row r="386" spans="45:76" x14ac:dyDescent="0.25">
      <c r="AS386" s="65"/>
      <c r="BA386"/>
      <c r="BB386"/>
      <c r="BC386"/>
      <c r="BP386" s="65"/>
      <c r="BQ386" s="65"/>
      <c r="BR386" s="65"/>
      <c r="BS386"/>
      <c r="BT386"/>
      <c r="BU386"/>
      <c r="BV386"/>
      <c r="BW386"/>
      <c r="BX386"/>
    </row>
    <row r="387" spans="45:76" x14ac:dyDescent="0.25">
      <c r="AS387" s="65"/>
      <c r="BA387"/>
      <c r="BB387"/>
      <c r="BC387"/>
      <c r="BP387" s="65"/>
      <c r="BQ387" s="65"/>
      <c r="BR387" s="65"/>
      <c r="BS387"/>
      <c r="BT387"/>
      <c r="BU387"/>
      <c r="BV387"/>
      <c r="BW387"/>
      <c r="BX387"/>
    </row>
    <row r="388" spans="45:76" x14ac:dyDescent="0.25">
      <c r="AS388" s="65"/>
      <c r="BA388"/>
      <c r="BB388"/>
      <c r="BC388"/>
      <c r="BP388" s="65"/>
      <c r="BQ388" s="65"/>
      <c r="BR388" s="65"/>
      <c r="BS388"/>
      <c r="BT388"/>
      <c r="BU388"/>
      <c r="BV388"/>
      <c r="BW388"/>
      <c r="BX388"/>
    </row>
    <row r="389" spans="45:76" x14ac:dyDescent="0.25">
      <c r="AS389" s="65"/>
      <c r="BA389"/>
      <c r="BB389"/>
      <c r="BC389"/>
      <c r="BP389" s="65"/>
      <c r="BQ389" s="65"/>
      <c r="BR389" s="65"/>
      <c r="BS389"/>
      <c r="BT389"/>
      <c r="BU389"/>
      <c r="BV389"/>
      <c r="BW389"/>
      <c r="BX389"/>
    </row>
    <row r="390" spans="45:76" x14ac:dyDescent="0.25">
      <c r="AS390" s="65"/>
      <c r="BA390"/>
      <c r="BB390"/>
      <c r="BC390"/>
      <c r="BP390" s="65"/>
      <c r="BQ390" s="65"/>
      <c r="BR390" s="65"/>
      <c r="BS390"/>
      <c r="BT390"/>
      <c r="BU390"/>
      <c r="BV390"/>
      <c r="BW390"/>
      <c r="BX390"/>
    </row>
    <row r="391" spans="45:76" x14ac:dyDescent="0.25">
      <c r="AS391" s="65"/>
      <c r="BA391"/>
      <c r="BB391"/>
      <c r="BC391"/>
      <c r="BP391" s="65"/>
      <c r="BQ391" s="65"/>
      <c r="BR391" s="65"/>
      <c r="BS391"/>
      <c r="BT391"/>
      <c r="BU391"/>
      <c r="BV391"/>
      <c r="BW391"/>
      <c r="BX391"/>
    </row>
    <row r="392" spans="45:76" x14ac:dyDescent="0.25">
      <c r="AS392" s="65"/>
      <c r="BA392"/>
      <c r="BB392"/>
      <c r="BC392"/>
      <c r="BP392" s="65"/>
      <c r="BQ392" s="65"/>
      <c r="BR392" s="65"/>
      <c r="BS392"/>
      <c r="BT392"/>
      <c r="BU392"/>
      <c r="BV392"/>
      <c r="BW392"/>
      <c r="BX392"/>
    </row>
    <row r="393" spans="45:76" x14ac:dyDescent="0.25">
      <c r="AS393" s="65"/>
      <c r="BA393"/>
      <c r="BB393"/>
      <c r="BC393"/>
      <c r="BP393" s="65"/>
      <c r="BQ393" s="65"/>
      <c r="BR393" s="65"/>
      <c r="BS393"/>
      <c r="BT393"/>
      <c r="BU393"/>
      <c r="BV393"/>
      <c r="BW393"/>
      <c r="BX393"/>
    </row>
    <row r="394" spans="45:76" x14ac:dyDescent="0.25">
      <c r="AS394" s="65"/>
      <c r="BA394"/>
      <c r="BB394"/>
      <c r="BC394"/>
      <c r="BP394" s="65"/>
      <c r="BQ394" s="65"/>
      <c r="BR394" s="65"/>
      <c r="BS394"/>
      <c r="BT394"/>
      <c r="BU394"/>
      <c r="BV394"/>
      <c r="BW394"/>
      <c r="BX394"/>
    </row>
    <row r="395" spans="45:76" x14ac:dyDescent="0.25">
      <c r="AS395" s="65"/>
      <c r="BA395"/>
      <c r="BB395"/>
      <c r="BC395"/>
      <c r="BP395" s="65"/>
      <c r="BQ395" s="65"/>
      <c r="BR395" s="65"/>
      <c r="BS395"/>
      <c r="BT395"/>
      <c r="BU395"/>
      <c r="BV395"/>
      <c r="BW395"/>
      <c r="BX395"/>
    </row>
    <row r="396" spans="45:76" x14ac:dyDescent="0.25">
      <c r="AS396" s="65"/>
      <c r="BA396"/>
      <c r="BB396"/>
      <c r="BC396"/>
      <c r="BP396" s="65"/>
      <c r="BQ396" s="65"/>
      <c r="BR396" s="65"/>
      <c r="BS396"/>
      <c r="BT396"/>
      <c r="BU396"/>
      <c r="BV396"/>
      <c r="BW396"/>
      <c r="BX396"/>
    </row>
    <row r="397" spans="45:76" x14ac:dyDescent="0.25">
      <c r="AS397" s="65"/>
      <c r="BA397"/>
      <c r="BB397"/>
      <c r="BC397"/>
      <c r="BP397" s="65"/>
      <c r="BQ397" s="65"/>
      <c r="BR397" s="65"/>
      <c r="BS397"/>
      <c r="BT397"/>
      <c r="BU397"/>
      <c r="BV397"/>
      <c r="BW397"/>
      <c r="BX397"/>
    </row>
    <row r="398" spans="45:76" x14ac:dyDescent="0.25">
      <c r="AS398" s="65"/>
      <c r="BA398"/>
      <c r="BB398"/>
      <c r="BC398"/>
      <c r="BP398" s="65"/>
      <c r="BQ398" s="65"/>
      <c r="BR398" s="65"/>
      <c r="BS398"/>
      <c r="BT398"/>
      <c r="BU398"/>
      <c r="BV398"/>
      <c r="BW398"/>
      <c r="BX398"/>
    </row>
    <row r="399" spans="45:76" x14ac:dyDescent="0.25">
      <c r="AS399" s="65"/>
      <c r="BA399"/>
      <c r="BB399"/>
      <c r="BC399"/>
      <c r="BP399" s="65"/>
      <c r="BQ399" s="65"/>
      <c r="BR399" s="65"/>
      <c r="BS399"/>
      <c r="BT399"/>
      <c r="BU399"/>
      <c r="BV399"/>
      <c r="BW399"/>
      <c r="BX399"/>
    </row>
    <row r="400" spans="45:76" x14ac:dyDescent="0.25">
      <c r="AS400" s="65"/>
      <c r="BA400"/>
      <c r="BB400"/>
      <c r="BC400"/>
      <c r="BP400" s="65"/>
      <c r="BQ400" s="65"/>
      <c r="BR400" s="65"/>
      <c r="BS400"/>
      <c r="BT400"/>
      <c r="BU400"/>
      <c r="BV400"/>
      <c r="BW400"/>
      <c r="BX400"/>
    </row>
    <row r="401" spans="45:76" x14ac:dyDescent="0.25">
      <c r="AS401" s="65"/>
      <c r="BA401"/>
      <c r="BB401"/>
      <c r="BC401"/>
      <c r="BP401" s="65"/>
      <c r="BQ401" s="65"/>
      <c r="BR401" s="65"/>
      <c r="BS401"/>
      <c r="BT401"/>
      <c r="BU401"/>
      <c r="BV401"/>
      <c r="BW401"/>
      <c r="BX401"/>
    </row>
    <row r="402" spans="45:76" x14ac:dyDescent="0.25">
      <c r="AS402" s="65"/>
      <c r="BA402"/>
      <c r="BB402"/>
      <c r="BC402"/>
      <c r="BP402" s="65"/>
      <c r="BQ402" s="65"/>
      <c r="BR402" s="65"/>
      <c r="BS402"/>
      <c r="BT402"/>
      <c r="BU402"/>
      <c r="BV402"/>
      <c r="BW402"/>
      <c r="BX402"/>
    </row>
    <row r="403" spans="45:76" x14ac:dyDescent="0.25">
      <c r="AS403" s="65"/>
      <c r="BA403"/>
      <c r="BB403"/>
      <c r="BC403"/>
      <c r="BP403" s="65"/>
      <c r="BQ403" s="65"/>
      <c r="BR403" s="65"/>
      <c r="BS403"/>
      <c r="BT403"/>
      <c r="BU403"/>
      <c r="BV403"/>
      <c r="BW403"/>
      <c r="BX403"/>
    </row>
    <row r="404" spans="45:76" x14ac:dyDescent="0.25">
      <c r="AS404" s="65"/>
      <c r="BA404"/>
      <c r="BB404"/>
      <c r="BC404"/>
      <c r="BP404" s="65"/>
      <c r="BQ404" s="65"/>
      <c r="BR404" s="65"/>
      <c r="BS404"/>
      <c r="BT404"/>
      <c r="BU404"/>
      <c r="BV404"/>
      <c r="BW404"/>
      <c r="BX404"/>
    </row>
    <row r="405" spans="45:76" x14ac:dyDescent="0.25">
      <c r="AS405" s="65"/>
      <c r="BA405"/>
      <c r="BB405"/>
      <c r="BC405"/>
      <c r="BP405" s="65"/>
      <c r="BQ405" s="65"/>
      <c r="BR405" s="65"/>
      <c r="BS405"/>
      <c r="BT405"/>
      <c r="BU405"/>
      <c r="BV405"/>
      <c r="BW405"/>
      <c r="BX405"/>
    </row>
    <row r="406" spans="45:76" x14ac:dyDescent="0.25">
      <c r="AS406" s="65"/>
      <c r="BA406"/>
      <c r="BB406"/>
      <c r="BC406"/>
      <c r="BP406" s="65"/>
      <c r="BQ406" s="65"/>
      <c r="BR406" s="65"/>
      <c r="BS406"/>
      <c r="BT406"/>
      <c r="BU406"/>
      <c r="BV406"/>
      <c r="BW406"/>
      <c r="BX406"/>
    </row>
    <row r="407" spans="45:76" x14ac:dyDescent="0.25">
      <c r="AS407" s="65"/>
      <c r="BA407"/>
      <c r="BB407"/>
      <c r="BC407"/>
      <c r="BP407" s="65"/>
      <c r="BQ407" s="65"/>
      <c r="BR407" s="65"/>
      <c r="BS407"/>
      <c r="BT407"/>
      <c r="BU407"/>
      <c r="BV407"/>
      <c r="BW407"/>
      <c r="BX407"/>
    </row>
    <row r="408" spans="45:76" x14ac:dyDescent="0.25">
      <c r="AS408" s="65"/>
      <c r="BA408"/>
      <c r="BB408"/>
      <c r="BC408"/>
      <c r="BP408" s="65"/>
      <c r="BQ408" s="65"/>
      <c r="BR408" s="65"/>
      <c r="BS408"/>
      <c r="BT408"/>
      <c r="BU408"/>
      <c r="BV408"/>
      <c r="BW408"/>
      <c r="BX408"/>
    </row>
    <row r="409" spans="45:76" x14ac:dyDescent="0.25">
      <c r="AS409" s="65"/>
      <c r="BA409"/>
      <c r="BB409"/>
      <c r="BC409"/>
      <c r="BP409" s="65"/>
      <c r="BQ409" s="65"/>
      <c r="BR409" s="65"/>
      <c r="BS409"/>
      <c r="BT409"/>
      <c r="BU409"/>
      <c r="BV409"/>
      <c r="BW409"/>
      <c r="BX409"/>
    </row>
    <row r="410" spans="45:76" x14ac:dyDescent="0.25">
      <c r="AS410" s="65"/>
      <c r="BA410"/>
      <c r="BB410"/>
      <c r="BC410"/>
      <c r="BP410" s="65"/>
      <c r="BQ410" s="65"/>
      <c r="BR410" s="65"/>
      <c r="BS410"/>
      <c r="BT410"/>
      <c r="BU410"/>
      <c r="BV410"/>
      <c r="BW410"/>
      <c r="BX410"/>
    </row>
    <row r="411" spans="45:76" x14ac:dyDescent="0.25">
      <c r="AS411" s="65"/>
      <c r="BA411"/>
      <c r="BB411"/>
      <c r="BC411"/>
      <c r="BP411" s="65"/>
      <c r="BQ411" s="65"/>
      <c r="BR411" s="65"/>
      <c r="BS411"/>
      <c r="BT411"/>
      <c r="BU411"/>
      <c r="BV411"/>
      <c r="BW411"/>
      <c r="BX411"/>
    </row>
    <row r="412" spans="45:76" x14ac:dyDescent="0.25">
      <c r="AS412" s="65"/>
      <c r="BA412"/>
      <c r="BB412"/>
      <c r="BC412"/>
      <c r="BP412" s="65"/>
      <c r="BQ412" s="65"/>
      <c r="BR412" s="65"/>
      <c r="BS412"/>
      <c r="BT412"/>
      <c r="BU412"/>
      <c r="BV412"/>
      <c r="BW412"/>
      <c r="BX412"/>
    </row>
    <row r="413" spans="45:76" x14ac:dyDescent="0.25">
      <c r="AS413" s="65"/>
      <c r="BA413"/>
      <c r="BB413"/>
      <c r="BC413"/>
      <c r="BP413" s="65"/>
      <c r="BQ413" s="65"/>
      <c r="BR413" s="65"/>
      <c r="BS413"/>
      <c r="BT413"/>
      <c r="BU413"/>
      <c r="BV413"/>
      <c r="BW413"/>
      <c r="BX413"/>
    </row>
    <row r="414" spans="45:76" x14ac:dyDescent="0.25">
      <c r="AS414" s="65"/>
      <c r="BA414"/>
      <c r="BB414"/>
      <c r="BC414"/>
      <c r="BP414" s="65"/>
      <c r="BQ414" s="65"/>
      <c r="BR414" s="65"/>
      <c r="BS414"/>
      <c r="BT414"/>
      <c r="BU414"/>
      <c r="BV414"/>
      <c r="BW414"/>
      <c r="BX414"/>
    </row>
    <row r="415" spans="45:76" x14ac:dyDescent="0.25">
      <c r="AS415" s="65"/>
      <c r="BA415"/>
      <c r="BB415"/>
      <c r="BC415"/>
      <c r="BP415" s="65"/>
      <c r="BQ415" s="65"/>
      <c r="BR415" s="65"/>
      <c r="BS415"/>
      <c r="BT415"/>
      <c r="BU415"/>
      <c r="BV415"/>
      <c r="BW415"/>
      <c r="BX415"/>
    </row>
    <row r="416" spans="45:76" x14ac:dyDescent="0.25">
      <c r="AS416" s="65"/>
      <c r="BA416"/>
      <c r="BB416"/>
      <c r="BC416"/>
      <c r="BP416" s="65"/>
      <c r="BQ416" s="65"/>
      <c r="BR416" s="65"/>
      <c r="BS416"/>
      <c r="BT416"/>
      <c r="BU416"/>
      <c r="BV416"/>
      <c r="BW416"/>
      <c r="BX416"/>
    </row>
    <row r="417" spans="45:76" x14ac:dyDescent="0.25">
      <c r="AS417" s="65"/>
      <c r="BA417"/>
      <c r="BB417"/>
      <c r="BC417"/>
      <c r="BP417" s="65"/>
      <c r="BQ417" s="65"/>
      <c r="BR417" s="65"/>
      <c r="BS417"/>
      <c r="BT417"/>
      <c r="BU417"/>
      <c r="BV417"/>
      <c r="BW417"/>
      <c r="BX417"/>
    </row>
    <row r="418" spans="45:76" x14ac:dyDescent="0.25">
      <c r="AS418" s="65"/>
      <c r="BA418"/>
      <c r="BB418"/>
      <c r="BC418"/>
      <c r="BP418" s="65"/>
      <c r="BQ418" s="65"/>
      <c r="BR418" s="65"/>
      <c r="BS418"/>
      <c r="BT418"/>
      <c r="BU418"/>
      <c r="BV418"/>
      <c r="BW418"/>
      <c r="BX418"/>
    </row>
    <row r="419" spans="45:76" x14ac:dyDescent="0.25">
      <c r="AS419" s="65"/>
      <c r="BA419"/>
      <c r="BB419"/>
      <c r="BC419"/>
      <c r="BP419" s="65"/>
      <c r="BQ419" s="65"/>
      <c r="BR419" s="65"/>
      <c r="BS419"/>
      <c r="BT419"/>
      <c r="BU419"/>
      <c r="BV419"/>
      <c r="BW419"/>
      <c r="BX419"/>
    </row>
    <row r="420" spans="45:76" x14ac:dyDescent="0.25">
      <c r="AS420" s="65"/>
      <c r="BA420"/>
      <c r="BB420"/>
      <c r="BC420"/>
      <c r="BP420" s="65"/>
      <c r="BQ420" s="65"/>
      <c r="BR420" s="65"/>
      <c r="BS420"/>
      <c r="BT420"/>
      <c r="BU420"/>
      <c r="BV420"/>
      <c r="BW420"/>
      <c r="BX420"/>
    </row>
    <row r="421" spans="45:76" x14ac:dyDescent="0.25">
      <c r="AS421" s="65"/>
      <c r="BA421"/>
      <c r="BB421"/>
      <c r="BC421"/>
      <c r="BP421" s="65"/>
      <c r="BQ421" s="65"/>
      <c r="BR421" s="65"/>
      <c r="BS421"/>
      <c r="BT421"/>
      <c r="BU421"/>
      <c r="BV421"/>
      <c r="BW421"/>
      <c r="BX421"/>
    </row>
    <row r="422" spans="45:76" x14ac:dyDescent="0.25">
      <c r="AS422" s="65"/>
      <c r="BA422"/>
      <c r="BB422"/>
      <c r="BC422"/>
      <c r="BP422" s="65"/>
      <c r="BQ422" s="65"/>
      <c r="BR422" s="65"/>
      <c r="BS422"/>
      <c r="BT422"/>
      <c r="BU422"/>
      <c r="BV422"/>
      <c r="BW422"/>
      <c r="BX422"/>
    </row>
    <row r="423" spans="45:76" x14ac:dyDescent="0.25">
      <c r="AS423" s="65"/>
      <c r="BA423"/>
      <c r="BB423"/>
      <c r="BC423"/>
      <c r="BP423" s="65"/>
      <c r="BQ423" s="65"/>
      <c r="BR423" s="65"/>
      <c r="BS423"/>
      <c r="BT423"/>
      <c r="BU423"/>
      <c r="BV423"/>
      <c r="BW423"/>
      <c r="BX423"/>
    </row>
    <row r="424" spans="45:76" x14ac:dyDescent="0.25">
      <c r="AS424" s="65"/>
      <c r="BA424"/>
      <c r="BB424"/>
      <c r="BC424"/>
      <c r="BP424" s="65"/>
      <c r="BQ424" s="65"/>
      <c r="BR424" s="65"/>
      <c r="BS424"/>
      <c r="BT424"/>
      <c r="BU424"/>
      <c r="BV424"/>
      <c r="BW424"/>
      <c r="BX424"/>
    </row>
    <row r="425" spans="45:76" x14ac:dyDescent="0.25">
      <c r="AS425" s="65"/>
      <c r="BA425"/>
      <c r="BB425"/>
      <c r="BC425"/>
      <c r="BP425" s="65"/>
      <c r="BQ425" s="65"/>
      <c r="BR425" s="65"/>
      <c r="BS425"/>
      <c r="BT425"/>
      <c r="BU425"/>
      <c r="BV425"/>
      <c r="BW425"/>
      <c r="BX425"/>
    </row>
    <row r="426" spans="45:76" x14ac:dyDescent="0.25">
      <c r="AS426" s="65"/>
      <c r="BA426"/>
      <c r="BB426"/>
      <c r="BC426"/>
      <c r="BP426" s="65"/>
      <c r="BQ426" s="65"/>
      <c r="BR426" s="65"/>
      <c r="BS426"/>
      <c r="BT426"/>
      <c r="BU426"/>
      <c r="BV426"/>
      <c r="BW426"/>
      <c r="BX426"/>
    </row>
    <row r="427" spans="45:76" x14ac:dyDescent="0.25">
      <c r="AS427" s="65"/>
      <c r="BA427"/>
      <c r="BB427"/>
      <c r="BC427"/>
      <c r="BP427" s="65"/>
      <c r="BQ427" s="65"/>
      <c r="BR427" s="65"/>
      <c r="BS427"/>
      <c r="BT427"/>
      <c r="BU427"/>
      <c r="BV427"/>
      <c r="BW427"/>
      <c r="BX427"/>
    </row>
    <row r="428" spans="45:76" x14ac:dyDescent="0.25">
      <c r="AS428" s="65"/>
      <c r="BA428"/>
      <c r="BB428"/>
      <c r="BC428"/>
      <c r="BP428" s="65"/>
      <c r="BQ428" s="65"/>
      <c r="BR428" s="65"/>
      <c r="BS428"/>
      <c r="BT428"/>
      <c r="BU428"/>
      <c r="BV428"/>
      <c r="BW428"/>
      <c r="BX428"/>
    </row>
    <row r="429" spans="45:76" x14ac:dyDescent="0.25">
      <c r="AS429" s="65"/>
      <c r="BA429"/>
      <c r="BB429"/>
      <c r="BC429"/>
      <c r="BP429" s="65"/>
      <c r="BQ429" s="65"/>
      <c r="BR429" s="65"/>
      <c r="BS429"/>
      <c r="BT429"/>
      <c r="BU429"/>
      <c r="BV429"/>
      <c r="BW429"/>
      <c r="BX429"/>
    </row>
    <row r="430" spans="45:76" x14ac:dyDescent="0.25">
      <c r="AS430" s="65"/>
      <c r="BA430"/>
      <c r="BB430"/>
      <c r="BC430"/>
      <c r="BP430" s="65"/>
      <c r="BQ430" s="65"/>
      <c r="BR430" s="65"/>
      <c r="BS430"/>
      <c r="BT430"/>
      <c r="BU430"/>
      <c r="BV430"/>
      <c r="BW430"/>
      <c r="BX430"/>
    </row>
    <row r="431" spans="45:76" x14ac:dyDescent="0.25">
      <c r="AS431" s="65"/>
      <c r="BA431"/>
      <c r="BB431"/>
      <c r="BC431"/>
      <c r="BP431" s="65"/>
      <c r="BQ431" s="65"/>
      <c r="BR431" s="65"/>
      <c r="BS431"/>
      <c r="BT431"/>
      <c r="BU431"/>
      <c r="BV431"/>
      <c r="BW431"/>
      <c r="BX431"/>
    </row>
    <row r="432" spans="45:76" x14ac:dyDescent="0.25">
      <c r="AS432" s="65"/>
      <c r="BA432"/>
      <c r="BB432"/>
      <c r="BC432"/>
      <c r="BP432" s="65"/>
      <c r="BQ432" s="65"/>
      <c r="BR432" s="65"/>
      <c r="BS432"/>
      <c r="BT432"/>
      <c r="BU432"/>
      <c r="BV432"/>
      <c r="BW432"/>
      <c r="BX432"/>
    </row>
    <row r="433" spans="45:76" x14ac:dyDescent="0.25">
      <c r="AS433" s="65"/>
      <c r="BA433"/>
      <c r="BB433"/>
      <c r="BC433"/>
      <c r="BP433" s="65"/>
      <c r="BQ433" s="65"/>
      <c r="BR433" s="65"/>
      <c r="BS433"/>
      <c r="BT433"/>
      <c r="BU433"/>
      <c r="BV433"/>
      <c r="BW433"/>
      <c r="BX433"/>
    </row>
    <row r="434" spans="45:76" x14ac:dyDescent="0.25">
      <c r="AS434" s="65"/>
      <c r="BA434"/>
      <c r="BB434"/>
      <c r="BC434"/>
      <c r="BP434" s="65"/>
      <c r="BQ434" s="65"/>
      <c r="BR434" s="65"/>
      <c r="BS434"/>
      <c r="BT434"/>
      <c r="BU434"/>
      <c r="BV434"/>
      <c r="BW434"/>
      <c r="BX434"/>
    </row>
    <row r="435" spans="45:76" x14ac:dyDescent="0.25">
      <c r="AS435" s="65"/>
      <c r="BA435"/>
      <c r="BB435"/>
      <c r="BC435"/>
      <c r="BP435" s="65"/>
      <c r="BQ435" s="65"/>
      <c r="BR435" s="65"/>
      <c r="BS435"/>
      <c r="BT435"/>
      <c r="BU435"/>
      <c r="BV435"/>
      <c r="BW435"/>
      <c r="BX435"/>
    </row>
    <row r="436" spans="45:76" x14ac:dyDescent="0.25">
      <c r="AS436" s="65"/>
      <c r="BA436"/>
      <c r="BB436"/>
      <c r="BC436"/>
      <c r="BP436" s="65"/>
      <c r="BQ436" s="65"/>
      <c r="BR436" s="65"/>
      <c r="BS436"/>
      <c r="BT436"/>
      <c r="BU436"/>
      <c r="BV436"/>
      <c r="BW436"/>
      <c r="BX436"/>
    </row>
    <row r="437" spans="45:76" x14ac:dyDescent="0.25">
      <c r="AS437" s="65"/>
      <c r="BA437"/>
      <c r="BB437"/>
      <c r="BC437"/>
      <c r="BP437" s="65"/>
      <c r="BQ437" s="65"/>
      <c r="BR437" s="65"/>
      <c r="BS437"/>
      <c r="BT437"/>
      <c r="BU437"/>
      <c r="BV437"/>
      <c r="BW437"/>
      <c r="BX437"/>
    </row>
    <row r="438" spans="45:76" x14ac:dyDescent="0.25">
      <c r="AS438" s="65"/>
      <c r="BA438"/>
      <c r="BB438"/>
      <c r="BC438"/>
      <c r="BP438" s="65"/>
      <c r="BQ438" s="65"/>
      <c r="BR438" s="65"/>
      <c r="BS438"/>
      <c r="BT438"/>
      <c r="BU438"/>
      <c r="BV438"/>
      <c r="BW438"/>
      <c r="BX438"/>
    </row>
    <row r="439" spans="45:76" x14ac:dyDescent="0.25">
      <c r="AS439" s="65"/>
      <c r="BA439"/>
      <c r="BB439"/>
      <c r="BC439"/>
      <c r="BP439" s="65"/>
      <c r="BQ439" s="65"/>
      <c r="BR439" s="65"/>
      <c r="BS439"/>
      <c r="BT439"/>
      <c r="BU439"/>
      <c r="BV439"/>
      <c r="BW439"/>
      <c r="BX439"/>
    </row>
    <row r="440" spans="45:76" x14ac:dyDescent="0.25">
      <c r="AS440" s="65"/>
      <c r="BA440"/>
      <c r="BB440"/>
      <c r="BC440"/>
      <c r="BP440" s="65"/>
      <c r="BQ440" s="65"/>
      <c r="BR440" s="65"/>
      <c r="BS440"/>
      <c r="BT440"/>
      <c r="BU440"/>
      <c r="BV440"/>
      <c r="BW440"/>
      <c r="BX440"/>
    </row>
    <row r="441" spans="45:76" x14ac:dyDescent="0.25">
      <c r="AS441" s="65"/>
      <c r="BA441"/>
      <c r="BB441"/>
      <c r="BC441"/>
      <c r="BP441" s="65"/>
      <c r="BQ441" s="65"/>
      <c r="BR441" s="65"/>
      <c r="BS441"/>
      <c r="BT441"/>
      <c r="BU441"/>
      <c r="BV441"/>
      <c r="BW441"/>
      <c r="BX441"/>
    </row>
    <row r="442" spans="45:76" x14ac:dyDescent="0.25">
      <c r="AS442" s="65"/>
      <c r="BA442"/>
      <c r="BB442"/>
      <c r="BC442"/>
      <c r="BP442" s="65"/>
      <c r="BQ442" s="65"/>
      <c r="BR442" s="65"/>
      <c r="BS442"/>
      <c r="BT442"/>
      <c r="BU442"/>
      <c r="BV442"/>
      <c r="BW442"/>
      <c r="BX442"/>
    </row>
    <row r="443" spans="45:76" x14ac:dyDescent="0.25">
      <c r="AS443" s="65"/>
      <c r="BA443"/>
      <c r="BB443"/>
      <c r="BC443"/>
      <c r="BP443" s="65"/>
      <c r="BQ443" s="65"/>
      <c r="BR443" s="65"/>
      <c r="BS443"/>
      <c r="BT443"/>
      <c r="BU443"/>
      <c r="BV443"/>
      <c r="BW443"/>
      <c r="BX443"/>
    </row>
    <row r="444" spans="45:76" x14ac:dyDescent="0.25">
      <c r="AS444" s="65"/>
      <c r="BA444"/>
      <c r="BB444"/>
      <c r="BC444"/>
      <c r="BP444" s="65"/>
      <c r="BQ444" s="65"/>
      <c r="BR444" s="65"/>
      <c r="BS444"/>
      <c r="BT444"/>
      <c r="BU444"/>
      <c r="BV444"/>
      <c r="BW444"/>
      <c r="BX444"/>
    </row>
    <row r="445" spans="45:76" x14ac:dyDescent="0.25">
      <c r="AS445" s="65"/>
      <c r="BA445"/>
      <c r="BB445"/>
      <c r="BC445"/>
      <c r="BP445" s="65"/>
      <c r="BQ445" s="65"/>
      <c r="BR445" s="65"/>
      <c r="BS445"/>
      <c r="BT445"/>
      <c r="BU445"/>
      <c r="BV445"/>
      <c r="BW445"/>
      <c r="BX445"/>
    </row>
    <row r="446" spans="45:76" x14ac:dyDescent="0.25">
      <c r="AS446" s="65"/>
      <c r="BA446"/>
      <c r="BB446"/>
      <c r="BC446"/>
      <c r="BP446" s="65"/>
      <c r="BQ446" s="65"/>
      <c r="BR446" s="65"/>
      <c r="BS446"/>
      <c r="BT446"/>
      <c r="BU446"/>
      <c r="BV446"/>
      <c r="BW446"/>
      <c r="BX446"/>
    </row>
    <row r="447" spans="45:76" x14ac:dyDescent="0.25">
      <c r="AS447" s="65"/>
      <c r="BA447"/>
      <c r="BB447"/>
      <c r="BC447"/>
      <c r="BP447" s="65"/>
      <c r="BQ447" s="65"/>
      <c r="BR447" s="65"/>
      <c r="BS447"/>
      <c r="BT447"/>
      <c r="BU447"/>
      <c r="BV447"/>
      <c r="BW447"/>
      <c r="BX447"/>
    </row>
    <row r="448" spans="45:76" x14ac:dyDescent="0.25">
      <c r="AS448" s="65"/>
      <c r="BA448"/>
      <c r="BB448"/>
      <c r="BC448"/>
      <c r="BP448" s="65"/>
      <c r="BQ448" s="65"/>
      <c r="BR448" s="65"/>
      <c r="BS448"/>
      <c r="BT448"/>
      <c r="BU448"/>
      <c r="BV448"/>
      <c r="BW448"/>
      <c r="BX448"/>
    </row>
    <row r="449" spans="45:76" x14ac:dyDescent="0.25">
      <c r="AS449" s="65"/>
      <c r="BA449"/>
      <c r="BB449"/>
      <c r="BC449"/>
      <c r="BP449" s="65"/>
      <c r="BQ449" s="65"/>
      <c r="BR449" s="65"/>
      <c r="BS449"/>
      <c r="BT449"/>
      <c r="BU449"/>
      <c r="BV449"/>
      <c r="BW449"/>
      <c r="BX449"/>
    </row>
    <row r="450" spans="45:76" x14ac:dyDescent="0.25">
      <c r="AS450" s="65"/>
      <c r="BA450"/>
      <c r="BB450"/>
      <c r="BC450"/>
      <c r="BP450" s="65"/>
      <c r="BQ450" s="65"/>
      <c r="BR450" s="65"/>
      <c r="BS450"/>
      <c r="BT450"/>
      <c r="BU450"/>
      <c r="BV450"/>
      <c r="BW450"/>
      <c r="BX450"/>
    </row>
    <row r="451" spans="45:76" x14ac:dyDescent="0.25">
      <c r="AS451" s="65"/>
      <c r="BA451"/>
      <c r="BB451"/>
      <c r="BC451"/>
      <c r="BP451" s="65"/>
      <c r="BQ451" s="65"/>
      <c r="BR451" s="65"/>
      <c r="BS451"/>
      <c r="BT451"/>
      <c r="BU451"/>
      <c r="BV451"/>
      <c r="BW451"/>
      <c r="BX451"/>
    </row>
    <row r="452" spans="45:76" x14ac:dyDescent="0.25">
      <c r="AS452" s="65"/>
      <c r="BA452"/>
      <c r="BB452"/>
      <c r="BC452"/>
      <c r="BP452" s="65"/>
      <c r="BQ452" s="65"/>
      <c r="BR452" s="65"/>
      <c r="BS452"/>
      <c r="BT452"/>
      <c r="BU452"/>
      <c r="BV452"/>
      <c r="BW452"/>
      <c r="BX452"/>
    </row>
    <row r="453" spans="45:76" x14ac:dyDescent="0.25">
      <c r="AS453" s="65"/>
      <c r="BA453"/>
      <c r="BB453"/>
      <c r="BC453"/>
      <c r="BP453" s="65"/>
      <c r="BQ453" s="65"/>
      <c r="BR453" s="65"/>
      <c r="BS453"/>
      <c r="BT453"/>
      <c r="BU453"/>
      <c r="BV453"/>
      <c r="BW453"/>
      <c r="BX453"/>
    </row>
    <row r="454" spans="45:76" x14ac:dyDescent="0.25">
      <c r="AS454" s="65"/>
      <c r="BA454"/>
      <c r="BB454"/>
      <c r="BC454"/>
      <c r="BP454" s="65"/>
      <c r="BQ454" s="65"/>
      <c r="BR454" s="65"/>
      <c r="BS454"/>
      <c r="BT454"/>
      <c r="BU454"/>
      <c r="BV454"/>
      <c r="BW454"/>
      <c r="BX454"/>
    </row>
    <row r="455" spans="45:76" x14ac:dyDescent="0.25">
      <c r="AS455" s="65"/>
      <c r="BA455"/>
      <c r="BB455"/>
      <c r="BC455"/>
      <c r="BP455" s="65"/>
      <c r="BQ455" s="65"/>
      <c r="BR455" s="65"/>
      <c r="BS455"/>
      <c r="BT455"/>
      <c r="BU455"/>
      <c r="BV455"/>
      <c r="BW455"/>
      <c r="BX455"/>
    </row>
    <row r="456" spans="45:76" x14ac:dyDescent="0.25">
      <c r="AS456" s="65"/>
      <c r="BA456"/>
      <c r="BB456"/>
      <c r="BC456"/>
      <c r="BP456" s="65"/>
      <c r="BQ456" s="65"/>
      <c r="BR456" s="65"/>
      <c r="BS456"/>
      <c r="BT456"/>
      <c r="BU456"/>
      <c r="BV456"/>
      <c r="BW456"/>
      <c r="BX456"/>
    </row>
    <row r="457" spans="45:76" x14ac:dyDescent="0.25">
      <c r="AS457" s="65"/>
      <c r="BA457"/>
      <c r="BB457"/>
      <c r="BC457"/>
      <c r="BP457" s="65"/>
      <c r="BQ457" s="65"/>
      <c r="BR457" s="65"/>
      <c r="BS457"/>
      <c r="BT457"/>
      <c r="BU457"/>
      <c r="BV457"/>
      <c r="BW457"/>
      <c r="BX457"/>
    </row>
    <row r="458" spans="45:76" x14ac:dyDescent="0.25">
      <c r="AS458" s="65"/>
      <c r="BA458"/>
      <c r="BB458"/>
      <c r="BC458"/>
      <c r="BP458" s="65"/>
      <c r="BQ458" s="65"/>
      <c r="BR458" s="65"/>
      <c r="BS458"/>
      <c r="BT458"/>
      <c r="BU458"/>
      <c r="BV458"/>
      <c r="BW458"/>
      <c r="BX458"/>
    </row>
    <row r="459" spans="45:76" x14ac:dyDescent="0.25">
      <c r="AS459" s="65"/>
      <c r="BA459"/>
      <c r="BB459"/>
      <c r="BC459"/>
      <c r="BP459" s="65"/>
      <c r="BQ459" s="65"/>
      <c r="BR459" s="65"/>
      <c r="BS459"/>
      <c r="BT459"/>
      <c r="BU459"/>
      <c r="BV459"/>
      <c r="BW459"/>
      <c r="BX459"/>
    </row>
    <row r="460" spans="45:76" x14ac:dyDescent="0.25">
      <c r="AS460" s="65"/>
      <c r="BA460"/>
      <c r="BB460"/>
      <c r="BC460"/>
      <c r="BP460" s="65"/>
      <c r="BQ460" s="65"/>
      <c r="BR460" s="65"/>
      <c r="BS460"/>
      <c r="BT460"/>
      <c r="BU460"/>
      <c r="BV460"/>
      <c r="BW460"/>
      <c r="BX460"/>
    </row>
    <row r="461" spans="45:76" x14ac:dyDescent="0.25">
      <c r="AS461" s="65"/>
      <c r="BA461"/>
      <c r="BB461"/>
      <c r="BC461"/>
      <c r="BP461" s="65"/>
      <c r="BQ461" s="65"/>
      <c r="BR461" s="65"/>
      <c r="BS461"/>
      <c r="BT461"/>
      <c r="BU461"/>
      <c r="BV461"/>
      <c r="BW461"/>
      <c r="BX461"/>
    </row>
    <row r="462" spans="45:76" x14ac:dyDescent="0.25">
      <c r="AS462" s="65"/>
      <c r="BA462"/>
      <c r="BB462"/>
      <c r="BC462"/>
      <c r="BP462" s="65"/>
      <c r="BQ462" s="65"/>
      <c r="BR462" s="65"/>
      <c r="BS462"/>
      <c r="BT462"/>
      <c r="BU462"/>
      <c r="BV462"/>
      <c r="BW462"/>
      <c r="BX462"/>
    </row>
    <row r="463" spans="45:76" x14ac:dyDescent="0.25">
      <c r="AS463" s="65"/>
      <c r="BA463"/>
      <c r="BB463"/>
      <c r="BC463"/>
      <c r="BP463" s="65"/>
      <c r="BQ463" s="65"/>
      <c r="BR463" s="65"/>
      <c r="BS463"/>
      <c r="BT463"/>
      <c r="BU463"/>
      <c r="BV463"/>
      <c r="BW463"/>
      <c r="BX463"/>
    </row>
    <row r="464" spans="45:76" x14ac:dyDescent="0.25">
      <c r="AS464" s="65"/>
      <c r="BA464"/>
      <c r="BB464"/>
      <c r="BC464"/>
      <c r="BP464" s="65"/>
      <c r="BQ464" s="65"/>
      <c r="BR464" s="65"/>
      <c r="BS464"/>
      <c r="BT464"/>
      <c r="BU464"/>
      <c r="BV464"/>
      <c r="BW464"/>
      <c r="BX464"/>
    </row>
    <row r="465" spans="45:76" x14ac:dyDescent="0.25">
      <c r="AS465" s="65"/>
      <c r="BA465"/>
      <c r="BB465"/>
      <c r="BC465"/>
      <c r="BP465" s="65"/>
      <c r="BQ465" s="65"/>
      <c r="BR465" s="65"/>
      <c r="BS465"/>
      <c r="BT465"/>
      <c r="BU465"/>
      <c r="BV465"/>
      <c r="BW465"/>
      <c r="BX465"/>
    </row>
    <row r="466" spans="45:76" x14ac:dyDescent="0.25">
      <c r="AS466" s="65"/>
      <c r="BA466"/>
      <c r="BB466"/>
      <c r="BC466"/>
      <c r="BP466" s="65"/>
      <c r="BQ466" s="65"/>
      <c r="BR466" s="65"/>
      <c r="BS466"/>
      <c r="BT466"/>
      <c r="BU466"/>
      <c r="BV466"/>
      <c r="BW466"/>
      <c r="BX466"/>
    </row>
    <row r="467" spans="45:76" x14ac:dyDescent="0.25">
      <c r="AS467" s="65"/>
      <c r="BA467"/>
      <c r="BB467"/>
      <c r="BC467"/>
      <c r="BP467" s="65"/>
      <c r="BQ467" s="65"/>
      <c r="BR467" s="65"/>
      <c r="BS467"/>
      <c r="BT467"/>
      <c r="BU467"/>
      <c r="BV467"/>
      <c r="BW467"/>
      <c r="BX467"/>
    </row>
    <row r="468" spans="45:76" x14ac:dyDescent="0.25">
      <c r="AS468" s="65"/>
      <c r="BA468"/>
      <c r="BB468"/>
      <c r="BC468"/>
      <c r="BP468" s="65"/>
      <c r="BQ468" s="65"/>
      <c r="BR468" s="65"/>
      <c r="BS468"/>
      <c r="BT468"/>
      <c r="BU468"/>
      <c r="BV468"/>
      <c r="BW468"/>
      <c r="BX468"/>
    </row>
    <row r="469" spans="45:76" x14ac:dyDescent="0.25">
      <c r="AS469" s="65"/>
      <c r="BA469"/>
      <c r="BB469"/>
      <c r="BC469"/>
      <c r="BP469" s="65"/>
      <c r="BQ469" s="65"/>
      <c r="BR469" s="65"/>
      <c r="BS469"/>
      <c r="BT469"/>
      <c r="BU469"/>
      <c r="BV469"/>
      <c r="BW469"/>
      <c r="BX469"/>
    </row>
    <row r="470" spans="45:76" x14ac:dyDescent="0.25">
      <c r="AS470" s="65"/>
      <c r="BA470"/>
      <c r="BB470"/>
      <c r="BC470"/>
      <c r="BP470" s="65"/>
      <c r="BQ470" s="65"/>
      <c r="BR470" s="65"/>
      <c r="BS470"/>
      <c r="BT470"/>
      <c r="BU470"/>
      <c r="BV470"/>
      <c r="BW470"/>
      <c r="BX470"/>
    </row>
    <row r="471" spans="45:76" x14ac:dyDescent="0.25">
      <c r="AS471" s="65"/>
      <c r="BA471"/>
      <c r="BB471"/>
      <c r="BC471"/>
      <c r="BP471" s="65"/>
      <c r="BQ471" s="65"/>
      <c r="BR471" s="65"/>
      <c r="BS471"/>
      <c r="BT471"/>
      <c r="BU471"/>
      <c r="BV471"/>
      <c r="BW471"/>
      <c r="BX471"/>
    </row>
    <row r="472" spans="45:76" x14ac:dyDescent="0.25">
      <c r="AS472" s="65"/>
      <c r="BA472"/>
      <c r="BB472"/>
      <c r="BC472"/>
      <c r="BP472" s="65"/>
      <c r="BQ472" s="65"/>
      <c r="BR472" s="65"/>
      <c r="BS472"/>
      <c r="BT472"/>
      <c r="BU472"/>
      <c r="BV472"/>
      <c r="BW472"/>
      <c r="BX472"/>
    </row>
    <row r="473" spans="45:76" x14ac:dyDescent="0.25">
      <c r="AS473" s="65"/>
      <c r="BA473"/>
      <c r="BB473"/>
      <c r="BC473"/>
      <c r="BP473" s="65"/>
      <c r="BQ473" s="65"/>
      <c r="BR473" s="65"/>
      <c r="BS473"/>
      <c r="BT473"/>
      <c r="BU473"/>
      <c r="BV473"/>
      <c r="BW473"/>
      <c r="BX473"/>
    </row>
    <row r="474" spans="45:76" x14ac:dyDescent="0.25">
      <c r="AS474" s="65"/>
      <c r="BA474"/>
      <c r="BB474"/>
      <c r="BC474"/>
      <c r="BP474" s="65"/>
      <c r="BQ474" s="65"/>
      <c r="BR474" s="65"/>
      <c r="BS474"/>
      <c r="BT474"/>
      <c r="BU474"/>
      <c r="BV474"/>
      <c r="BW474"/>
      <c r="BX474"/>
    </row>
    <row r="475" spans="45:76" x14ac:dyDescent="0.25">
      <c r="AS475" s="65"/>
      <c r="BA475"/>
      <c r="BB475"/>
      <c r="BC475"/>
      <c r="BP475" s="65"/>
      <c r="BQ475" s="65"/>
      <c r="BR475" s="65"/>
      <c r="BS475"/>
      <c r="BT475"/>
      <c r="BU475"/>
      <c r="BV475"/>
      <c r="BW475"/>
      <c r="BX475"/>
    </row>
    <row r="476" spans="45:76" x14ac:dyDescent="0.25">
      <c r="AS476" s="65"/>
      <c r="BA476"/>
      <c r="BB476"/>
      <c r="BC476"/>
      <c r="BP476" s="65"/>
      <c r="BQ476" s="65"/>
      <c r="BR476" s="65"/>
      <c r="BS476"/>
      <c r="BT476"/>
      <c r="BU476"/>
      <c r="BV476"/>
      <c r="BW476"/>
      <c r="BX476"/>
    </row>
    <row r="477" spans="45:76" x14ac:dyDescent="0.25">
      <c r="AS477" s="65"/>
      <c r="BA477"/>
      <c r="BB477"/>
      <c r="BC477"/>
      <c r="BP477" s="65"/>
      <c r="BQ477" s="65"/>
      <c r="BR477" s="65"/>
      <c r="BS477"/>
      <c r="BT477"/>
      <c r="BU477"/>
      <c r="BV477"/>
      <c r="BW477"/>
      <c r="BX477"/>
    </row>
    <row r="478" spans="45:76" x14ac:dyDescent="0.25">
      <c r="AS478" s="65"/>
      <c r="BA478"/>
      <c r="BB478"/>
      <c r="BC478"/>
      <c r="BP478" s="65"/>
      <c r="BQ478" s="65"/>
      <c r="BR478" s="65"/>
      <c r="BS478"/>
      <c r="BT478"/>
      <c r="BU478"/>
      <c r="BV478"/>
      <c r="BW478"/>
      <c r="BX478"/>
    </row>
    <row r="479" spans="45:76" x14ac:dyDescent="0.25">
      <c r="AS479" s="65"/>
      <c r="BA479"/>
      <c r="BB479"/>
      <c r="BC479"/>
      <c r="BP479" s="65"/>
      <c r="BQ479" s="65"/>
      <c r="BR479" s="65"/>
      <c r="BS479"/>
      <c r="BT479"/>
      <c r="BU479"/>
      <c r="BV479"/>
      <c r="BW479"/>
      <c r="BX479"/>
    </row>
    <row r="480" spans="45:76" x14ac:dyDescent="0.25">
      <c r="AS480" s="65"/>
      <c r="BA480"/>
      <c r="BB480"/>
      <c r="BC480"/>
      <c r="BP480" s="65"/>
      <c r="BQ480" s="65"/>
      <c r="BR480" s="65"/>
      <c r="BS480"/>
      <c r="BT480"/>
      <c r="BU480"/>
      <c r="BV480"/>
      <c r="BW480"/>
      <c r="BX480"/>
    </row>
    <row r="481" spans="45:76" x14ac:dyDescent="0.25">
      <c r="AS481" s="65"/>
      <c r="BA481"/>
      <c r="BB481"/>
      <c r="BC481"/>
      <c r="BP481" s="65"/>
      <c r="BQ481" s="65"/>
      <c r="BR481" s="65"/>
      <c r="BS481"/>
      <c r="BT481"/>
      <c r="BU481"/>
      <c r="BV481"/>
      <c r="BW481"/>
      <c r="BX481"/>
    </row>
    <row r="482" spans="45:76" x14ac:dyDescent="0.25">
      <c r="AS482" s="65"/>
      <c r="BA482"/>
      <c r="BB482"/>
      <c r="BC482"/>
      <c r="BP482" s="65"/>
      <c r="BQ482" s="65"/>
      <c r="BR482" s="65"/>
      <c r="BS482"/>
      <c r="BT482"/>
      <c r="BU482"/>
      <c r="BV482"/>
      <c r="BW482"/>
      <c r="BX482"/>
    </row>
    <row r="483" spans="45:76" x14ac:dyDescent="0.25">
      <c r="AS483" s="65"/>
      <c r="BA483"/>
      <c r="BB483"/>
      <c r="BC483"/>
      <c r="BP483" s="65"/>
      <c r="BQ483" s="65"/>
      <c r="BR483" s="65"/>
      <c r="BS483"/>
      <c r="BT483"/>
      <c r="BU483"/>
      <c r="BV483"/>
      <c r="BW483"/>
      <c r="BX483"/>
    </row>
    <row r="484" spans="45:76" x14ac:dyDescent="0.25">
      <c r="AS484" s="65"/>
      <c r="BA484"/>
      <c r="BB484"/>
      <c r="BC484"/>
      <c r="BP484" s="65"/>
      <c r="BQ484" s="65"/>
      <c r="BR484" s="65"/>
      <c r="BS484"/>
      <c r="BT484"/>
      <c r="BU484"/>
      <c r="BV484"/>
      <c r="BW484"/>
      <c r="BX484"/>
    </row>
    <row r="485" spans="45:76" x14ac:dyDescent="0.25">
      <c r="AS485" s="65"/>
      <c r="BA485"/>
      <c r="BB485"/>
      <c r="BC485"/>
      <c r="BP485" s="65"/>
      <c r="BQ485" s="65"/>
      <c r="BR485" s="65"/>
      <c r="BS485"/>
      <c r="BT485"/>
      <c r="BU485"/>
      <c r="BV485"/>
      <c r="BW485"/>
      <c r="BX485"/>
    </row>
    <row r="486" spans="45:76" x14ac:dyDescent="0.25">
      <c r="AS486" s="65"/>
      <c r="BA486"/>
      <c r="BB486"/>
      <c r="BC486"/>
      <c r="BP486" s="65"/>
      <c r="BQ486" s="65"/>
      <c r="BR486" s="65"/>
      <c r="BS486"/>
      <c r="BT486"/>
      <c r="BU486"/>
      <c r="BV486"/>
      <c r="BW486"/>
      <c r="BX486"/>
    </row>
    <row r="487" spans="45:76" x14ac:dyDescent="0.25">
      <c r="AS487" s="65"/>
      <c r="BA487"/>
      <c r="BB487"/>
      <c r="BC487"/>
      <c r="BP487" s="65"/>
      <c r="BQ487" s="65"/>
      <c r="BR487" s="65"/>
      <c r="BS487"/>
      <c r="BT487"/>
      <c r="BU487"/>
      <c r="BV487"/>
      <c r="BW487"/>
      <c r="BX487"/>
    </row>
    <row r="488" spans="45:76" x14ac:dyDescent="0.25">
      <c r="AS488" s="65"/>
      <c r="BA488"/>
      <c r="BB488"/>
      <c r="BC488"/>
      <c r="BP488" s="65"/>
      <c r="BQ488" s="65"/>
      <c r="BR488" s="65"/>
      <c r="BS488"/>
      <c r="BT488"/>
      <c r="BU488"/>
      <c r="BV488"/>
      <c r="BW488"/>
      <c r="BX488"/>
    </row>
    <row r="489" spans="45:76" x14ac:dyDescent="0.25">
      <c r="AS489" s="65"/>
      <c r="BA489"/>
      <c r="BB489"/>
      <c r="BC489"/>
      <c r="BP489" s="65"/>
      <c r="BQ489" s="65"/>
      <c r="BR489" s="65"/>
      <c r="BS489"/>
      <c r="BT489"/>
      <c r="BU489"/>
      <c r="BV489"/>
      <c r="BW489"/>
      <c r="BX489"/>
    </row>
    <row r="490" spans="45:76" x14ac:dyDescent="0.25">
      <c r="AS490" s="65"/>
      <c r="BA490"/>
      <c r="BB490"/>
      <c r="BC490"/>
      <c r="BP490" s="65"/>
      <c r="BQ490" s="65"/>
      <c r="BR490" s="65"/>
      <c r="BS490"/>
      <c r="BT490"/>
      <c r="BU490"/>
      <c r="BV490"/>
      <c r="BW490"/>
      <c r="BX490"/>
    </row>
    <row r="491" spans="45:76" x14ac:dyDescent="0.25">
      <c r="AS491" s="65"/>
      <c r="BA491"/>
      <c r="BB491"/>
      <c r="BC491"/>
      <c r="BP491" s="65"/>
      <c r="BQ491" s="65"/>
      <c r="BR491" s="65"/>
      <c r="BS491"/>
      <c r="BT491"/>
      <c r="BU491"/>
      <c r="BV491"/>
      <c r="BW491"/>
      <c r="BX491"/>
    </row>
    <row r="492" spans="45:76" x14ac:dyDescent="0.25">
      <c r="AS492" s="65"/>
      <c r="BA492"/>
      <c r="BB492"/>
      <c r="BC492"/>
      <c r="BP492" s="65"/>
      <c r="BQ492" s="65"/>
      <c r="BR492" s="65"/>
      <c r="BS492"/>
      <c r="BT492"/>
      <c r="BU492"/>
      <c r="BV492"/>
      <c r="BW492"/>
      <c r="BX492"/>
    </row>
    <row r="493" spans="45:76" x14ac:dyDescent="0.25">
      <c r="AS493" s="65"/>
      <c r="BA493"/>
      <c r="BB493"/>
      <c r="BC493"/>
      <c r="BP493" s="65"/>
      <c r="BQ493" s="65"/>
      <c r="BR493" s="65"/>
      <c r="BS493"/>
      <c r="BT493"/>
      <c r="BU493"/>
      <c r="BV493"/>
      <c r="BW493"/>
      <c r="BX493"/>
    </row>
    <row r="494" spans="45:76" x14ac:dyDescent="0.25">
      <c r="AS494" s="65"/>
      <c r="BA494"/>
      <c r="BB494"/>
      <c r="BC494"/>
      <c r="BP494" s="65"/>
      <c r="BQ494" s="65"/>
      <c r="BR494" s="65"/>
      <c r="BS494"/>
      <c r="BT494"/>
      <c r="BU494"/>
      <c r="BV494"/>
      <c r="BW494"/>
      <c r="BX494"/>
    </row>
    <row r="495" spans="45:76" x14ac:dyDescent="0.25">
      <c r="AS495" s="65"/>
      <c r="BA495"/>
      <c r="BB495"/>
      <c r="BC495"/>
      <c r="BP495" s="65"/>
      <c r="BQ495" s="65"/>
      <c r="BR495" s="65"/>
      <c r="BS495"/>
      <c r="BT495"/>
      <c r="BU495"/>
      <c r="BV495"/>
      <c r="BW495"/>
      <c r="BX495"/>
    </row>
    <row r="496" spans="45:76" x14ac:dyDescent="0.25">
      <c r="AS496" s="65"/>
      <c r="BA496"/>
      <c r="BB496"/>
      <c r="BC496"/>
      <c r="BP496" s="65"/>
      <c r="BQ496" s="65"/>
      <c r="BR496" s="65"/>
      <c r="BS496"/>
      <c r="BT496"/>
      <c r="BU496"/>
      <c r="BV496"/>
      <c r="BW496"/>
      <c r="BX496"/>
    </row>
    <row r="497" spans="45:76" x14ac:dyDescent="0.25">
      <c r="AS497" s="65"/>
      <c r="BA497"/>
      <c r="BB497"/>
      <c r="BC497"/>
      <c r="BP497" s="65"/>
      <c r="BQ497" s="65"/>
      <c r="BR497" s="65"/>
      <c r="BS497"/>
      <c r="BT497"/>
      <c r="BU497"/>
      <c r="BV497"/>
      <c r="BW497"/>
      <c r="BX497"/>
    </row>
    <row r="498" spans="45:76" x14ac:dyDescent="0.25">
      <c r="AS498" s="65"/>
      <c r="BA498"/>
      <c r="BB498"/>
      <c r="BC498"/>
      <c r="BP498" s="65"/>
      <c r="BQ498" s="65"/>
      <c r="BR498" s="65"/>
      <c r="BS498"/>
      <c r="BT498"/>
      <c r="BU498"/>
      <c r="BV498"/>
      <c r="BW498"/>
      <c r="BX498"/>
    </row>
    <row r="499" spans="45:76" x14ac:dyDescent="0.25">
      <c r="AS499" s="65"/>
      <c r="BA499"/>
      <c r="BB499"/>
      <c r="BC499"/>
      <c r="BP499" s="65"/>
      <c r="BQ499" s="65"/>
      <c r="BR499" s="65"/>
      <c r="BS499"/>
      <c r="BT499"/>
      <c r="BU499"/>
      <c r="BV499"/>
      <c r="BW499"/>
      <c r="BX499"/>
    </row>
    <row r="500" spans="45:76" x14ac:dyDescent="0.25">
      <c r="AS500" s="65"/>
      <c r="BA500"/>
      <c r="BB500"/>
      <c r="BC500"/>
      <c r="BP500" s="65"/>
      <c r="BQ500" s="65"/>
      <c r="BR500" s="65"/>
      <c r="BS500"/>
      <c r="BT500"/>
      <c r="BU500"/>
      <c r="BV500"/>
      <c r="BW500"/>
      <c r="BX500"/>
    </row>
    <row r="501" spans="45:76" x14ac:dyDescent="0.25">
      <c r="AS501" s="65"/>
      <c r="BA501"/>
      <c r="BB501"/>
      <c r="BC501"/>
      <c r="BP501" s="65"/>
      <c r="BQ501" s="65"/>
      <c r="BR501" s="65"/>
      <c r="BS501"/>
      <c r="BT501"/>
      <c r="BU501"/>
      <c r="BV501"/>
      <c r="BW501"/>
      <c r="BX501"/>
    </row>
    <row r="502" spans="45:76" x14ac:dyDescent="0.25">
      <c r="AS502" s="65"/>
      <c r="BA502"/>
      <c r="BB502"/>
      <c r="BC502"/>
      <c r="BP502" s="65"/>
      <c r="BQ502" s="65"/>
      <c r="BR502" s="65"/>
      <c r="BS502"/>
      <c r="BT502"/>
      <c r="BU502"/>
      <c r="BV502"/>
      <c r="BW502"/>
      <c r="BX502"/>
    </row>
    <row r="503" spans="45:76" x14ac:dyDescent="0.25">
      <c r="AS503" s="65"/>
      <c r="BA503"/>
      <c r="BB503"/>
      <c r="BC503"/>
      <c r="BP503" s="65"/>
      <c r="BQ503" s="65"/>
      <c r="BR503" s="65"/>
      <c r="BS503"/>
      <c r="BT503"/>
      <c r="BU503"/>
      <c r="BV503"/>
      <c r="BW503"/>
      <c r="BX503"/>
    </row>
    <row r="504" spans="45:76" x14ac:dyDescent="0.25">
      <c r="AS504" s="65"/>
      <c r="BA504"/>
      <c r="BB504"/>
      <c r="BC504"/>
      <c r="BP504" s="65"/>
      <c r="BQ504" s="65"/>
      <c r="BR504" s="65"/>
      <c r="BS504"/>
      <c r="BT504"/>
      <c r="BU504"/>
      <c r="BV504"/>
      <c r="BW504"/>
      <c r="BX504"/>
    </row>
    <row r="505" spans="45:76" x14ac:dyDescent="0.25">
      <c r="AS505" s="65"/>
      <c r="BA505"/>
      <c r="BB505"/>
      <c r="BC505"/>
      <c r="BP505" s="65"/>
      <c r="BQ505" s="65"/>
      <c r="BR505" s="65"/>
      <c r="BS505"/>
      <c r="BT505"/>
      <c r="BU505"/>
      <c r="BV505"/>
      <c r="BW505"/>
      <c r="BX505"/>
    </row>
    <row r="506" spans="45:76" x14ac:dyDescent="0.25">
      <c r="AS506" s="65"/>
      <c r="BA506"/>
      <c r="BB506"/>
      <c r="BC506"/>
      <c r="BP506" s="65"/>
      <c r="BQ506" s="65"/>
      <c r="BR506" s="65"/>
      <c r="BS506"/>
      <c r="BT506"/>
      <c r="BU506"/>
      <c r="BV506"/>
      <c r="BW506"/>
      <c r="BX506"/>
    </row>
    <row r="507" spans="45:76" x14ac:dyDescent="0.25">
      <c r="AS507" s="65"/>
      <c r="BA507"/>
      <c r="BB507"/>
      <c r="BC507"/>
      <c r="BP507" s="65"/>
      <c r="BQ507" s="65"/>
      <c r="BR507" s="65"/>
      <c r="BS507"/>
      <c r="BT507"/>
      <c r="BU507"/>
      <c r="BV507"/>
      <c r="BW507"/>
      <c r="BX507"/>
    </row>
    <row r="508" spans="45:76" x14ac:dyDescent="0.25">
      <c r="AS508" s="65"/>
      <c r="BA508"/>
      <c r="BB508"/>
      <c r="BC508"/>
      <c r="BP508" s="65"/>
      <c r="BQ508" s="65"/>
      <c r="BR508" s="65"/>
      <c r="BS508"/>
      <c r="BT508"/>
      <c r="BU508"/>
      <c r="BV508"/>
      <c r="BW508"/>
      <c r="BX508"/>
    </row>
    <row r="509" spans="45:76" x14ac:dyDescent="0.25">
      <c r="AS509" s="65"/>
      <c r="BA509"/>
      <c r="BB509"/>
      <c r="BC509"/>
      <c r="BP509" s="65"/>
      <c r="BQ509" s="65"/>
      <c r="BR509" s="65"/>
      <c r="BS509"/>
      <c r="BT509"/>
      <c r="BU509"/>
      <c r="BV509"/>
      <c r="BW509"/>
      <c r="BX509"/>
    </row>
    <row r="510" spans="45:76" x14ac:dyDescent="0.25">
      <c r="AS510" s="65"/>
      <c r="BA510"/>
      <c r="BB510"/>
      <c r="BC510"/>
      <c r="BP510" s="65"/>
      <c r="BQ510" s="65"/>
      <c r="BR510" s="65"/>
      <c r="BS510"/>
      <c r="BT510"/>
      <c r="BU510"/>
      <c r="BV510"/>
      <c r="BW510"/>
      <c r="BX510"/>
    </row>
    <row r="511" spans="45:76" x14ac:dyDescent="0.25">
      <c r="AS511" s="65"/>
      <c r="BA511"/>
      <c r="BB511"/>
      <c r="BC511"/>
      <c r="BP511" s="65"/>
      <c r="BQ511" s="65"/>
      <c r="BR511" s="65"/>
      <c r="BS511"/>
      <c r="BT511"/>
      <c r="BU511"/>
      <c r="BV511"/>
      <c r="BW511"/>
      <c r="BX511"/>
    </row>
    <row r="512" spans="45:76" x14ac:dyDescent="0.25">
      <c r="AS512" s="65"/>
      <c r="BA512"/>
      <c r="BB512"/>
      <c r="BC512"/>
      <c r="BP512" s="65"/>
      <c r="BQ512" s="65"/>
      <c r="BR512" s="65"/>
      <c r="BS512"/>
      <c r="BT512"/>
      <c r="BU512"/>
      <c r="BV512"/>
      <c r="BW512"/>
      <c r="BX512"/>
    </row>
    <row r="513" spans="45:76" x14ac:dyDescent="0.25">
      <c r="AS513" s="65"/>
      <c r="BA513"/>
      <c r="BB513"/>
      <c r="BC513"/>
      <c r="BP513" s="65"/>
      <c r="BQ513" s="65"/>
      <c r="BR513" s="65"/>
      <c r="BS513"/>
      <c r="BT513"/>
      <c r="BU513"/>
      <c r="BV513"/>
      <c r="BW513"/>
      <c r="BX513"/>
    </row>
    <row r="514" spans="45:76" x14ac:dyDescent="0.25">
      <c r="AS514" s="65"/>
      <c r="BA514"/>
      <c r="BB514"/>
      <c r="BC514"/>
      <c r="BP514" s="65"/>
      <c r="BQ514" s="65"/>
      <c r="BR514" s="65"/>
      <c r="BS514"/>
      <c r="BT514"/>
      <c r="BU514"/>
      <c r="BV514"/>
      <c r="BW514"/>
      <c r="BX514"/>
    </row>
    <row r="515" spans="45:76" x14ac:dyDescent="0.25">
      <c r="AS515" s="65"/>
      <c r="BA515"/>
      <c r="BB515"/>
      <c r="BC515"/>
      <c r="BP515" s="65"/>
      <c r="BQ515" s="65"/>
      <c r="BR515" s="65"/>
      <c r="BS515"/>
      <c r="BT515"/>
      <c r="BU515"/>
      <c r="BV515"/>
      <c r="BW515"/>
      <c r="BX515"/>
    </row>
    <row r="516" spans="45:76" x14ac:dyDescent="0.25">
      <c r="AS516" s="65"/>
      <c r="BA516"/>
      <c r="BB516"/>
      <c r="BC516"/>
      <c r="BP516" s="65"/>
      <c r="BQ516" s="65"/>
      <c r="BR516" s="65"/>
      <c r="BS516"/>
      <c r="BT516"/>
      <c r="BU516"/>
      <c r="BV516"/>
      <c r="BW516"/>
      <c r="BX516"/>
    </row>
    <row r="517" spans="45:76" x14ac:dyDescent="0.25">
      <c r="AS517" s="65"/>
      <c r="BA517"/>
      <c r="BB517"/>
      <c r="BC517"/>
      <c r="BP517" s="65"/>
      <c r="BQ517" s="65"/>
      <c r="BR517" s="65"/>
      <c r="BS517"/>
      <c r="BT517"/>
      <c r="BU517"/>
      <c r="BV517"/>
      <c r="BW517"/>
      <c r="BX517"/>
    </row>
    <row r="518" spans="45:76" x14ac:dyDescent="0.25">
      <c r="AS518" s="65"/>
      <c r="BA518"/>
      <c r="BB518"/>
      <c r="BC518"/>
      <c r="BP518" s="65"/>
      <c r="BQ518" s="65"/>
      <c r="BR518" s="65"/>
      <c r="BS518"/>
      <c r="BT518"/>
      <c r="BU518"/>
      <c r="BV518"/>
      <c r="BW518"/>
      <c r="BX518"/>
    </row>
    <row r="519" spans="45:76" x14ac:dyDescent="0.25">
      <c r="AS519" s="65"/>
      <c r="BA519"/>
      <c r="BB519"/>
      <c r="BC519"/>
      <c r="BP519" s="65"/>
      <c r="BQ519" s="65"/>
      <c r="BR519" s="65"/>
      <c r="BS519"/>
      <c r="BT519"/>
      <c r="BU519"/>
      <c r="BV519"/>
      <c r="BW519"/>
      <c r="BX519"/>
    </row>
    <row r="520" spans="45:76" x14ac:dyDescent="0.25">
      <c r="AS520" s="65"/>
      <c r="BA520"/>
      <c r="BB520"/>
      <c r="BC520"/>
      <c r="BP520" s="65"/>
      <c r="BQ520" s="65"/>
      <c r="BR520" s="65"/>
      <c r="BS520"/>
      <c r="BT520"/>
      <c r="BU520"/>
      <c r="BV520"/>
      <c r="BW520"/>
      <c r="BX520"/>
    </row>
    <row r="521" spans="45:76" x14ac:dyDescent="0.25">
      <c r="AS521" s="65"/>
      <c r="BA521"/>
      <c r="BB521"/>
      <c r="BC521"/>
      <c r="BP521" s="65"/>
      <c r="BQ521" s="65"/>
      <c r="BR521" s="65"/>
      <c r="BS521"/>
      <c r="BT521"/>
      <c r="BU521"/>
      <c r="BV521"/>
      <c r="BW521"/>
      <c r="BX521"/>
    </row>
    <row r="522" spans="45:76" x14ac:dyDescent="0.25">
      <c r="AS522" s="65"/>
      <c r="BA522"/>
      <c r="BB522"/>
      <c r="BC522"/>
      <c r="BP522" s="65"/>
      <c r="BQ522" s="65"/>
      <c r="BR522" s="65"/>
      <c r="BS522"/>
      <c r="BT522"/>
      <c r="BU522"/>
      <c r="BV522"/>
      <c r="BW522"/>
      <c r="BX522"/>
    </row>
    <row r="523" spans="45:76" x14ac:dyDescent="0.25">
      <c r="AS523" s="65"/>
      <c r="BA523"/>
      <c r="BB523"/>
      <c r="BC523"/>
      <c r="BP523" s="65"/>
      <c r="BQ523" s="65"/>
      <c r="BR523" s="65"/>
      <c r="BS523"/>
      <c r="BT523"/>
      <c r="BU523"/>
      <c r="BV523"/>
      <c r="BW523"/>
      <c r="BX523"/>
    </row>
    <row r="524" spans="45:76" x14ac:dyDescent="0.25">
      <c r="AS524" s="65"/>
      <c r="BA524"/>
      <c r="BB524"/>
      <c r="BC524"/>
      <c r="BP524" s="65"/>
      <c r="BQ524" s="65"/>
      <c r="BR524" s="65"/>
      <c r="BS524"/>
      <c r="BT524"/>
      <c r="BU524"/>
      <c r="BV524"/>
      <c r="BW524"/>
      <c r="BX524"/>
    </row>
    <row r="525" spans="45:76" x14ac:dyDescent="0.25">
      <c r="AS525" s="65"/>
      <c r="BA525"/>
      <c r="BB525"/>
      <c r="BC525"/>
      <c r="BP525" s="65"/>
      <c r="BQ525" s="65"/>
      <c r="BR525" s="65"/>
      <c r="BS525"/>
      <c r="BT525"/>
      <c r="BU525"/>
      <c r="BV525"/>
      <c r="BW525"/>
      <c r="BX525"/>
    </row>
    <row r="526" spans="45:76" x14ac:dyDescent="0.25">
      <c r="AS526" s="65"/>
      <c r="BA526"/>
      <c r="BB526"/>
      <c r="BC526"/>
      <c r="BP526" s="65"/>
      <c r="BQ526" s="65"/>
      <c r="BR526" s="65"/>
      <c r="BS526"/>
      <c r="BT526"/>
      <c r="BU526"/>
      <c r="BV526"/>
      <c r="BW526"/>
      <c r="BX526"/>
    </row>
    <row r="527" spans="45:76" x14ac:dyDescent="0.25">
      <c r="AS527" s="65"/>
      <c r="BA527"/>
      <c r="BB527"/>
      <c r="BC527"/>
      <c r="BP527" s="65"/>
      <c r="BQ527" s="65"/>
      <c r="BR527" s="65"/>
      <c r="BS527"/>
      <c r="BT527"/>
      <c r="BU527"/>
      <c r="BV527"/>
      <c r="BW527"/>
      <c r="BX527"/>
    </row>
    <row r="528" spans="45:76" x14ac:dyDescent="0.25">
      <c r="AS528" s="65"/>
      <c r="BA528"/>
      <c r="BB528"/>
      <c r="BC528"/>
      <c r="BP528" s="65"/>
      <c r="BQ528" s="65"/>
      <c r="BR528" s="65"/>
      <c r="BS528"/>
      <c r="BT528"/>
      <c r="BU528"/>
      <c r="BV528"/>
      <c r="BW528"/>
      <c r="BX528"/>
    </row>
    <row r="529" spans="45:76" x14ac:dyDescent="0.25">
      <c r="AS529" s="65"/>
      <c r="BA529"/>
      <c r="BB529"/>
      <c r="BC529"/>
      <c r="BP529" s="65"/>
      <c r="BQ529" s="65"/>
      <c r="BR529" s="65"/>
      <c r="BS529"/>
      <c r="BT529"/>
      <c r="BU529"/>
      <c r="BV529"/>
      <c r="BW529"/>
      <c r="BX529"/>
    </row>
    <row r="530" spans="45:76" x14ac:dyDescent="0.25">
      <c r="AS530" s="65"/>
      <c r="BA530"/>
      <c r="BB530"/>
      <c r="BC530"/>
      <c r="BP530" s="65"/>
      <c r="BQ530" s="65"/>
      <c r="BR530" s="65"/>
      <c r="BS530"/>
      <c r="BT530"/>
      <c r="BU530"/>
      <c r="BV530"/>
      <c r="BW530"/>
      <c r="BX530"/>
    </row>
    <row r="531" spans="45:76" x14ac:dyDescent="0.25">
      <c r="AS531" s="65"/>
      <c r="BA531"/>
      <c r="BB531"/>
      <c r="BC531"/>
      <c r="BP531" s="65"/>
      <c r="BQ531" s="65"/>
      <c r="BR531" s="65"/>
      <c r="BS531"/>
      <c r="BT531"/>
      <c r="BU531"/>
      <c r="BV531"/>
      <c r="BW531"/>
      <c r="BX531"/>
    </row>
    <row r="532" spans="45:76" x14ac:dyDescent="0.25">
      <c r="AS532" s="65"/>
      <c r="BA532"/>
      <c r="BB532"/>
      <c r="BC532"/>
      <c r="BP532" s="65"/>
      <c r="BQ532" s="65"/>
      <c r="BR532" s="65"/>
      <c r="BS532"/>
      <c r="BT532"/>
      <c r="BU532"/>
      <c r="BV532"/>
      <c r="BW532"/>
      <c r="BX532"/>
    </row>
    <row r="533" spans="45:76" x14ac:dyDescent="0.25">
      <c r="AS533" s="65"/>
      <c r="BA533"/>
      <c r="BB533"/>
      <c r="BC533"/>
      <c r="BP533" s="65"/>
      <c r="BQ533" s="65"/>
      <c r="BR533" s="65"/>
      <c r="BS533"/>
      <c r="BT533"/>
      <c r="BU533"/>
      <c r="BV533"/>
      <c r="BW533"/>
      <c r="BX533"/>
    </row>
    <row r="534" spans="45:76" x14ac:dyDescent="0.25">
      <c r="AS534" s="65"/>
      <c r="BA534"/>
      <c r="BB534"/>
      <c r="BC534"/>
      <c r="BP534" s="65"/>
      <c r="BQ534" s="65"/>
      <c r="BR534" s="65"/>
      <c r="BS534"/>
      <c r="BT534"/>
      <c r="BU534"/>
      <c r="BV534"/>
      <c r="BW534"/>
      <c r="BX534"/>
    </row>
    <row r="535" spans="45:76" x14ac:dyDescent="0.25">
      <c r="AS535" s="65"/>
      <c r="BA535"/>
      <c r="BB535"/>
      <c r="BC535"/>
      <c r="BP535" s="65"/>
      <c r="BQ535" s="65"/>
      <c r="BR535" s="65"/>
      <c r="BS535"/>
      <c r="BT535"/>
      <c r="BU535"/>
      <c r="BV535"/>
      <c r="BW535"/>
      <c r="BX535"/>
    </row>
    <row r="536" spans="45:76" x14ac:dyDescent="0.25">
      <c r="AS536" s="65"/>
      <c r="BA536"/>
      <c r="BB536"/>
      <c r="BC536"/>
      <c r="BP536" s="65"/>
      <c r="BQ536" s="65"/>
      <c r="BR536" s="65"/>
      <c r="BS536"/>
      <c r="BT536"/>
      <c r="BU536"/>
      <c r="BV536"/>
      <c r="BW536"/>
      <c r="BX536"/>
    </row>
    <row r="537" spans="45:76" x14ac:dyDescent="0.25">
      <c r="AS537" s="65"/>
      <c r="BA537"/>
      <c r="BB537"/>
      <c r="BC537"/>
      <c r="BP537" s="65"/>
      <c r="BQ537" s="65"/>
      <c r="BR537" s="65"/>
      <c r="BS537"/>
      <c r="BT537"/>
      <c r="BU537"/>
      <c r="BV537"/>
      <c r="BW537"/>
      <c r="BX537"/>
    </row>
    <row r="538" spans="45:76" x14ac:dyDescent="0.25">
      <c r="AS538" s="65"/>
      <c r="BA538"/>
      <c r="BB538"/>
      <c r="BC538"/>
      <c r="BP538" s="65"/>
      <c r="BQ538" s="65"/>
      <c r="BR538" s="65"/>
      <c r="BS538"/>
      <c r="BT538"/>
      <c r="BU538"/>
      <c r="BV538"/>
      <c r="BW538"/>
      <c r="BX538"/>
    </row>
    <row r="539" spans="45:76" x14ac:dyDescent="0.25">
      <c r="AS539" s="65"/>
      <c r="BA539"/>
      <c r="BB539"/>
      <c r="BC539"/>
      <c r="BP539" s="65"/>
      <c r="BQ539" s="65"/>
      <c r="BR539" s="65"/>
      <c r="BS539"/>
      <c r="BT539"/>
      <c r="BU539"/>
      <c r="BV539"/>
      <c r="BW539"/>
      <c r="BX539"/>
    </row>
    <row r="540" spans="45:76" x14ac:dyDescent="0.25">
      <c r="AS540" s="65"/>
      <c r="BA540"/>
      <c r="BB540"/>
      <c r="BC540"/>
      <c r="BP540" s="65"/>
      <c r="BQ540" s="65"/>
      <c r="BR540" s="65"/>
      <c r="BS540"/>
      <c r="BT540"/>
      <c r="BU540"/>
      <c r="BV540"/>
      <c r="BW540"/>
      <c r="BX540"/>
    </row>
    <row r="541" spans="45:76" x14ac:dyDescent="0.25">
      <c r="AS541" s="65"/>
      <c r="BA541"/>
      <c r="BB541"/>
      <c r="BC541"/>
      <c r="BP541" s="65"/>
      <c r="BQ541" s="65"/>
      <c r="BR541" s="65"/>
      <c r="BS541"/>
      <c r="BT541"/>
      <c r="BU541"/>
      <c r="BV541"/>
      <c r="BW541"/>
      <c r="BX541"/>
    </row>
    <row r="542" spans="45:76" x14ac:dyDescent="0.25">
      <c r="AS542" s="65"/>
      <c r="BA542"/>
      <c r="BB542"/>
      <c r="BC542"/>
      <c r="BP542" s="65"/>
      <c r="BQ542" s="65"/>
      <c r="BR542" s="65"/>
      <c r="BS542"/>
      <c r="BT542"/>
      <c r="BU542"/>
      <c r="BV542"/>
      <c r="BW542"/>
      <c r="BX542"/>
    </row>
    <row r="543" spans="45:76" x14ac:dyDescent="0.25">
      <c r="AS543" s="65"/>
      <c r="BA543"/>
      <c r="BB543"/>
      <c r="BC543"/>
      <c r="BP543" s="65"/>
      <c r="BQ543" s="65"/>
      <c r="BR543" s="65"/>
      <c r="BS543"/>
      <c r="BT543"/>
      <c r="BU543"/>
      <c r="BV543"/>
      <c r="BW543"/>
      <c r="BX543"/>
    </row>
    <row r="544" spans="45:76" x14ac:dyDescent="0.25">
      <c r="AS544" s="65"/>
      <c r="BA544"/>
      <c r="BB544"/>
      <c r="BC544"/>
      <c r="BP544" s="65"/>
      <c r="BQ544" s="65"/>
      <c r="BR544" s="65"/>
      <c r="BS544"/>
      <c r="BT544"/>
      <c r="BU544"/>
      <c r="BV544"/>
      <c r="BW544"/>
      <c r="BX544"/>
    </row>
    <row r="545" spans="45:76" x14ac:dyDescent="0.25">
      <c r="AS545" s="65"/>
      <c r="BA545"/>
      <c r="BB545"/>
      <c r="BC545"/>
      <c r="BP545" s="65"/>
      <c r="BQ545" s="65"/>
      <c r="BR545" s="65"/>
      <c r="BS545"/>
      <c r="BT545"/>
      <c r="BU545"/>
      <c r="BV545"/>
      <c r="BW545"/>
      <c r="BX545"/>
    </row>
    <row r="546" spans="45:76" x14ac:dyDescent="0.25">
      <c r="AS546" s="65"/>
      <c r="BA546"/>
      <c r="BB546"/>
      <c r="BC546"/>
      <c r="BP546" s="65"/>
      <c r="BQ546" s="65"/>
      <c r="BR546" s="65"/>
      <c r="BS546"/>
      <c r="BT546"/>
      <c r="BU546"/>
      <c r="BV546"/>
      <c r="BW546"/>
      <c r="BX546"/>
    </row>
    <row r="547" spans="45:76" x14ac:dyDescent="0.25">
      <c r="AS547" s="65"/>
      <c r="BA547"/>
      <c r="BB547"/>
      <c r="BC547"/>
      <c r="BP547" s="65"/>
      <c r="BQ547" s="65"/>
      <c r="BR547" s="65"/>
      <c r="BS547"/>
      <c r="BT547"/>
      <c r="BU547"/>
      <c r="BV547"/>
      <c r="BW547"/>
      <c r="BX547"/>
    </row>
    <row r="548" spans="45:76" x14ac:dyDescent="0.25">
      <c r="AS548" s="65"/>
      <c r="BA548"/>
      <c r="BB548"/>
      <c r="BC548"/>
      <c r="BP548" s="65"/>
      <c r="BQ548" s="65"/>
      <c r="BR548" s="65"/>
      <c r="BS548"/>
      <c r="BT548"/>
      <c r="BU548"/>
      <c r="BV548"/>
      <c r="BW548"/>
      <c r="BX548"/>
    </row>
    <row r="549" spans="45:76" x14ac:dyDescent="0.25">
      <c r="AS549" s="65"/>
      <c r="BA549"/>
      <c r="BB549"/>
      <c r="BC549"/>
      <c r="BP549" s="65"/>
      <c r="BQ549" s="65"/>
      <c r="BR549" s="65"/>
      <c r="BS549"/>
      <c r="BT549"/>
      <c r="BU549"/>
      <c r="BV549"/>
      <c r="BW549"/>
      <c r="BX549"/>
    </row>
    <row r="550" spans="45:76" x14ac:dyDescent="0.25">
      <c r="AS550" s="65"/>
      <c r="BA550"/>
      <c r="BB550"/>
      <c r="BC550"/>
      <c r="BP550" s="65"/>
      <c r="BQ550" s="65"/>
      <c r="BR550" s="65"/>
      <c r="BS550"/>
      <c r="BT550"/>
      <c r="BU550"/>
      <c r="BV550"/>
      <c r="BW550"/>
      <c r="BX550"/>
    </row>
    <row r="551" spans="45:76" x14ac:dyDescent="0.25">
      <c r="AS551" s="65"/>
      <c r="BA551"/>
      <c r="BB551"/>
      <c r="BC551"/>
      <c r="BP551" s="65"/>
      <c r="BQ551" s="65"/>
      <c r="BR551" s="65"/>
      <c r="BS551"/>
      <c r="BT551"/>
      <c r="BU551"/>
      <c r="BV551"/>
      <c r="BW551"/>
      <c r="BX551"/>
    </row>
    <row r="552" spans="45:76" x14ac:dyDescent="0.25">
      <c r="AS552" s="65"/>
      <c r="BA552"/>
      <c r="BB552"/>
      <c r="BC552"/>
      <c r="BP552" s="65"/>
      <c r="BQ552" s="65"/>
      <c r="BR552" s="65"/>
      <c r="BS552"/>
      <c r="BT552"/>
      <c r="BU552"/>
      <c r="BV552"/>
      <c r="BW552"/>
      <c r="BX552"/>
    </row>
    <row r="553" spans="45:76" x14ac:dyDescent="0.25">
      <c r="AS553" s="65"/>
      <c r="BA553"/>
      <c r="BB553"/>
      <c r="BC553"/>
      <c r="BP553" s="65"/>
      <c r="BQ553" s="65"/>
      <c r="BR553" s="65"/>
      <c r="BS553"/>
      <c r="BT553"/>
      <c r="BU553"/>
      <c r="BV553"/>
      <c r="BW553"/>
      <c r="BX553"/>
    </row>
    <row r="554" spans="45:76" x14ac:dyDescent="0.25">
      <c r="AS554" s="65"/>
      <c r="BA554"/>
      <c r="BB554"/>
      <c r="BC554"/>
      <c r="BP554" s="65"/>
      <c r="BQ554" s="65"/>
      <c r="BR554" s="65"/>
      <c r="BS554"/>
      <c r="BT554"/>
      <c r="BU554"/>
      <c r="BV554"/>
      <c r="BW554"/>
      <c r="BX554"/>
    </row>
    <row r="555" spans="45:76" x14ac:dyDescent="0.25">
      <c r="AS555" s="65"/>
      <c r="BA555"/>
      <c r="BB555"/>
      <c r="BC555"/>
      <c r="BP555" s="65"/>
      <c r="BQ555" s="65"/>
      <c r="BR555" s="65"/>
      <c r="BS555"/>
      <c r="BT555"/>
      <c r="BU555"/>
      <c r="BV555"/>
      <c r="BW555"/>
      <c r="BX555"/>
    </row>
    <row r="556" spans="45:76" x14ac:dyDescent="0.25">
      <c r="AS556" s="65"/>
      <c r="BA556"/>
      <c r="BB556"/>
      <c r="BC556"/>
      <c r="BP556" s="65"/>
      <c r="BQ556" s="65"/>
      <c r="BR556" s="65"/>
      <c r="BS556"/>
      <c r="BT556"/>
      <c r="BU556"/>
      <c r="BV556"/>
      <c r="BW556"/>
      <c r="BX556"/>
    </row>
    <row r="557" spans="45:76" x14ac:dyDescent="0.25">
      <c r="AS557" s="65"/>
      <c r="BA557"/>
      <c r="BB557"/>
      <c r="BC557"/>
      <c r="BP557" s="65"/>
      <c r="BQ557" s="65"/>
      <c r="BR557" s="65"/>
      <c r="BS557"/>
      <c r="BT557"/>
      <c r="BU557"/>
      <c r="BV557"/>
      <c r="BW557"/>
      <c r="BX557"/>
    </row>
    <row r="558" spans="45:76" x14ac:dyDescent="0.25">
      <c r="AS558" s="65"/>
      <c r="BA558"/>
      <c r="BB558"/>
      <c r="BC558"/>
      <c r="BP558" s="65"/>
      <c r="BQ558" s="65"/>
      <c r="BR558" s="65"/>
      <c r="BS558"/>
      <c r="BT558"/>
      <c r="BU558"/>
      <c r="BV558"/>
      <c r="BW558"/>
      <c r="BX558"/>
    </row>
    <row r="559" spans="45:76" x14ac:dyDescent="0.25">
      <c r="AS559" s="65"/>
      <c r="BA559"/>
      <c r="BB559"/>
      <c r="BC559"/>
      <c r="BP559" s="65"/>
      <c r="BQ559" s="65"/>
      <c r="BR559" s="65"/>
      <c r="BS559"/>
      <c r="BT559"/>
      <c r="BU559"/>
      <c r="BV559"/>
      <c r="BW559"/>
      <c r="BX559"/>
    </row>
    <row r="560" spans="45:76" x14ac:dyDescent="0.25">
      <c r="AS560" s="65"/>
      <c r="BA560"/>
      <c r="BB560"/>
      <c r="BC560"/>
      <c r="BP560" s="65"/>
      <c r="BQ560" s="65"/>
      <c r="BR560" s="65"/>
      <c r="BS560"/>
      <c r="BT560"/>
      <c r="BU560"/>
      <c r="BV560"/>
      <c r="BW560"/>
      <c r="BX560"/>
    </row>
    <row r="561" spans="45:76" x14ac:dyDescent="0.25">
      <c r="AS561" s="65"/>
      <c r="BA561"/>
      <c r="BB561"/>
      <c r="BC561"/>
      <c r="BP561" s="65"/>
      <c r="BQ561" s="65"/>
      <c r="BR561" s="65"/>
      <c r="BS561"/>
      <c r="BT561"/>
      <c r="BU561"/>
      <c r="BV561"/>
      <c r="BW561"/>
      <c r="BX561"/>
    </row>
    <row r="562" spans="45:76" x14ac:dyDescent="0.25">
      <c r="AS562" s="65"/>
      <c r="BA562"/>
      <c r="BB562"/>
      <c r="BC562"/>
      <c r="BP562" s="65"/>
      <c r="BQ562" s="65"/>
      <c r="BR562" s="65"/>
      <c r="BS562"/>
      <c r="BT562"/>
      <c r="BU562"/>
      <c r="BV562"/>
      <c r="BW562"/>
      <c r="BX562"/>
    </row>
    <row r="563" spans="45:76" x14ac:dyDescent="0.25">
      <c r="AS563" s="65"/>
      <c r="BA563"/>
      <c r="BB563"/>
      <c r="BC563"/>
      <c r="BP563" s="65"/>
      <c r="BQ563" s="65"/>
      <c r="BR563" s="65"/>
      <c r="BS563"/>
      <c r="BT563"/>
      <c r="BU563"/>
      <c r="BV563"/>
      <c r="BW563"/>
      <c r="BX563"/>
    </row>
    <row r="564" spans="45:76" x14ac:dyDescent="0.25">
      <c r="AS564" s="65"/>
      <c r="BA564"/>
      <c r="BB564"/>
      <c r="BC564"/>
      <c r="BP564" s="65"/>
      <c r="BQ564" s="65"/>
      <c r="BR564" s="65"/>
      <c r="BS564"/>
      <c r="BT564"/>
      <c r="BU564"/>
      <c r="BV564"/>
      <c r="BW564"/>
      <c r="BX564"/>
    </row>
    <row r="565" spans="45:76" x14ac:dyDescent="0.25">
      <c r="AS565" s="65"/>
      <c r="BA565"/>
      <c r="BB565"/>
      <c r="BC565"/>
      <c r="BP565" s="65"/>
      <c r="BQ565" s="65"/>
      <c r="BR565" s="65"/>
      <c r="BS565"/>
      <c r="BT565"/>
      <c r="BU565"/>
      <c r="BV565"/>
      <c r="BW565"/>
      <c r="BX565"/>
    </row>
    <row r="566" spans="45:76" x14ac:dyDescent="0.25">
      <c r="AS566" s="65"/>
      <c r="BA566"/>
      <c r="BB566"/>
      <c r="BC566"/>
      <c r="BP566" s="65"/>
      <c r="BQ566" s="65"/>
      <c r="BR566" s="65"/>
      <c r="BS566"/>
      <c r="BT566"/>
      <c r="BU566"/>
      <c r="BV566"/>
      <c r="BW566"/>
      <c r="BX566"/>
    </row>
    <row r="567" spans="45:76" x14ac:dyDescent="0.25">
      <c r="AS567" s="65"/>
      <c r="BA567"/>
      <c r="BB567"/>
      <c r="BC567"/>
      <c r="BP567" s="65"/>
      <c r="BQ567" s="65"/>
      <c r="BR567" s="65"/>
      <c r="BS567"/>
      <c r="BT567"/>
      <c r="BU567"/>
      <c r="BV567"/>
      <c r="BW567"/>
      <c r="BX567"/>
    </row>
    <row r="568" spans="45:76" x14ac:dyDescent="0.25">
      <c r="AS568" s="65"/>
      <c r="BA568"/>
      <c r="BB568"/>
      <c r="BC568"/>
      <c r="BP568" s="65"/>
      <c r="BQ568" s="65"/>
      <c r="BR568" s="65"/>
      <c r="BS568"/>
      <c r="BT568"/>
      <c r="BU568"/>
      <c r="BV568"/>
      <c r="BW568"/>
      <c r="BX568"/>
    </row>
    <row r="569" spans="45:76" x14ac:dyDescent="0.25">
      <c r="AS569" s="65"/>
      <c r="BA569"/>
      <c r="BB569"/>
      <c r="BC569"/>
      <c r="BP569" s="65"/>
      <c r="BQ569" s="65"/>
      <c r="BR569" s="65"/>
      <c r="BS569"/>
      <c r="BT569"/>
      <c r="BU569"/>
      <c r="BV569"/>
      <c r="BW569"/>
      <c r="BX569"/>
    </row>
    <row r="570" spans="45:76" x14ac:dyDescent="0.25">
      <c r="AS570" s="65"/>
      <c r="BA570"/>
      <c r="BB570"/>
      <c r="BC570"/>
      <c r="BP570" s="65"/>
      <c r="BQ570" s="65"/>
      <c r="BR570" s="65"/>
      <c r="BS570"/>
      <c r="BT570"/>
      <c r="BU570"/>
      <c r="BV570"/>
      <c r="BW570"/>
      <c r="BX570"/>
    </row>
    <row r="571" spans="45:76" x14ac:dyDescent="0.25">
      <c r="AS571" s="65"/>
      <c r="BA571"/>
      <c r="BB571"/>
      <c r="BC571"/>
      <c r="BP571" s="65"/>
      <c r="BQ571" s="65"/>
      <c r="BR571" s="65"/>
      <c r="BS571"/>
      <c r="BT571"/>
      <c r="BU571"/>
      <c r="BV571"/>
      <c r="BW571"/>
      <c r="BX571"/>
    </row>
    <row r="572" spans="45:76" x14ac:dyDescent="0.25">
      <c r="AS572" s="65"/>
      <c r="BA572"/>
      <c r="BB572"/>
      <c r="BC572"/>
      <c r="BP572" s="65"/>
      <c r="BQ572" s="65"/>
      <c r="BR572" s="65"/>
      <c r="BS572"/>
      <c r="BT572"/>
      <c r="BU572"/>
      <c r="BV572"/>
      <c r="BW572"/>
      <c r="BX572"/>
    </row>
    <row r="573" spans="45:76" x14ac:dyDescent="0.25">
      <c r="AS573" s="65"/>
      <c r="BA573"/>
      <c r="BB573"/>
      <c r="BC573"/>
      <c r="BP573" s="65"/>
      <c r="BQ573" s="65"/>
      <c r="BR573" s="65"/>
      <c r="BS573"/>
      <c r="BT573"/>
      <c r="BU573"/>
      <c r="BV573"/>
      <c r="BW573"/>
      <c r="BX573"/>
    </row>
    <row r="574" spans="45:76" x14ac:dyDescent="0.25">
      <c r="AS574" s="65"/>
      <c r="BA574"/>
      <c r="BB574"/>
      <c r="BC574"/>
      <c r="BP574" s="65"/>
      <c r="BQ574" s="65"/>
      <c r="BR574" s="65"/>
      <c r="BS574"/>
      <c r="BT574"/>
      <c r="BU574"/>
      <c r="BV574"/>
      <c r="BW574"/>
      <c r="BX574"/>
    </row>
    <row r="575" spans="45:76" x14ac:dyDescent="0.25">
      <c r="AS575" s="65"/>
      <c r="BA575"/>
      <c r="BB575"/>
      <c r="BC575"/>
      <c r="BP575" s="65"/>
      <c r="BQ575" s="65"/>
      <c r="BR575" s="65"/>
      <c r="BS575"/>
      <c r="BT575"/>
      <c r="BU575"/>
      <c r="BV575"/>
      <c r="BW575"/>
      <c r="BX575"/>
    </row>
    <row r="576" spans="45:76" x14ac:dyDescent="0.25">
      <c r="AS576" s="65"/>
      <c r="BA576"/>
      <c r="BB576"/>
      <c r="BC576"/>
      <c r="BP576" s="65"/>
      <c r="BQ576" s="65"/>
      <c r="BR576" s="65"/>
      <c r="BS576"/>
      <c r="BT576"/>
      <c r="BU576"/>
      <c r="BV576"/>
      <c r="BW576"/>
      <c r="BX576"/>
    </row>
    <row r="577" spans="45:76" x14ac:dyDescent="0.25">
      <c r="AS577" s="65"/>
      <c r="BA577"/>
      <c r="BB577"/>
      <c r="BC577"/>
      <c r="BP577" s="65"/>
      <c r="BQ577" s="65"/>
      <c r="BR577" s="65"/>
      <c r="BS577"/>
      <c r="BT577"/>
      <c r="BU577"/>
      <c r="BV577"/>
      <c r="BW577"/>
      <c r="BX577"/>
    </row>
    <row r="578" spans="45:76" x14ac:dyDescent="0.25">
      <c r="AS578" s="65"/>
      <c r="BA578"/>
      <c r="BB578"/>
      <c r="BC578"/>
      <c r="BP578" s="65"/>
      <c r="BQ578" s="65"/>
      <c r="BR578" s="65"/>
      <c r="BS578"/>
      <c r="BT578"/>
      <c r="BU578"/>
      <c r="BV578"/>
      <c r="BW578"/>
      <c r="BX578"/>
    </row>
    <row r="579" spans="45:76" x14ac:dyDescent="0.25">
      <c r="AS579" s="65"/>
      <c r="BA579"/>
      <c r="BB579"/>
      <c r="BC579"/>
      <c r="BP579" s="65"/>
      <c r="BQ579" s="65"/>
      <c r="BR579" s="65"/>
      <c r="BS579"/>
      <c r="BT579"/>
      <c r="BU579"/>
      <c r="BV579"/>
      <c r="BW579"/>
      <c r="BX579"/>
    </row>
    <row r="580" spans="45:76" x14ac:dyDescent="0.25">
      <c r="AS580" s="65"/>
      <c r="BA580"/>
      <c r="BB580"/>
      <c r="BC580"/>
      <c r="BP580" s="65"/>
      <c r="BQ580" s="65"/>
      <c r="BR580" s="65"/>
      <c r="BS580"/>
      <c r="BT580"/>
      <c r="BU580"/>
      <c r="BV580"/>
      <c r="BW580"/>
      <c r="BX580"/>
    </row>
    <row r="581" spans="45:76" x14ac:dyDescent="0.25">
      <c r="AS581" s="65"/>
      <c r="BA581"/>
      <c r="BB581"/>
      <c r="BC581"/>
      <c r="BP581" s="65"/>
      <c r="BQ581" s="65"/>
      <c r="BR581" s="65"/>
      <c r="BS581"/>
      <c r="BT581"/>
      <c r="BU581"/>
      <c r="BV581"/>
      <c r="BW581"/>
      <c r="BX581"/>
    </row>
    <row r="582" spans="45:76" x14ac:dyDescent="0.25">
      <c r="AS582" s="65"/>
      <c r="BA582"/>
      <c r="BB582"/>
      <c r="BC582"/>
      <c r="BP582" s="65"/>
      <c r="BQ582" s="65"/>
      <c r="BR582" s="65"/>
      <c r="BS582"/>
      <c r="BT582"/>
      <c r="BU582"/>
      <c r="BV582"/>
      <c r="BW582"/>
      <c r="BX582"/>
    </row>
    <row r="583" spans="45:76" x14ac:dyDescent="0.25">
      <c r="AS583" s="65"/>
      <c r="BA583"/>
      <c r="BB583"/>
      <c r="BC583"/>
      <c r="BP583" s="65"/>
      <c r="BQ583" s="65"/>
      <c r="BR583" s="65"/>
      <c r="BS583"/>
      <c r="BT583"/>
      <c r="BU583"/>
      <c r="BV583"/>
      <c r="BW583"/>
      <c r="BX583"/>
    </row>
    <row r="584" spans="45:76" x14ac:dyDescent="0.25">
      <c r="AS584" s="65"/>
      <c r="BA584"/>
      <c r="BB584"/>
      <c r="BC584"/>
      <c r="BP584" s="65"/>
      <c r="BQ584" s="65"/>
      <c r="BR584" s="65"/>
      <c r="BS584"/>
      <c r="BT584"/>
      <c r="BU584"/>
      <c r="BV584"/>
      <c r="BW584"/>
      <c r="BX584"/>
    </row>
    <row r="585" spans="45:76" x14ac:dyDescent="0.25">
      <c r="AS585" s="65"/>
      <c r="BA585"/>
      <c r="BB585"/>
      <c r="BC585"/>
      <c r="BP585" s="65"/>
      <c r="BQ585" s="65"/>
      <c r="BR585" s="65"/>
      <c r="BS585"/>
      <c r="BT585"/>
      <c r="BU585"/>
      <c r="BV585"/>
      <c r="BW585"/>
      <c r="BX585"/>
    </row>
    <row r="586" spans="45:76" x14ac:dyDescent="0.25">
      <c r="AS586" s="65"/>
      <c r="BA586"/>
      <c r="BB586"/>
      <c r="BC586"/>
      <c r="BP586" s="65"/>
      <c r="BQ586" s="65"/>
      <c r="BR586" s="65"/>
      <c r="BS586"/>
      <c r="BT586"/>
      <c r="BU586"/>
      <c r="BV586"/>
      <c r="BW586"/>
      <c r="BX586"/>
    </row>
    <row r="587" spans="45:76" x14ac:dyDescent="0.25">
      <c r="AS587" s="65"/>
      <c r="BA587"/>
      <c r="BB587"/>
      <c r="BC587"/>
      <c r="BP587" s="65"/>
      <c r="BQ587" s="65"/>
      <c r="BR587" s="65"/>
      <c r="BS587"/>
      <c r="BT587"/>
      <c r="BU587"/>
      <c r="BV587"/>
      <c r="BW587"/>
      <c r="BX587"/>
    </row>
    <row r="588" spans="45:76" x14ac:dyDescent="0.25">
      <c r="AS588" s="65"/>
      <c r="BA588"/>
      <c r="BB588"/>
      <c r="BC588"/>
      <c r="BP588" s="65"/>
      <c r="BQ588" s="65"/>
      <c r="BR588" s="65"/>
      <c r="BS588"/>
      <c r="BT588"/>
      <c r="BU588"/>
      <c r="BV588"/>
      <c r="BW588"/>
      <c r="BX588"/>
    </row>
    <row r="589" spans="45:76" x14ac:dyDescent="0.25">
      <c r="AS589" s="65"/>
      <c r="BA589"/>
      <c r="BB589"/>
      <c r="BC589"/>
      <c r="BP589" s="65"/>
      <c r="BQ589" s="65"/>
      <c r="BR589" s="65"/>
      <c r="BS589"/>
      <c r="BT589"/>
      <c r="BU589"/>
      <c r="BV589"/>
      <c r="BW589"/>
      <c r="BX589"/>
    </row>
    <row r="590" spans="45:76" x14ac:dyDescent="0.25">
      <c r="AS590" s="65"/>
      <c r="BA590"/>
      <c r="BB590"/>
      <c r="BC590"/>
      <c r="BP590" s="65"/>
      <c r="BQ590" s="65"/>
      <c r="BR590" s="65"/>
      <c r="BS590"/>
      <c r="BT590"/>
      <c r="BU590"/>
      <c r="BV590"/>
      <c r="BW590"/>
      <c r="BX590"/>
    </row>
    <row r="591" spans="45:76" x14ac:dyDescent="0.25">
      <c r="AS591" s="65"/>
      <c r="BA591"/>
      <c r="BB591"/>
      <c r="BC591"/>
      <c r="BP591" s="65"/>
      <c r="BQ591" s="65"/>
      <c r="BR591" s="65"/>
      <c r="BS591"/>
      <c r="BT591"/>
      <c r="BU591"/>
      <c r="BV591"/>
      <c r="BW591"/>
      <c r="BX591"/>
    </row>
    <row r="592" spans="45:76" x14ac:dyDescent="0.25">
      <c r="AS592" s="65"/>
      <c r="BA592"/>
      <c r="BB592"/>
      <c r="BC592"/>
      <c r="BP592" s="65"/>
      <c r="BQ592" s="65"/>
      <c r="BR592" s="65"/>
      <c r="BS592"/>
      <c r="BT592"/>
      <c r="BU592"/>
      <c r="BV592"/>
      <c r="BW592"/>
      <c r="BX592"/>
    </row>
    <row r="593" spans="45:76" x14ac:dyDescent="0.25">
      <c r="AS593" s="65"/>
      <c r="BA593"/>
      <c r="BB593"/>
      <c r="BC593"/>
      <c r="BP593" s="65"/>
      <c r="BQ593" s="65"/>
      <c r="BR593" s="65"/>
      <c r="BS593"/>
      <c r="BT593"/>
      <c r="BU593"/>
      <c r="BV593"/>
      <c r="BW593"/>
      <c r="BX593"/>
    </row>
    <row r="594" spans="45:76" x14ac:dyDescent="0.25">
      <c r="AS594" s="65"/>
      <c r="BA594"/>
      <c r="BB594"/>
      <c r="BC594"/>
      <c r="BP594" s="65"/>
      <c r="BQ594" s="65"/>
      <c r="BR594" s="65"/>
      <c r="BS594"/>
      <c r="BT594"/>
      <c r="BU594"/>
      <c r="BV594"/>
      <c r="BW594"/>
      <c r="BX594"/>
    </row>
    <row r="595" spans="45:76" x14ac:dyDescent="0.25">
      <c r="AS595" s="65"/>
      <c r="BA595"/>
      <c r="BB595"/>
      <c r="BC595"/>
      <c r="BP595" s="65"/>
      <c r="BQ595" s="65"/>
      <c r="BR595" s="65"/>
      <c r="BS595"/>
      <c r="BT595"/>
      <c r="BU595"/>
      <c r="BV595"/>
      <c r="BW595"/>
      <c r="BX595"/>
    </row>
    <row r="596" spans="45:76" x14ac:dyDescent="0.25">
      <c r="AS596" s="65"/>
      <c r="BA596"/>
      <c r="BB596"/>
      <c r="BC596"/>
      <c r="BP596" s="65"/>
      <c r="BQ596" s="65"/>
      <c r="BR596" s="65"/>
      <c r="BS596"/>
      <c r="BT596"/>
      <c r="BU596"/>
      <c r="BV596"/>
      <c r="BW596"/>
      <c r="BX596"/>
    </row>
    <row r="597" spans="45:76" x14ac:dyDescent="0.25">
      <c r="AS597" s="65"/>
      <c r="BA597"/>
      <c r="BB597"/>
      <c r="BC597"/>
      <c r="BP597" s="65"/>
      <c r="BQ597" s="65"/>
      <c r="BR597" s="65"/>
      <c r="BS597"/>
      <c r="BT597"/>
      <c r="BU597"/>
      <c r="BV597"/>
      <c r="BW597"/>
      <c r="BX597"/>
    </row>
    <row r="598" spans="45:76" x14ac:dyDescent="0.25">
      <c r="AS598" s="65"/>
      <c r="BA598"/>
      <c r="BB598"/>
      <c r="BC598"/>
      <c r="BP598" s="65"/>
      <c r="BQ598" s="65"/>
      <c r="BR598" s="65"/>
      <c r="BS598"/>
      <c r="BT598"/>
      <c r="BU598"/>
      <c r="BV598"/>
      <c r="BW598"/>
      <c r="BX598"/>
    </row>
    <row r="599" spans="45:76" x14ac:dyDescent="0.25">
      <c r="AS599" s="65"/>
      <c r="BA599"/>
      <c r="BB599"/>
      <c r="BC599"/>
      <c r="BP599" s="65"/>
      <c r="BQ599" s="65"/>
      <c r="BR599" s="65"/>
      <c r="BS599"/>
      <c r="BT599"/>
      <c r="BU599"/>
      <c r="BV599"/>
      <c r="BW599"/>
      <c r="BX599"/>
    </row>
    <row r="600" spans="45:76" x14ac:dyDescent="0.25">
      <c r="AS600" s="65"/>
      <c r="BA600"/>
      <c r="BB600"/>
      <c r="BC600"/>
      <c r="BP600" s="65"/>
      <c r="BQ600" s="65"/>
      <c r="BR600" s="65"/>
      <c r="BS600"/>
      <c r="BT600"/>
      <c r="BU600"/>
      <c r="BV600"/>
      <c r="BW600"/>
      <c r="BX600"/>
    </row>
    <row r="601" spans="45:76" x14ac:dyDescent="0.25">
      <c r="AS601" s="65"/>
      <c r="BA601"/>
      <c r="BB601"/>
      <c r="BC601"/>
      <c r="BP601" s="65"/>
      <c r="BQ601" s="65"/>
      <c r="BR601" s="65"/>
      <c r="BS601"/>
      <c r="BT601"/>
      <c r="BU601"/>
      <c r="BV601"/>
      <c r="BW601"/>
      <c r="BX601"/>
    </row>
    <row r="602" spans="45:76" x14ac:dyDescent="0.25">
      <c r="AS602" s="65"/>
      <c r="BA602"/>
      <c r="BB602"/>
      <c r="BC602"/>
      <c r="BP602" s="65"/>
      <c r="BQ602" s="65"/>
      <c r="BR602" s="65"/>
      <c r="BS602"/>
      <c r="BT602"/>
      <c r="BU602"/>
      <c r="BV602"/>
      <c r="BW602"/>
      <c r="BX602"/>
    </row>
    <row r="603" spans="45:76" x14ac:dyDescent="0.25">
      <c r="AS603" s="65"/>
      <c r="BA603"/>
      <c r="BB603"/>
      <c r="BC603"/>
      <c r="BP603" s="65"/>
      <c r="BQ603" s="65"/>
      <c r="BR603" s="65"/>
      <c r="BS603"/>
      <c r="BT603"/>
      <c r="BU603"/>
      <c r="BV603"/>
      <c r="BW603"/>
      <c r="BX603"/>
    </row>
    <row r="604" spans="45:76" x14ac:dyDescent="0.25">
      <c r="AS604" s="65"/>
      <c r="BA604"/>
      <c r="BB604"/>
      <c r="BC604"/>
      <c r="BP604" s="65"/>
      <c r="BQ604" s="65"/>
      <c r="BR604" s="65"/>
      <c r="BS604"/>
      <c r="BT604"/>
      <c r="BU604"/>
      <c r="BV604"/>
      <c r="BW604"/>
      <c r="BX604"/>
    </row>
    <row r="605" spans="45:76" x14ac:dyDescent="0.25">
      <c r="AS605" s="65"/>
      <c r="BA605"/>
      <c r="BB605"/>
      <c r="BC605"/>
      <c r="BP605" s="65"/>
      <c r="BQ605" s="65"/>
      <c r="BR605" s="65"/>
      <c r="BS605"/>
      <c r="BT605"/>
      <c r="BU605"/>
      <c r="BV605"/>
      <c r="BW605"/>
      <c r="BX605"/>
    </row>
    <row r="606" spans="45:76" x14ac:dyDescent="0.25">
      <c r="AS606" s="65"/>
      <c r="BA606"/>
      <c r="BB606"/>
      <c r="BC606"/>
      <c r="BP606" s="65"/>
      <c r="BQ606" s="65"/>
      <c r="BR606" s="65"/>
      <c r="BS606"/>
      <c r="BT606"/>
      <c r="BU606"/>
      <c r="BV606"/>
      <c r="BW606"/>
      <c r="BX606"/>
    </row>
    <row r="607" spans="45:76" x14ac:dyDescent="0.25">
      <c r="AS607" s="65"/>
      <c r="BA607"/>
      <c r="BB607"/>
      <c r="BC607"/>
      <c r="BP607" s="65"/>
      <c r="BQ607" s="65"/>
      <c r="BR607" s="65"/>
      <c r="BS607"/>
      <c r="BT607"/>
      <c r="BU607"/>
      <c r="BV607"/>
      <c r="BW607"/>
      <c r="BX607"/>
    </row>
    <row r="608" spans="45:76" x14ac:dyDescent="0.25">
      <c r="AS608" s="65"/>
      <c r="BA608"/>
      <c r="BB608"/>
      <c r="BC608"/>
      <c r="BP608" s="65"/>
      <c r="BQ608" s="65"/>
      <c r="BR608" s="65"/>
      <c r="BS608"/>
      <c r="BT608"/>
      <c r="BU608"/>
      <c r="BV608"/>
      <c r="BW608"/>
      <c r="BX608"/>
    </row>
    <row r="609" spans="45:76" x14ac:dyDescent="0.25">
      <c r="AS609" s="65"/>
      <c r="BA609"/>
      <c r="BB609"/>
      <c r="BC609"/>
      <c r="BP609" s="65"/>
      <c r="BQ609" s="65"/>
      <c r="BR609" s="65"/>
      <c r="BS609"/>
      <c r="BT609"/>
      <c r="BU609"/>
      <c r="BV609"/>
      <c r="BW609"/>
      <c r="BX609"/>
    </row>
    <row r="610" spans="45:76" x14ac:dyDescent="0.25">
      <c r="AS610" s="65"/>
      <c r="BA610"/>
      <c r="BB610"/>
      <c r="BC610"/>
      <c r="BP610" s="65"/>
      <c r="BQ610" s="65"/>
      <c r="BR610" s="65"/>
      <c r="BS610"/>
      <c r="BT610"/>
      <c r="BU610"/>
      <c r="BV610"/>
      <c r="BW610"/>
      <c r="BX610"/>
    </row>
    <row r="611" spans="45:76" x14ac:dyDescent="0.25">
      <c r="AS611" s="65"/>
      <c r="BA611"/>
      <c r="BB611"/>
      <c r="BC611"/>
      <c r="BP611" s="65"/>
      <c r="BQ611" s="65"/>
      <c r="BR611" s="65"/>
      <c r="BS611"/>
      <c r="BT611"/>
      <c r="BU611"/>
      <c r="BV611"/>
      <c r="BW611"/>
      <c r="BX611"/>
    </row>
    <row r="612" spans="45:76" x14ac:dyDescent="0.25">
      <c r="AS612" s="65"/>
      <c r="BA612"/>
      <c r="BB612"/>
      <c r="BC612"/>
      <c r="BP612" s="65"/>
      <c r="BQ612" s="65"/>
      <c r="BR612" s="65"/>
      <c r="BS612"/>
      <c r="BT612"/>
      <c r="BU612"/>
      <c r="BV612"/>
      <c r="BW612"/>
      <c r="BX612"/>
    </row>
    <row r="613" spans="45:76" x14ac:dyDescent="0.25">
      <c r="AS613" s="65"/>
      <c r="BA613"/>
      <c r="BB613"/>
      <c r="BC613"/>
      <c r="BP613" s="65"/>
      <c r="BQ613" s="65"/>
      <c r="BR613" s="65"/>
      <c r="BS613"/>
      <c r="BT613"/>
      <c r="BU613"/>
      <c r="BV613"/>
      <c r="BW613"/>
      <c r="BX613"/>
    </row>
    <row r="614" spans="45:76" x14ac:dyDescent="0.25">
      <c r="AS614" s="65"/>
      <c r="BA614"/>
      <c r="BB614"/>
      <c r="BC614"/>
      <c r="BP614" s="65"/>
      <c r="BQ614" s="65"/>
      <c r="BR614" s="65"/>
      <c r="BS614"/>
      <c r="BT614"/>
      <c r="BU614"/>
      <c r="BV614"/>
      <c r="BW614"/>
      <c r="BX614"/>
    </row>
    <row r="615" spans="45:76" x14ac:dyDescent="0.25">
      <c r="AS615" s="65"/>
      <c r="BA615"/>
      <c r="BB615"/>
      <c r="BC615"/>
      <c r="BP615" s="65"/>
      <c r="BQ615" s="65"/>
      <c r="BR615" s="65"/>
      <c r="BS615"/>
      <c r="BT615"/>
      <c r="BU615"/>
      <c r="BV615"/>
      <c r="BW615"/>
      <c r="BX615"/>
    </row>
    <row r="616" spans="45:76" x14ac:dyDescent="0.25">
      <c r="AS616" s="65"/>
      <c r="BA616"/>
      <c r="BB616"/>
      <c r="BC616"/>
      <c r="BP616" s="65"/>
      <c r="BQ616" s="65"/>
      <c r="BR616" s="65"/>
      <c r="BS616"/>
      <c r="BT616"/>
      <c r="BU616"/>
      <c r="BV616"/>
      <c r="BW616"/>
      <c r="BX616"/>
    </row>
    <row r="617" spans="45:76" x14ac:dyDescent="0.25">
      <c r="AS617" s="65"/>
      <c r="BA617"/>
      <c r="BB617"/>
      <c r="BC617"/>
      <c r="BP617" s="65"/>
      <c r="BQ617" s="65"/>
      <c r="BR617" s="65"/>
      <c r="BS617"/>
      <c r="BT617"/>
      <c r="BU617"/>
      <c r="BV617"/>
      <c r="BW617"/>
      <c r="BX617"/>
    </row>
    <row r="618" spans="45:76" x14ac:dyDescent="0.25">
      <c r="AS618" s="65"/>
      <c r="BA618"/>
      <c r="BB618"/>
      <c r="BC618"/>
      <c r="BP618" s="65"/>
      <c r="BQ618" s="65"/>
      <c r="BR618" s="65"/>
      <c r="BS618"/>
      <c r="BT618"/>
      <c r="BU618"/>
      <c r="BV618"/>
      <c r="BW618"/>
      <c r="BX618"/>
    </row>
    <row r="619" spans="45:76" x14ac:dyDescent="0.25">
      <c r="AS619" s="65"/>
      <c r="BA619"/>
      <c r="BB619"/>
      <c r="BC619"/>
      <c r="BP619" s="65"/>
      <c r="BQ619" s="65"/>
      <c r="BR619" s="65"/>
      <c r="BS619"/>
      <c r="BT619"/>
      <c r="BU619"/>
      <c r="BV619"/>
      <c r="BW619"/>
      <c r="BX619"/>
    </row>
    <row r="620" spans="45:76" x14ac:dyDescent="0.25">
      <c r="AS620" s="65"/>
      <c r="BA620"/>
      <c r="BB620"/>
      <c r="BC620"/>
      <c r="BP620" s="65"/>
      <c r="BQ620" s="65"/>
      <c r="BR620" s="65"/>
      <c r="BS620"/>
      <c r="BT620"/>
      <c r="BU620"/>
      <c r="BV620"/>
      <c r="BW620"/>
      <c r="BX620"/>
    </row>
    <row r="621" spans="45:76" x14ac:dyDescent="0.25">
      <c r="AS621" s="65"/>
      <c r="BA621"/>
      <c r="BB621"/>
      <c r="BC621"/>
      <c r="BP621" s="65"/>
      <c r="BQ621" s="65"/>
      <c r="BR621" s="65"/>
      <c r="BS621"/>
      <c r="BT621"/>
      <c r="BU621"/>
      <c r="BV621"/>
      <c r="BW621"/>
      <c r="BX621"/>
    </row>
    <row r="622" spans="45:76" x14ac:dyDescent="0.25">
      <c r="AS622" s="65"/>
      <c r="BA622"/>
      <c r="BB622"/>
      <c r="BC622"/>
      <c r="BP622" s="65"/>
      <c r="BQ622" s="65"/>
      <c r="BR622" s="65"/>
      <c r="BS622"/>
      <c r="BT622"/>
      <c r="BU622"/>
      <c r="BV622"/>
      <c r="BW622"/>
      <c r="BX622"/>
    </row>
    <row r="623" spans="45:76" x14ac:dyDescent="0.25">
      <c r="AS623" s="65"/>
      <c r="BA623"/>
      <c r="BB623"/>
      <c r="BC623"/>
      <c r="BP623" s="65"/>
      <c r="BQ623" s="65"/>
      <c r="BR623" s="65"/>
      <c r="BS623"/>
      <c r="BT623"/>
      <c r="BU623"/>
      <c r="BV623"/>
      <c r="BW623"/>
      <c r="BX623"/>
    </row>
    <row r="624" spans="45:76" x14ac:dyDescent="0.25">
      <c r="AS624" s="65"/>
      <c r="BA624"/>
      <c r="BB624"/>
      <c r="BC624"/>
      <c r="BP624" s="65"/>
      <c r="BQ624" s="65"/>
      <c r="BR624" s="65"/>
      <c r="BS624"/>
      <c r="BT624"/>
      <c r="BU624"/>
      <c r="BV624"/>
      <c r="BW624"/>
      <c r="BX624"/>
    </row>
    <row r="625" spans="45:76" x14ac:dyDescent="0.25">
      <c r="AS625" s="65"/>
      <c r="BA625"/>
      <c r="BB625"/>
      <c r="BC625"/>
      <c r="BP625" s="65"/>
      <c r="BQ625" s="65"/>
      <c r="BR625" s="65"/>
      <c r="BS625"/>
      <c r="BT625"/>
      <c r="BU625"/>
      <c r="BV625"/>
      <c r="BW625"/>
      <c r="BX625"/>
    </row>
    <row r="626" spans="45:76" x14ac:dyDescent="0.25">
      <c r="AS626" s="65"/>
      <c r="BA626"/>
      <c r="BB626"/>
      <c r="BC626"/>
      <c r="BP626" s="65"/>
      <c r="BQ626" s="65"/>
      <c r="BR626" s="65"/>
      <c r="BS626"/>
      <c r="BT626"/>
      <c r="BU626"/>
      <c r="BV626"/>
      <c r="BW626"/>
      <c r="BX626"/>
    </row>
    <row r="627" spans="45:76" x14ac:dyDescent="0.25">
      <c r="AS627" s="65"/>
      <c r="BA627"/>
      <c r="BB627"/>
      <c r="BC627"/>
      <c r="BP627" s="65"/>
      <c r="BQ627" s="65"/>
      <c r="BR627" s="65"/>
      <c r="BS627"/>
      <c r="BT627"/>
      <c r="BU627"/>
      <c r="BV627"/>
      <c r="BW627"/>
      <c r="BX627"/>
    </row>
    <row r="628" spans="45:76" x14ac:dyDescent="0.25">
      <c r="AS628" s="65"/>
      <c r="BA628"/>
      <c r="BB628"/>
      <c r="BC628"/>
      <c r="BP628" s="65"/>
      <c r="BQ628" s="65"/>
      <c r="BR628" s="65"/>
      <c r="BS628"/>
      <c r="BT628"/>
      <c r="BU628"/>
      <c r="BV628"/>
      <c r="BW628"/>
      <c r="BX628"/>
    </row>
    <row r="629" spans="45:76" x14ac:dyDescent="0.25">
      <c r="AS629" s="65"/>
      <c r="BA629"/>
      <c r="BB629"/>
      <c r="BC629"/>
      <c r="BP629" s="65"/>
      <c r="BQ629" s="65"/>
      <c r="BR629" s="65"/>
      <c r="BS629"/>
      <c r="BT629"/>
      <c r="BU629"/>
      <c r="BV629"/>
      <c r="BW629"/>
      <c r="BX629"/>
    </row>
    <row r="630" spans="45:76" x14ac:dyDescent="0.25">
      <c r="AS630" s="65"/>
      <c r="BA630"/>
      <c r="BB630"/>
      <c r="BC630"/>
      <c r="BP630" s="65"/>
      <c r="BQ630" s="65"/>
      <c r="BR630" s="65"/>
      <c r="BS630"/>
      <c r="BT630"/>
      <c r="BU630"/>
      <c r="BV630"/>
      <c r="BW630"/>
      <c r="BX630"/>
    </row>
    <row r="631" spans="45:76" x14ac:dyDescent="0.25">
      <c r="AS631" s="65"/>
      <c r="BA631"/>
      <c r="BB631"/>
      <c r="BC631"/>
      <c r="BP631" s="65"/>
      <c r="BQ631" s="65"/>
      <c r="BR631" s="65"/>
      <c r="BS631"/>
      <c r="BT631"/>
      <c r="BU631"/>
      <c r="BV631"/>
      <c r="BW631"/>
      <c r="BX631"/>
    </row>
    <row r="632" spans="45:76" x14ac:dyDescent="0.25">
      <c r="AS632" s="65"/>
      <c r="BA632"/>
      <c r="BB632"/>
      <c r="BC632"/>
      <c r="BP632" s="65"/>
      <c r="BQ632" s="65"/>
      <c r="BR632" s="65"/>
      <c r="BS632"/>
      <c r="BT632"/>
      <c r="BU632"/>
      <c r="BV632"/>
      <c r="BW632"/>
      <c r="BX632"/>
    </row>
    <row r="633" spans="45:76" x14ac:dyDescent="0.25">
      <c r="AS633" s="65"/>
      <c r="BA633"/>
      <c r="BB633"/>
      <c r="BC633"/>
      <c r="BP633" s="65"/>
      <c r="BQ633" s="65"/>
      <c r="BR633" s="65"/>
      <c r="BS633"/>
      <c r="BT633"/>
      <c r="BU633"/>
      <c r="BV633"/>
      <c r="BW633"/>
      <c r="BX633"/>
    </row>
    <row r="634" spans="45:76" x14ac:dyDescent="0.25">
      <c r="AS634" s="65"/>
      <c r="BA634"/>
      <c r="BB634"/>
      <c r="BC634"/>
      <c r="BP634" s="65"/>
      <c r="BQ634" s="65"/>
      <c r="BR634" s="65"/>
      <c r="BS634"/>
      <c r="BT634"/>
      <c r="BU634"/>
      <c r="BV634"/>
      <c r="BW634"/>
      <c r="BX634"/>
    </row>
    <row r="635" spans="45:76" x14ac:dyDescent="0.25">
      <c r="AS635" s="65"/>
      <c r="BA635"/>
      <c r="BB635"/>
      <c r="BC635"/>
      <c r="BP635" s="65"/>
      <c r="BQ635" s="65"/>
      <c r="BR635" s="65"/>
      <c r="BS635"/>
      <c r="BT635"/>
      <c r="BU635"/>
      <c r="BV635"/>
      <c r="BW635"/>
      <c r="BX635"/>
    </row>
    <row r="636" spans="45:76" x14ac:dyDescent="0.25">
      <c r="AS636" s="65"/>
      <c r="BA636"/>
      <c r="BB636"/>
      <c r="BC636"/>
      <c r="BP636" s="65"/>
      <c r="BQ636" s="65"/>
      <c r="BR636" s="65"/>
      <c r="BS636"/>
      <c r="BT636"/>
      <c r="BU636"/>
      <c r="BV636"/>
      <c r="BW636"/>
      <c r="BX636"/>
    </row>
    <row r="637" spans="45:76" x14ac:dyDescent="0.25">
      <c r="AS637" s="65"/>
      <c r="BA637"/>
      <c r="BB637"/>
      <c r="BC637"/>
      <c r="BP637" s="65"/>
      <c r="BQ637" s="65"/>
      <c r="BR637" s="65"/>
      <c r="BS637"/>
      <c r="BT637"/>
      <c r="BU637"/>
      <c r="BV637"/>
      <c r="BW637"/>
      <c r="BX637"/>
    </row>
    <row r="638" spans="45:76" x14ac:dyDescent="0.25">
      <c r="AS638" s="65"/>
      <c r="BA638"/>
      <c r="BB638"/>
      <c r="BC638"/>
      <c r="BP638" s="65"/>
      <c r="BQ638" s="65"/>
      <c r="BR638" s="65"/>
      <c r="BS638"/>
      <c r="BT638"/>
      <c r="BU638"/>
      <c r="BV638"/>
      <c r="BW638"/>
      <c r="BX638"/>
    </row>
    <row r="639" spans="45:76" x14ac:dyDescent="0.25">
      <c r="AS639" s="65"/>
      <c r="BA639"/>
      <c r="BB639"/>
      <c r="BC639"/>
      <c r="BP639" s="65"/>
      <c r="BQ639" s="65"/>
      <c r="BR639" s="65"/>
      <c r="BS639"/>
      <c r="BT639"/>
      <c r="BU639"/>
      <c r="BV639"/>
      <c r="BW639"/>
      <c r="BX639"/>
    </row>
    <row r="640" spans="45:76" x14ac:dyDescent="0.25">
      <c r="AS640" s="65"/>
      <c r="BA640"/>
      <c r="BB640"/>
      <c r="BC640"/>
      <c r="BP640" s="65"/>
      <c r="BQ640" s="65"/>
      <c r="BR640" s="65"/>
      <c r="BS640"/>
      <c r="BT640"/>
      <c r="BU640"/>
      <c r="BV640"/>
      <c r="BW640"/>
      <c r="BX640"/>
    </row>
    <row r="641" spans="45:76" x14ac:dyDescent="0.25">
      <c r="AS641" s="65"/>
      <c r="BA641"/>
      <c r="BB641"/>
      <c r="BC641"/>
      <c r="BP641" s="65"/>
      <c r="BQ641" s="65"/>
      <c r="BR641" s="65"/>
      <c r="BS641"/>
      <c r="BT641"/>
      <c r="BU641"/>
      <c r="BV641"/>
      <c r="BW641"/>
      <c r="BX641"/>
    </row>
    <row r="642" spans="45:76" x14ac:dyDescent="0.25">
      <c r="AS642" s="65"/>
      <c r="BA642"/>
      <c r="BB642"/>
      <c r="BC642"/>
      <c r="BP642" s="65"/>
      <c r="BQ642" s="65"/>
      <c r="BR642" s="65"/>
      <c r="BS642"/>
      <c r="BT642"/>
      <c r="BU642"/>
      <c r="BV642"/>
      <c r="BW642"/>
      <c r="BX642"/>
    </row>
    <row r="643" spans="45:76" x14ac:dyDescent="0.25">
      <c r="AS643" s="65"/>
      <c r="BA643"/>
      <c r="BB643"/>
      <c r="BC643"/>
      <c r="BP643" s="65"/>
      <c r="BQ643" s="65"/>
      <c r="BR643" s="65"/>
      <c r="BS643"/>
      <c r="BT643"/>
      <c r="BU643"/>
      <c r="BV643"/>
      <c r="BW643"/>
      <c r="BX643"/>
    </row>
    <row r="644" spans="45:76" x14ac:dyDescent="0.25">
      <c r="AS644" s="65"/>
      <c r="BA644"/>
      <c r="BB644"/>
      <c r="BC644"/>
      <c r="BP644" s="65"/>
      <c r="BQ644" s="65"/>
      <c r="BR644" s="65"/>
      <c r="BS644"/>
      <c r="BT644"/>
      <c r="BU644"/>
      <c r="BV644"/>
      <c r="BW644"/>
      <c r="BX644"/>
    </row>
    <row r="645" spans="45:76" x14ac:dyDescent="0.25">
      <c r="AS645" s="65"/>
      <c r="BA645"/>
      <c r="BB645"/>
      <c r="BC645"/>
      <c r="BP645" s="65"/>
      <c r="BQ645" s="65"/>
      <c r="BR645" s="65"/>
      <c r="BS645"/>
      <c r="BT645"/>
      <c r="BU645"/>
      <c r="BV645"/>
      <c r="BW645"/>
      <c r="BX645"/>
    </row>
    <row r="646" spans="45:76" x14ac:dyDescent="0.25">
      <c r="AS646" s="65"/>
      <c r="BA646"/>
      <c r="BB646"/>
      <c r="BC646"/>
      <c r="BP646" s="65"/>
      <c r="BQ646" s="65"/>
      <c r="BR646" s="65"/>
      <c r="BS646"/>
      <c r="BT646"/>
      <c r="BU646"/>
      <c r="BV646"/>
      <c r="BW646"/>
      <c r="BX646"/>
    </row>
    <row r="647" spans="45:76" x14ac:dyDescent="0.25">
      <c r="AS647" s="65"/>
      <c r="BA647"/>
      <c r="BB647"/>
      <c r="BC647"/>
      <c r="BP647" s="65"/>
      <c r="BQ647" s="65"/>
      <c r="BR647" s="65"/>
      <c r="BS647"/>
      <c r="BT647"/>
      <c r="BU647"/>
      <c r="BV647"/>
      <c r="BW647"/>
      <c r="BX647"/>
    </row>
    <row r="648" spans="45:76" x14ac:dyDescent="0.25">
      <c r="AS648" s="65"/>
      <c r="BA648"/>
      <c r="BB648"/>
      <c r="BC648"/>
      <c r="BP648" s="65"/>
      <c r="BQ648" s="65"/>
      <c r="BR648" s="65"/>
      <c r="BS648"/>
      <c r="BT648"/>
      <c r="BU648"/>
      <c r="BV648"/>
      <c r="BW648"/>
      <c r="BX648"/>
    </row>
    <row r="649" spans="45:76" x14ac:dyDescent="0.25">
      <c r="AS649" s="65"/>
      <c r="BA649"/>
      <c r="BB649"/>
      <c r="BC649"/>
      <c r="BP649" s="65"/>
      <c r="BQ649" s="65"/>
      <c r="BR649" s="65"/>
      <c r="BS649"/>
      <c r="BT649"/>
      <c r="BU649"/>
      <c r="BV649"/>
      <c r="BW649"/>
      <c r="BX649"/>
    </row>
    <row r="650" spans="45:76" x14ac:dyDescent="0.25">
      <c r="AS650" s="65"/>
      <c r="BA650"/>
      <c r="BB650"/>
      <c r="BC650"/>
      <c r="BP650" s="65"/>
      <c r="BQ650" s="65"/>
      <c r="BR650" s="65"/>
      <c r="BS650"/>
      <c r="BT650"/>
      <c r="BU650"/>
      <c r="BV650"/>
      <c r="BW650"/>
      <c r="BX650"/>
    </row>
    <row r="651" spans="45:76" x14ac:dyDescent="0.25">
      <c r="AS651" s="65"/>
      <c r="BA651"/>
      <c r="BB651"/>
      <c r="BC651"/>
      <c r="BP651" s="65"/>
      <c r="BQ651" s="65"/>
      <c r="BR651" s="65"/>
      <c r="BS651"/>
      <c r="BT651"/>
      <c r="BU651"/>
      <c r="BV651"/>
      <c r="BW651"/>
      <c r="BX651"/>
    </row>
    <row r="652" spans="45:76" x14ac:dyDescent="0.25">
      <c r="AS652" s="65"/>
      <c r="BA652"/>
      <c r="BB652"/>
      <c r="BC652"/>
      <c r="BP652" s="65"/>
      <c r="BQ652" s="65"/>
      <c r="BR652" s="65"/>
      <c r="BS652"/>
      <c r="BT652"/>
      <c r="BU652"/>
      <c r="BV652"/>
      <c r="BW652"/>
      <c r="BX652"/>
    </row>
    <row r="653" spans="45:76" x14ac:dyDescent="0.25">
      <c r="AS653" s="65"/>
      <c r="BA653"/>
      <c r="BB653"/>
      <c r="BC653"/>
      <c r="BP653" s="65"/>
      <c r="BQ653" s="65"/>
      <c r="BR653" s="65"/>
      <c r="BS653"/>
      <c r="BT653"/>
      <c r="BU653"/>
      <c r="BV653"/>
      <c r="BW653"/>
      <c r="BX653"/>
    </row>
    <row r="654" spans="45:76" x14ac:dyDescent="0.25">
      <c r="AS654" s="65"/>
      <c r="BA654"/>
      <c r="BB654"/>
      <c r="BC654"/>
      <c r="BP654" s="65"/>
      <c r="BQ654" s="65"/>
      <c r="BR654" s="65"/>
      <c r="BS654"/>
      <c r="BT654"/>
      <c r="BU654"/>
      <c r="BV654"/>
      <c r="BW654"/>
      <c r="BX654"/>
    </row>
    <row r="655" spans="45:76" x14ac:dyDescent="0.25">
      <c r="AS655" s="65"/>
      <c r="BA655"/>
      <c r="BB655"/>
      <c r="BC655"/>
      <c r="BP655" s="65"/>
      <c r="BQ655" s="65"/>
      <c r="BR655" s="65"/>
      <c r="BS655"/>
      <c r="BT655"/>
      <c r="BU655"/>
      <c r="BV655"/>
      <c r="BW655"/>
      <c r="BX655"/>
    </row>
    <row r="656" spans="45:76" x14ac:dyDescent="0.25">
      <c r="AS656" s="65"/>
      <c r="BA656"/>
      <c r="BB656"/>
      <c r="BC656"/>
      <c r="BP656" s="65"/>
      <c r="BQ656" s="65"/>
      <c r="BR656" s="65"/>
      <c r="BS656"/>
      <c r="BT656"/>
      <c r="BU656"/>
      <c r="BV656"/>
      <c r="BW656"/>
      <c r="BX656"/>
    </row>
    <row r="657" spans="45:76" x14ac:dyDescent="0.25">
      <c r="AS657" s="65"/>
      <c r="BA657"/>
      <c r="BB657"/>
      <c r="BC657"/>
      <c r="BP657" s="65"/>
      <c r="BQ657" s="65"/>
      <c r="BR657" s="65"/>
      <c r="BS657"/>
      <c r="BT657"/>
      <c r="BU657"/>
      <c r="BV657"/>
      <c r="BW657"/>
      <c r="BX657"/>
    </row>
    <row r="658" spans="45:76" x14ac:dyDescent="0.25">
      <c r="AS658" s="65"/>
      <c r="BA658"/>
      <c r="BB658"/>
      <c r="BC658"/>
      <c r="BP658" s="65"/>
      <c r="BQ658" s="65"/>
      <c r="BR658" s="65"/>
      <c r="BS658"/>
      <c r="BT658"/>
      <c r="BU658"/>
      <c r="BV658"/>
      <c r="BW658"/>
      <c r="BX658"/>
    </row>
    <row r="659" spans="45:76" x14ac:dyDescent="0.25">
      <c r="AS659" s="65"/>
      <c r="BA659"/>
      <c r="BB659"/>
      <c r="BC659"/>
      <c r="BP659" s="65"/>
      <c r="BQ659" s="65"/>
      <c r="BR659" s="65"/>
      <c r="BS659"/>
      <c r="BT659"/>
      <c r="BU659"/>
      <c r="BV659"/>
      <c r="BW659"/>
      <c r="BX659"/>
    </row>
    <row r="660" spans="45:76" x14ac:dyDescent="0.25">
      <c r="AS660" s="65"/>
      <c r="BA660"/>
      <c r="BB660"/>
      <c r="BC660"/>
      <c r="BP660" s="65"/>
      <c r="BQ660" s="65"/>
      <c r="BR660" s="65"/>
      <c r="BS660"/>
      <c r="BT660"/>
      <c r="BU660"/>
      <c r="BV660"/>
      <c r="BW660"/>
      <c r="BX660"/>
    </row>
    <row r="661" spans="45:76" x14ac:dyDescent="0.25">
      <c r="AS661" s="65"/>
      <c r="BA661"/>
      <c r="BB661"/>
      <c r="BC661"/>
      <c r="BP661" s="65"/>
      <c r="BQ661" s="65"/>
      <c r="BR661" s="65"/>
      <c r="BS661"/>
      <c r="BT661"/>
      <c r="BU661"/>
      <c r="BV661"/>
      <c r="BW661"/>
      <c r="BX661"/>
    </row>
    <row r="662" spans="45:76" x14ac:dyDescent="0.25">
      <c r="AS662" s="65"/>
      <c r="BA662"/>
      <c r="BB662"/>
      <c r="BC662"/>
      <c r="BP662" s="65"/>
      <c r="BQ662" s="65"/>
      <c r="BR662" s="65"/>
      <c r="BS662"/>
      <c r="BT662"/>
      <c r="BU662"/>
      <c r="BV662"/>
      <c r="BW662"/>
      <c r="BX662"/>
    </row>
    <row r="663" spans="45:76" x14ac:dyDescent="0.25">
      <c r="AS663" s="65"/>
      <c r="BA663"/>
      <c r="BB663"/>
      <c r="BC663"/>
      <c r="BP663" s="65"/>
      <c r="BQ663" s="65"/>
      <c r="BR663" s="65"/>
      <c r="BS663"/>
      <c r="BT663"/>
      <c r="BU663"/>
      <c r="BV663"/>
      <c r="BW663"/>
      <c r="BX663"/>
    </row>
    <row r="664" spans="45:76" x14ac:dyDescent="0.25">
      <c r="AS664" s="65"/>
      <c r="BA664"/>
      <c r="BB664"/>
      <c r="BC664"/>
      <c r="BP664" s="65"/>
      <c r="BQ664" s="65"/>
      <c r="BR664" s="65"/>
      <c r="BS664"/>
      <c r="BT664"/>
      <c r="BU664"/>
      <c r="BV664"/>
      <c r="BW664"/>
      <c r="BX664"/>
    </row>
    <row r="665" spans="45:76" x14ac:dyDescent="0.25">
      <c r="AS665" s="65"/>
      <c r="BA665"/>
      <c r="BB665"/>
      <c r="BC665"/>
      <c r="BP665" s="65"/>
      <c r="BQ665" s="65"/>
      <c r="BR665" s="65"/>
      <c r="BS665"/>
      <c r="BT665"/>
      <c r="BU665"/>
      <c r="BV665"/>
      <c r="BW665"/>
      <c r="BX665"/>
    </row>
    <row r="666" spans="45:76" x14ac:dyDescent="0.25">
      <c r="AS666" s="65"/>
      <c r="BA666"/>
      <c r="BB666"/>
      <c r="BC666"/>
      <c r="BP666" s="65"/>
      <c r="BQ666" s="65"/>
      <c r="BR666" s="65"/>
      <c r="BS666"/>
      <c r="BT666"/>
      <c r="BU666"/>
      <c r="BV666"/>
      <c r="BW666"/>
      <c r="BX666"/>
    </row>
    <row r="667" spans="45:76" x14ac:dyDescent="0.25">
      <c r="AS667" s="65"/>
      <c r="BA667"/>
      <c r="BB667"/>
      <c r="BC667"/>
      <c r="BP667" s="65"/>
      <c r="BQ667" s="65"/>
      <c r="BR667" s="65"/>
      <c r="BS667"/>
      <c r="BT667"/>
      <c r="BU667"/>
      <c r="BV667"/>
      <c r="BW667"/>
      <c r="BX667"/>
    </row>
    <row r="668" spans="45:76" x14ac:dyDescent="0.25">
      <c r="AS668" s="65"/>
      <c r="BA668"/>
      <c r="BB668"/>
      <c r="BC668"/>
      <c r="BP668" s="65"/>
      <c r="BQ668" s="65"/>
      <c r="BR668" s="65"/>
      <c r="BS668"/>
      <c r="BT668"/>
      <c r="BU668"/>
      <c r="BV668"/>
      <c r="BW668"/>
      <c r="BX668"/>
    </row>
    <row r="669" spans="45:76" x14ac:dyDescent="0.25">
      <c r="AS669" s="65"/>
      <c r="BA669"/>
      <c r="BB669"/>
      <c r="BC669"/>
      <c r="BP669" s="65"/>
      <c r="BQ669" s="65"/>
      <c r="BR669" s="65"/>
      <c r="BS669"/>
      <c r="BT669"/>
      <c r="BU669"/>
      <c r="BV669"/>
      <c r="BW669"/>
      <c r="BX669"/>
    </row>
    <row r="670" spans="45:76" x14ac:dyDescent="0.25">
      <c r="AS670" s="65"/>
      <c r="BA670"/>
      <c r="BB670"/>
      <c r="BC670"/>
      <c r="BP670" s="65"/>
      <c r="BQ670" s="65"/>
      <c r="BR670" s="65"/>
      <c r="BS670"/>
      <c r="BT670"/>
      <c r="BU670"/>
      <c r="BV670"/>
      <c r="BW670"/>
      <c r="BX670"/>
    </row>
    <row r="671" spans="45:76" x14ac:dyDescent="0.25">
      <c r="AS671" s="65"/>
      <c r="BA671"/>
      <c r="BB671"/>
      <c r="BC671"/>
      <c r="BP671" s="65"/>
      <c r="BQ671" s="65"/>
      <c r="BR671" s="65"/>
      <c r="BS671"/>
      <c r="BT671"/>
      <c r="BU671"/>
      <c r="BV671"/>
      <c r="BW671"/>
      <c r="BX671"/>
    </row>
    <row r="672" spans="45:76" x14ac:dyDescent="0.25">
      <c r="AS672" s="65"/>
      <c r="BA672"/>
      <c r="BB672"/>
      <c r="BC672"/>
      <c r="BP672" s="65"/>
      <c r="BQ672" s="65"/>
      <c r="BR672" s="65"/>
      <c r="BS672"/>
      <c r="BT672"/>
      <c r="BU672"/>
      <c r="BV672"/>
      <c r="BW672"/>
      <c r="BX672"/>
    </row>
    <row r="673" spans="45:76" x14ac:dyDescent="0.25">
      <c r="AS673" s="65"/>
      <c r="BA673"/>
      <c r="BB673"/>
      <c r="BC673"/>
      <c r="BP673" s="65"/>
      <c r="BQ673" s="65"/>
      <c r="BR673" s="65"/>
      <c r="BS673"/>
      <c r="BT673"/>
      <c r="BU673"/>
      <c r="BV673"/>
      <c r="BW673"/>
      <c r="BX673"/>
    </row>
    <row r="674" spans="45:76" x14ac:dyDescent="0.25">
      <c r="AS674" s="65"/>
      <c r="BA674"/>
      <c r="BB674"/>
      <c r="BC674"/>
      <c r="BP674" s="65"/>
      <c r="BQ674" s="65"/>
      <c r="BR674" s="65"/>
      <c r="BS674"/>
      <c r="BT674"/>
      <c r="BU674"/>
      <c r="BV674"/>
      <c r="BW674"/>
      <c r="BX674"/>
    </row>
    <row r="675" spans="45:76" x14ac:dyDescent="0.25">
      <c r="AS675" s="65"/>
      <c r="BA675"/>
      <c r="BB675"/>
      <c r="BC675"/>
      <c r="BP675" s="65"/>
      <c r="BQ675" s="65"/>
      <c r="BR675" s="65"/>
      <c r="BS675"/>
      <c r="BT675"/>
      <c r="BU675"/>
      <c r="BV675"/>
      <c r="BW675"/>
      <c r="BX675"/>
    </row>
    <row r="676" spans="45:76" x14ac:dyDescent="0.25">
      <c r="AS676" s="65"/>
      <c r="BA676"/>
      <c r="BB676"/>
      <c r="BC676"/>
      <c r="BP676" s="65"/>
      <c r="BQ676" s="65"/>
      <c r="BR676" s="65"/>
      <c r="BS676"/>
      <c r="BT676"/>
      <c r="BU676"/>
      <c r="BV676"/>
      <c r="BW676"/>
      <c r="BX676"/>
    </row>
    <row r="677" spans="45:76" x14ac:dyDescent="0.25">
      <c r="AS677" s="65"/>
      <c r="BA677"/>
      <c r="BB677"/>
      <c r="BC677"/>
      <c r="BP677" s="65"/>
      <c r="BQ677" s="65"/>
      <c r="BR677" s="65"/>
      <c r="BS677"/>
      <c r="BT677"/>
      <c r="BU677"/>
      <c r="BV677"/>
      <c r="BW677"/>
      <c r="BX677"/>
    </row>
    <row r="678" spans="45:76" x14ac:dyDescent="0.25">
      <c r="AS678" s="65"/>
      <c r="BA678"/>
      <c r="BB678"/>
      <c r="BC678"/>
      <c r="BP678" s="65"/>
      <c r="BQ678" s="65"/>
      <c r="BR678" s="65"/>
      <c r="BS678"/>
      <c r="BT678"/>
      <c r="BU678"/>
      <c r="BV678"/>
      <c r="BW678"/>
      <c r="BX678"/>
    </row>
    <row r="679" spans="45:76" x14ac:dyDescent="0.25">
      <c r="AS679" s="65"/>
      <c r="BA679"/>
      <c r="BB679"/>
      <c r="BC679"/>
      <c r="BP679" s="65"/>
      <c r="BQ679" s="65"/>
      <c r="BR679" s="65"/>
      <c r="BS679"/>
      <c r="BT679"/>
      <c r="BU679"/>
      <c r="BV679"/>
      <c r="BW679"/>
      <c r="BX679"/>
    </row>
    <row r="680" spans="45:76" x14ac:dyDescent="0.25">
      <c r="AS680" s="65"/>
      <c r="BA680"/>
      <c r="BB680"/>
      <c r="BC680"/>
      <c r="BP680" s="65"/>
      <c r="BQ680" s="65"/>
      <c r="BR680" s="65"/>
      <c r="BS680"/>
      <c r="BT680"/>
      <c r="BU680"/>
      <c r="BV680"/>
      <c r="BW680"/>
      <c r="BX680"/>
    </row>
    <row r="681" spans="45:76" x14ac:dyDescent="0.25">
      <c r="AS681" s="65"/>
      <c r="BA681"/>
      <c r="BB681"/>
      <c r="BC681"/>
      <c r="BP681" s="65"/>
      <c r="BQ681" s="65"/>
      <c r="BR681" s="65"/>
      <c r="BS681"/>
      <c r="BT681"/>
      <c r="BU681"/>
      <c r="BV681"/>
      <c r="BW681"/>
      <c r="BX681"/>
    </row>
    <row r="682" spans="45:76" x14ac:dyDescent="0.25">
      <c r="AS682" s="65"/>
      <c r="BA682"/>
      <c r="BB682"/>
      <c r="BC682"/>
      <c r="BP682" s="65"/>
      <c r="BQ682" s="65"/>
      <c r="BR682" s="65"/>
      <c r="BS682"/>
      <c r="BT682"/>
      <c r="BU682"/>
      <c r="BV682"/>
      <c r="BW682"/>
      <c r="BX682"/>
    </row>
    <row r="683" spans="45:76" x14ac:dyDescent="0.25">
      <c r="AS683" s="65"/>
      <c r="BA683"/>
      <c r="BB683"/>
      <c r="BC683"/>
      <c r="BP683" s="65"/>
      <c r="BQ683" s="65"/>
      <c r="BR683" s="65"/>
      <c r="BS683"/>
      <c r="BT683"/>
      <c r="BU683"/>
      <c r="BV683"/>
      <c r="BW683"/>
      <c r="BX683"/>
    </row>
    <row r="684" spans="45:76" x14ac:dyDescent="0.25">
      <c r="AS684" s="65"/>
      <c r="BA684"/>
      <c r="BB684"/>
      <c r="BC684"/>
      <c r="BP684" s="65"/>
      <c r="BQ684" s="65"/>
      <c r="BR684" s="65"/>
      <c r="BS684"/>
      <c r="BT684"/>
      <c r="BU684"/>
      <c r="BV684"/>
      <c r="BW684"/>
      <c r="BX684"/>
    </row>
    <row r="685" spans="45:76" x14ac:dyDescent="0.25">
      <c r="AS685" s="65"/>
      <c r="BA685"/>
      <c r="BB685"/>
      <c r="BC685"/>
      <c r="BP685" s="65"/>
      <c r="BQ685" s="65"/>
      <c r="BR685" s="65"/>
      <c r="BS685"/>
      <c r="BT685"/>
      <c r="BU685"/>
      <c r="BV685"/>
      <c r="BW685"/>
      <c r="BX685"/>
    </row>
    <row r="686" spans="45:76" x14ac:dyDescent="0.25">
      <c r="AS686" s="65"/>
      <c r="BA686"/>
      <c r="BB686"/>
      <c r="BC686"/>
      <c r="BP686" s="65"/>
      <c r="BQ686" s="65"/>
      <c r="BR686" s="65"/>
      <c r="BS686"/>
      <c r="BT686"/>
      <c r="BU686"/>
      <c r="BV686"/>
      <c r="BW686"/>
      <c r="BX686"/>
    </row>
    <row r="687" spans="45:76" x14ac:dyDescent="0.25">
      <c r="AS687" s="65"/>
      <c r="BA687"/>
      <c r="BB687"/>
      <c r="BC687"/>
      <c r="BP687" s="65"/>
      <c r="BQ687" s="65"/>
      <c r="BR687" s="65"/>
      <c r="BS687"/>
      <c r="BT687"/>
      <c r="BU687"/>
      <c r="BV687"/>
      <c r="BW687"/>
      <c r="BX687"/>
    </row>
    <row r="688" spans="45:76" x14ac:dyDescent="0.25">
      <c r="AS688" s="65"/>
      <c r="BA688"/>
      <c r="BB688"/>
      <c r="BC688"/>
      <c r="BP688" s="65"/>
      <c r="BQ688" s="65"/>
      <c r="BR688" s="65"/>
      <c r="BS688"/>
      <c r="BT688"/>
      <c r="BU688"/>
      <c r="BV688"/>
      <c r="BW688"/>
      <c r="BX688"/>
    </row>
    <row r="689" spans="45:76" x14ac:dyDescent="0.25">
      <c r="AS689" s="65"/>
      <c r="BA689"/>
      <c r="BB689"/>
      <c r="BC689"/>
      <c r="BP689" s="65"/>
      <c r="BQ689" s="65"/>
      <c r="BR689" s="65"/>
      <c r="BS689"/>
      <c r="BT689"/>
      <c r="BU689"/>
      <c r="BV689"/>
      <c r="BW689"/>
      <c r="BX689"/>
    </row>
    <row r="690" spans="45:76" x14ac:dyDescent="0.25">
      <c r="AS690" s="65"/>
      <c r="BA690"/>
      <c r="BB690"/>
      <c r="BC690"/>
      <c r="BP690" s="65"/>
      <c r="BQ690" s="65"/>
      <c r="BR690" s="65"/>
      <c r="BS690"/>
      <c r="BT690"/>
      <c r="BU690"/>
      <c r="BV690"/>
      <c r="BW690"/>
      <c r="BX690"/>
    </row>
    <row r="691" spans="45:76" x14ac:dyDescent="0.25">
      <c r="AS691" s="65"/>
      <c r="BA691"/>
      <c r="BB691"/>
      <c r="BC691"/>
      <c r="BP691" s="65"/>
      <c r="BQ691" s="65"/>
      <c r="BR691" s="65"/>
      <c r="BS691"/>
      <c r="BT691"/>
      <c r="BU691"/>
      <c r="BV691"/>
      <c r="BW691"/>
      <c r="BX691"/>
    </row>
    <row r="692" spans="45:76" x14ac:dyDescent="0.25">
      <c r="AS692" s="65"/>
      <c r="BA692"/>
      <c r="BB692"/>
      <c r="BC692"/>
      <c r="BP692" s="65"/>
      <c r="BQ692" s="65"/>
      <c r="BR692" s="65"/>
      <c r="BS692"/>
      <c r="BT692"/>
      <c r="BU692"/>
      <c r="BV692"/>
      <c r="BW692"/>
      <c r="BX692"/>
    </row>
    <row r="693" spans="45:76" x14ac:dyDescent="0.25">
      <c r="AS693" s="65"/>
      <c r="BA693"/>
      <c r="BB693"/>
      <c r="BC693"/>
      <c r="BP693" s="65"/>
      <c r="BQ693" s="65"/>
      <c r="BR693" s="65"/>
      <c r="BS693"/>
      <c r="BT693"/>
      <c r="BU693"/>
      <c r="BV693"/>
      <c r="BW693"/>
      <c r="BX693"/>
    </row>
    <row r="694" spans="45:76" x14ac:dyDescent="0.25">
      <c r="AS694" s="65"/>
      <c r="BA694"/>
      <c r="BB694"/>
      <c r="BC694"/>
      <c r="BP694" s="65"/>
      <c r="BQ694" s="65"/>
      <c r="BR694" s="65"/>
      <c r="BS694"/>
      <c r="BT694"/>
      <c r="BU694"/>
      <c r="BV694"/>
      <c r="BW694"/>
      <c r="BX694"/>
    </row>
    <row r="695" spans="45:76" x14ac:dyDescent="0.25">
      <c r="AS695" s="65"/>
      <c r="BA695"/>
      <c r="BB695"/>
      <c r="BC695"/>
      <c r="BP695" s="65"/>
      <c r="BQ695" s="65"/>
      <c r="BR695" s="65"/>
      <c r="BS695"/>
      <c r="BT695"/>
      <c r="BU695"/>
      <c r="BV695"/>
      <c r="BW695"/>
      <c r="BX695"/>
    </row>
    <row r="696" spans="45:76" x14ac:dyDescent="0.25">
      <c r="AS696" s="65"/>
      <c r="BA696"/>
      <c r="BB696"/>
      <c r="BC696"/>
      <c r="BP696" s="65"/>
      <c r="BQ696" s="65"/>
      <c r="BR696" s="65"/>
      <c r="BS696"/>
      <c r="BT696"/>
      <c r="BU696"/>
      <c r="BV696"/>
      <c r="BW696"/>
      <c r="BX696"/>
    </row>
    <row r="697" spans="45:76" x14ac:dyDescent="0.25">
      <c r="AS697" s="65"/>
      <c r="BA697"/>
      <c r="BB697"/>
      <c r="BC697"/>
      <c r="BP697" s="65"/>
      <c r="BQ697" s="65"/>
      <c r="BR697" s="65"/>
      <c r="BS697"/>
      <c r="BT697"/>
      <c r="BU697"/>
      <c r="BV697"/>
      <c r="BW697"/>
      <c r="BX697"/>
    </row>
    <row r="698" spans="45:76" x14ac:dyDescent="0.25">
      <c r="AS698" s="65"/>
      <c r="BA698"/>
      <c r="BB698"/>
      <c r="BC698"/>
      <c r="BP698" s="65"/>
      <c r="BQ698" s="65"/>
      <c r="BR698" s="65"/>
      <c r="BS698"/>
      <c r="BT698"/>
      <c r="BU698"/>
      <c r="BV698"/>
      <c r="BW698"/>
      <c r="BX698"/>
    </row>
    <row r="699" spans="45:76" x14ac:dyDescent="0.25">
      <c r="AS699" s="65"/>
      <c r="BA699"/>
      <c r="BB699"/>
      <c r="BC699"/>
      <c r="BP699" s="65"/>
      <c r="BQ699" s="65"/>
      <c r="BR699" s="65"/>
      <c r="BS699"/>
      <c r="BT699"/>
      <c r="BU699"/>
      <c r="BV699"/>
      <c r="BW699"/>
      <c r="BX699"/>
    </row>
    <row r="700" spans="45:76" x14ac:dyDescent="0.25">
      <c r="AS700" s="65"/>
      <c r="BA700"/>
      <c r="BB700"/>
      <c r="BC700"/>
      <c r="BP700" s="65"/>
      <c r="BQ700" s="65"/>
      <c r="BR700" s="65"/>
      <c r="BS700"/>
      <c r="BT700"/>
      <c r="BU700"/>
      <c r="BV700"/>
      <c r="BW700"/>
      <c r="BX700"/>
    </row>
    <row r="701" spans="45:76" x14ac:dyDescent="0.25">
      <c r="AS701" s="65"/>
      <c r="BA701"/>
      <c r="BB701"/>
      <c r="BC701"/>
      <c r="BP701" s="65"/>
      <c r="BQ701" s="65"/>
      <c r="BR701" s="65"/>
      <c r="BS701"/>
      <c r="BT701"/>
      <c r="BU701"/>
      <c r="BV701"/>
      <c r="BW701"/>
      <c r="BX701"/>
    </row>
    <row r="702" spans="45:76" x14ac:dyDescent="0.25">
      <c r="AS702" s="65"/>
      <c r="BA702"/>
      <c r="BB702"/>
      <c r="BC702"/>
      <c r="BP702" s="65"/>
      <c r="BQ702" s="65"/>
      <c r="BR702" s="65"/>
      <c r="BS702"/>
      <c r="BT702"/>
      <c r="BU702"/>
      <c r="BV702"/>
      <c r="BW702"/>
      <c r="BX702"/>
    </row>
    <row r="703" spans="45:76" x14ac:dyDescent="0.25">
      <c r="AS703" s="65"/>
      <c r="BA703"/>
      <c r="BB703"/>
      <c r="BC703"/>
      <c r="BP703" s="65"/>
      <c r="BQ703" s="65"/>
      <c r="BR703" s="65"/>
      <c r="BS703"/>
      <c r="BT703"/>
      <c r="BU703"/>
      <c r="BV703"/>
      <c r="BW703"/>
      <c r="BX703"/>
    </row>
    <row r="704" spans="45:76" x14ac:dyDescent="0.25">
      <c r="AS704" s="65"/>
      <c r="BA704"/>
      <c r="BB704"/>
      <c r="BC704"/>
      <c r="BP704" s="65"/>
      <c r="BQ704" s="65"/>
      <c r="BR704" s="65"/>
      <c r="BS704"/>
      <c r="BT704"/>
      <c r="BU704"/>
      <c r="BV704"/>
      <c r="BW704"/>
      <c r="BX704"/>
    </row>
    <row r="705" spans="45:76" x14ac:dyDescent="0.25">
      <c r="AS705" s="65"/>
      <c r="BA705"/>
      <c r="BB705"/>
      <c r="BC705"/>
      <c r="BP705" s="65"/>
      <c r="BQ705" s="65"/>
      <c r="BR705" s="65"/>
      <c r="BS705"/>
      <c r="BT705"/>
      <c r="BU705"/>
      <c r="BV705"/>
      <c r="BW705"/>
      <c r="BX705"/>
    </row>
    <row r="706" spans="45:76" x14ac:dyDescent="0.25">
      <c r="AS706" s="65"/>
      <c r="BA706"/>
      <c r="BB706"/>
      <c r="BC706"/>
      <c r="BP706" s="65"/>
      <c r="BQ706" s="65"/>
      <c r="BR706" s="65"/>
      <c r="BS706"/>
      <c r="BT706"/>
      <c r="BU706"/>
      <c r="BV706"/>
      <c r="BW706"/>
      <c r="BX706"/>
    </row>
    <row r="707" spans="45:76" x14ac:dyDescent="0.25">
      <c r="AS707" s="65"/>
      <c r="BA707"/>
      <c r="BB707"/>
      <c r="BC707"/>
      <c r="BP707" s="65"/>
      <c r="BQ707" s="65"/>
      <c r="BR707" s="65"/>
      <c r="BS707"/>
      <c r="BT707"/>
      <c r="BU707"/>
      <c r="BV707"/>
      <c r="BW707"/>
      <c r="BX707"/>
    </row>
    <row r="708" spans="45:76" x14ac:dyDescent="0.25">
      <c r="AS708" s="65"/>
      <c r="BA708"/>
      <c r="BB708"/>
      <c r="BC708"/>
      <c r="BP708" s="65"/>
      <c r="BQ708" s="65"/>
      <c r="BR708" s="65"/>
      <c r="BS708"/>
      <c r="BT708"/>
      <c r="BU708"/>
      <c r="BV708"/>
      <c r="BW708"/>
      <c r="BX708"/>
    </row>
    <row r="709" spans="45:76" x14ac:dyDescent="0.25">
      <c r="AS709" s="65"/>
      <c r="BA709"/>
      <c r="BB709"/>
      <c r="BC709"/>
      <c r="BP709" s="65"/>
      <c r="BQ709" s="65"/>
      <c r="BR709" s="65"/>
      <c r="BS709"/>
      <c r="BT709"/>
      <c r="BU709"/>
      <c r="BV709"/>
      <c r="BW709"/>
      <c r="BX709"/>
    </row>
    <row r="710" spans="45:76" x14ac:dyDescent="0.25">
      <c r="AS710" s="65"/>
      <c r="BA710"/>
      <c r="BB710"/>
      <c r="BC710"/>
      <c r="BP710" s="65"/>
      <c r="BQ710" s="65"/>
      <c r="BR710" s="65"/>
      <c r="BS710"/>
      <c r="BT710"/>
      <c r="BU710"/>
      <c r="BV710"/>
      <c r="BW710"/>
      <c r="BX710"/>
    </row>
    <row r="711" spans="45:76" x14ac:dyDescent="0.25">
      <c r="AS711" s="65"/>
      <c r="BA711"/>
      <c r="BB711"/>
      <c r="BC711"/>
      <c r="BP711" s="65"/>
      <c r="BQ711" s="65"/>
      <c r="BR711" s="65"/>
      <c r="BS711"/>
      <c r="BT711"/>
      <c r="BU711"/>
      <c r="BV711"/>
      <c r="BW711"/>
      <c r="BX711"/>
    </row>
    <row r="712" spans="45:76" x14ac:dyDescent="0.25">
      <c r="AS712" s="65"/>
      <c r="BA712"/>
      <c r="BB712"/>
      <c r="BC712"/>
      <c r="BP712" s="65"/>
      <c r="BQ712" s="65"/>
      <c r="BR712" s="65"/>
      <c r="BS712"/>
      <c r="BT712"/>
      <c r="BU712"/>
      <c r="BV712"/>
      <c r="BW712"/>
      <c r="BX712"/>
    </row>
    <row r="713" spans="45:76" x14ac:dyDescent="0.25">
      <c r="AS713" s="65"/>
      <c r="BA713"/>
      <c r="BB713"/>
      <c r="BC713"/>
      <c r="BP713" s="65"/>
      <c r="BQ713" s="65"/>
      <c r="BR713" s="65"/>
      <c r="BS713"/>
      <c r="BT713"/>
      <c r="BU713"/>
      <c r="BV713"/>
      <c r="BW713"/>
      <c r="BX713"/>
    </row>
    <row r="714" spans="45:76" x14ac:dyDescent="0.25">
      <c r="AS714" s="65"/>
      <c r="BA714"/>
      <c r="BB714"/>
      <c r="BC714"/>
      <c r="BP714" s="65"/>
      <c r="BQ714" s="65"/>
      <c r="BR714" s="65"/>
      <c r="BS714"/>
      <c r="BT714"/>
      <c r="BU714"/>
      <c r="BV714"/>
      <c r="BW714"/>
      <c r="BX714"/>
    </row>
    <row r="715" spans="45:76" x14ac:dyDescent="0.25">
      <c r="AS715" s="65"/>
      <c r="BA715"/>
      <c r="BB715"/>
      <c r="BC715"/>
      <c r="BP715" s="65"/>
      <c r="BQ715" s="65"/>
      <c r="BR715" s="65"/>
      <c r="BS715"/>
      <c r="BT715"/>
      <c r="BU715"/>
      <c r="BV715"/>
      <c r="BW715"/>
      <c r="BX715"/>
    </row>
    <row r="716" spans="45:76" x14ac:dyDescent="0.25">
      <c r="AS716" s="65"/>
      <c r="BA716"/>
      <c r="BB716"/>
      <c r="BC716"/>
      <c r="BP716" s="65"/>
      <c r="BQ716" s="65"/>
      <c r="BR716" s="65"/>
      <c r="BS716"/>
      <c r="BT716"/>
      <c r="BU716"/>
      <c r="BV716"/>
      <c r="BW716"/>
      <c r="BX716"/>
    </row>
    <row r="717" spans="45:76" x14ac:dyDescent="0.25">
      <c r="AS717" s="65"/>
      <c r="BA717"/>
      <c r="BB717"/>
      <c r="BC717"/>
      <c r="BP717" s="65"/>
      <c r="BQ717" s="65"/>
      <c r="BR717" s="65"/>
      <c r="BS717"/>
      <c r="BT717"/>
      <c r="BU717"/>
      <c r="BV717"/>
      <c r="BW717"/>
      <c r="BX717"/>
    </row>
    <row r="718" spans="45:76" x14ac:dyDescent="0.25">
      <c r="AS718" s="65"/>
      <c r="BA718"/>
      <c r="BB718"/>
      <c r="BC718"/>
      <c r="BP718" s="65"/>
      <c r="BQ718" s="65"/>
      <c r="BR718" s="65"/>
      <c r="BS718"/>
      <c r="BT718"/>
      <c r="BU718"/>
      <c r="BV718"/>
      <c r="BW718"/>
      <c r="BX718"/>
    </row>
    <row r="719" spans="45:76" x14ac:dyDescent="0.25">
      <c r="AS719" s="65"/>
      <c r="BA719"/>
      <c r="BB719"/>
      <c r="BC719"/>
      <c r="BP719" s="65"/>
      <c r="BQ719" s="65"/>
      <c r="BR719" s="65"/>
      <c r="BS719"/>
      <c r="BT719"/>
      <c r="BU719"/>
      <c r="BV719"/>
      <c r="BW719"/>
      <c r="BX719"/>
    </row>
    <row r="720" spans="45:76" x14ac:dyDescent="0.25">
      <c r="AS720" s="65"/>
      <c r="BA720"/>
      <c r="BB720"/>
      <c r="BC720"/>
      <c r="BP720" s="65"/>
      <c r="BQ720" s="65"/>
      <c r="BR720" s="65"/>
      <c r="BS720"/>
      <c r="BT720"/>
      <c r="BU720"/>
      <c r="BV720"/>
      <c r="BW720"/>
      <c r="BX720"/>
    </row>
    <row r="721" spans="45:76" x14ac:dyDescent="0.25">
      <c r="AS721" s="65"/>
      <c r="BA721"/>
      <c r="BB721"/>
      <c r="BC721"/>
      <c r="BP721" s="65"/>
      <c r="BQ721" s="65"/>
      <c r="BR721" s="65"/>
      <c r="BS721"/>
      <c r="BT721"/>
      <c r="BU721"/>
      <c r="BV721"/>
      <c r="BW721"/>
      <c r="BX721"/>
    </row>
    <row r="722" spans="45:76" x14ac:dyDescent="0.25">
      <c r="AS722" s="65"/>
      <c r="BA722"/>
      <c r="BB722"/>
      <c r="BC722"/>
      <c r="BP722" s="65"/>
      <c r="BQ722" s="65"/>
      <c r="BR722" s="65"/>
      <c r="BS722"/>
      <c r="BT722"/>
      <c r="BU722"/>
      <c r="BV722"/>
      <c r="BW722"/>
      <c r="BX722"/>
    </row>
    <row r="723" spans="45:76" x14ac:dyDescent="0.25">
      <c r="AS723" s="65"/>
      <c r="BA723"/>
      <c r="BB723"/>
      <c r="BC723"/>
      <c r="BP723" s="65"/>
      <c r="BQ723" s="65"/>
      <c r="BR723" s="65"/>
      <c r="BS723"/>
      <c r="BT723"/>
      <c r="BU723"/>
      <c r="BV723"/>
      <c r="BW723"/>
      <c r="BX723"/>
    </row>
    <row r="724" spans="45:76" x14ac:dyDescent="0.25">
      <c r="AS724" s="65"/>
      <c r="BA724"/>
      <c r="BB724"/>
      <c r="BC724"/>
      <c r="BP724" s="65"/>
      <c r="BQ724" s="65"/>
      <c r="BR724" s="65"/>
      <c r="BS724"/>
      <c r="BT724"/>
      <c r="BU724"/>
      <c r="BV724"/>
      <c r="BW724"/>
      <c r="BX724"/>
    </row>
    <row r="725" spans="45:76" x14ac:dyDescent="0.25">
      <c r="AS725" s="65"/>
      <c r="BA725"/>
      <c r="BB725"/>
      <c r="BC725"/>
      <c r="BP725" s="65"/>
      <c r="BQ725" s="65"/>
      <c r="BR725" s="65"/>
      <c r="BS725"/>
      <c r="BT725"/>
      <c r="BU725"/>
      <c r="BV725"/>
      <c r="BW725"/>
      <c r="BX725"/>
    </row>
    <row r="726" spans="45:76" x14ac:dyDescent="0.25">
      <c r="AS726" s="65"/>
      <c r="BA726"/>
      <c r="BB726"/>
      <c r="BC726"/>
      <c r="BP726" s="65"/>
      <c r="BQ726" s="65"/>
      <c r="BR726" s="65"/>
      <c r="BS726"/>
      <c r="BT726"/>
      <c r="BU726"/>
      <c r="BV726"/>
      <c r="BW726"/>
      <c r="BX726"/>
    </row>
    <row r="727" spans="45:76" x14ac:dyDescent="0.25">
      <c r="AS727" s="65"/>
      <c r="BA727"/>
      <c r="BB727"/>
      <c r="BC727"/>
      <c r="BP727" s="65"/>
      <c r="BQ727" s="65"/>
      <c r="BR727" s="65"/>
      <c r="BS727"/>
      <c r="BT727"/>
      <c r="BU727"/>
      <c r="BV727"/>
      <c r="BW727"/>
      <c r="BX727"/>
    </row>
    <row r="728" spans="45:76" x14ac:dyDescent="0.25">
      <c r="AS728" s="65"/>
      <c r="BA728"/>
      <c r="BB728"/>
      <c r="BC728"/>
      <c r="BP728" s="65"/>
      <c r="BQ728" s="65"/>
      <c r="BR728" s="65"/>
      <c r="BS728"/>
      <c r="BT728"/>
      <c r="BU728"/>
      <c r="BV728"/>
      <c r="BW728"/>
      <c r="BX728"/>
    </row>
    <row r="729" spans="45:76" x14ac:dyDescent="0.25">
      <c r="AS729" s="65"/>
      <c r="BA729"/>
      <c r="BB729"/>
      <c r="BC729"/>
      <c r="BP729" s="65"/>
      <c r="BQ729" s="65"/>
      <c r="BR729" s="65"/>
      <c r="BS729"/>
      <c r="BT729"/>
      <c r="BU729"/>
      <c r="BV729"/>
      <c r="BW729"/>
      <c r="BX729"/>
    </row>
    <row r="730" spans="45:76" x14ac:dyDescent="0.25">
      <c r="AS730" s="65"/>
      <c r="BA730"/>
      <c r="BB730"/>
      <c r="BC730"/>
      <c r="BP730" s="65"/>
      <c r="BQ730" s="65"/>
      <c r="BR730" s="65"/>
      <c r="BS730"/>
      <c r="BT730"/>
      <c r="BU730"/>
      <c r="BV730"/>
      <c r="BW730"/>
      <c r="BX730"/>
    </row>
    <row r="731" spans="45:76" x14ac:dyDescent="0.25">
      <c r="AS731" s="65"/>
      <c r="BA731"/>
      <c r="BB731"/>
      <c r="BC731"/>
      <c r="BP731" s="65"/>
      <c r="BQ731" s="65"/>
      <c r="BR731" s="65"/>
      <c r="BS731"/>
      <c r="BT731"/>
      <c r="BU731"/>
      <c r="BV731"/>
      <c r="BW731"/>
      <c r="BX731"/>
    </row>
    <row r="732" spans="45:76" x14ac:dyDescent="0.25">
      <c r="AS732" s="65"/>
      <c r="BA732"/>
      <c r="BB732"/>
      <c r="BC732"/>
      <c r="BP732" s="65"/>
      <c r="BQ732" s="65"/>
      <c r="BR732" s="65"/>
      <c r="BS732"/>
      <c r="BT732"/>
      <c r="BU732"/>
      <c r="BV732"/>
      <c r="BW732"/>
      <c r="BX732"/>
    </row>
    <row r="733" spans="45:76" x14ac:dyDescent="0.25">
      <c r="BV733"/>
      <c r="BW733"/>
      <c r="BX733"/>
    </row>
    <row r="734" spans="45:76" x14ac:dyDescent="0.25">
      <c r="BV734"/>
      <c r="BW734"/>
      <c r="BX734"/>
    </row>
    <row r="735" spans="45:76" x14ac:dyDescent="0.25">
      <c r="BV735"/>
      <c r="BW735"/>
      <c r="BX735"/>
    </row>
    <row r="736" spans="45:76" x14ac:dyDescent="0.25">
      <c r="BV736"/>
      <c r="BW736"/>
      <c r="BX736"/>
    </row>
    <row r="737" spans="74:76" x14ac:dyDescent="0.25">
      <c r="BV737"/>
      <c r="BW737"/>
      <c r="BX737"/>
    </row>
    <row r="738" spans="74:76" x14ac:dyDescent="0.25">
      <c r="BV738"/>
      <c r="BW738"/>
      <c r="BX738"/>
    </row>
    <row r="739" spans="74:76" x14ac:dyDescent="0.25">
      <c r="BV739"/>
      <c r="BW739"/>
      <c r="BX739"/>
    </row>
    <row r="740" spans="74:76" x14ac:dyDescent="0.25">
      <c r="BV740"/>
      <c r="BW740"/>
      <c r="BX740"/>
    </row>
    <row r="741" spans="74:76" x14ac:dyDescent="0.25">
      <c r="BV741"/>
      <c r="BW741"/>
      <c r="BX741"/>
    </row>
    <row r="742" spans="74:76" x14ac:dyDescent="0.25">
      <c r="BV742"/>
      <c r="BW742"/>
      <c r="BX742"/>
    </row>
    <row r="743" spans="74:76" x14ac:dyDescent="0.25">
      <c r="BV743"/>
      <c r="BW743"/>
      <c r="BX743"/>
    </row>
    <row r="744" spans="74:76" x14ac:dyDescent="0.25">
      <c r="BV744"/>
      <c r="BW744"/>
      <c r="BX744"/>
    </row>
    <row r="745" spans="74:76" x14ac:dyDescent="0.25">
      <c r="BV745"/>
      <c r="BW745"/>
      <c r="BX745"/>
    </row>
    <row r="746" spans="74:76" x14ac:dyDescent="0.25">
      <c r="BV746"/>
      <c r="BW746"/>
      <c r="BX746"/>
    </row>
    <row r="747" spans="74:76" x14ac:dyDescent="0.25">
      <c r="BV747"/>
      <c r="BW747"/>
      <c r="BX747"/>
    </row>
    <row r="748" spans="74:76" x14ac:dyDescent="0.25">
      <c r="BV748"/>
      <c r="BW748"/>
      <c r="BX748"/>
    </row>
    <row r="749" spans="74:76" x14ac:dyDescent="0.25">
      <c r="BV749"/>
      <c r="BW749"/>
      <c r="BX749"/>
    </row>
    <row r="750" spans="74:76" x14ac:dyDescent="0.25">
      <c r="BV750"/>
      <c r="BW750"/>
      <c r="BX750"/>
    </row>
    <row r="751" spans="74:76" x14ac:dyDescent="0.25">
      <c r="BV751"/>
      <c r="BW751"/>
      <c r="BX751"/>
    </row>
    <row r="752" spans="74:76" x14ac:dyDescent="0.25">
      <c r="BV752"/>
      <c r="BW752"/>
      <c r="BX752"/>
    </row>
    <row r="753" spans="74:76" x14ac:dyDescent="0.25">
      <c r="BV753"/>
      <c r="BW753"/>
      <c r="BX753"/>
    </row>
    <row r="754" spans="74:76" x14ac:dyDescent="0.25">
      <c r="BV754"/>
      <c r="BW754"/>
      <c r="BX754"/>
    </row>
    <row r="755" spans="74:76" x14ac:dyDescent="0.25">
      <c r="BV755"/>
      <c r="BW755"/>
      <c r="BX755"/>
    </row>
    <row r="756" spans="74:76" x14ac:dyDescent="0.25">
      <c r="BV756"/>
      <c r="BW756"/>
      <c r="BX756"/>
    </row>
    <row r="757" spans="74:76" x14ac:dyDescent="0.25">
      <c r="BV757"/>
      <c r="BW757"/>
      <c r="BX757"/>
    </row>
    <row r="758" spans="74:76" x14ac:dyDescent="0.25">
      <c r="BV758"/>
      <c r="BW758"/>
      <c r="BX758"/>
    </row>
    <row r="759" spans="74:76" x14ac:dyDescent="0.25">
      <c r="BV759"/>
      <c r="BW759"/>
      <c r="BX759"/>
    </row>
    <row r="760" spans="74:76" x14ac:dyDescent="0.25">
      <c r="BV760"/>
      <c r="BW760"/>
      <c r="BX760"/>
    </row>
    <row r="761" spans="74:76" x14ac:dyDescent="0.25">
      <c r="BV761"/>
      <c r="BW761"/>
      <c r="BX761"/>
    </row>
    <row r="762" spans="74:76" x14ac:dyDescent="0.25">
      <c r="BV762"/>
      <c r="BW762"/>
      <c r="BX762"/>
    </row>
    <row r="763" spans="74:76" x14ac:dyDescent="0.25">
      <c r="BV763"/>
      <c r="BW763"/>
      <c r="BX763"/>
    </row>
    <row r="764" spans="74:76" x14ac:dyDescent="0.25">
      <c r="BV764"/>
      <c r="BW764"/>
      <c r="BX764"/>
    </row>
    <row r="765" spans="74:76" x14ac:dyDescent="0.25">
      <c r="BV765"/>
      <c r="BW765"/>
      <c r="BX765"/>
    </row>
    <row r="766" spans="74:76" x14ac:dyDescent="0.25">
      <c r="BV766"/>
      <c r="BW766"/>
      <c r="BX766"/>
    </row>
    <row r="767" spans="74:76" x14ac:dyDescent="0.25">
      <c r="BV767"/>
      <c r="BW767"/>
      <c r="BX767"/>
    </row>
    <row r="768" spans="74:76" x14ac:dyDescent="0.25">
      <c r="BV768"/>
      <c r="BW768"/>
      <c r="BX768"/>
    </row>
    <row r="769" spans="74:76" x14ac:dyDescent="0.25">
      <c r="BV769"/>
      <c r="BW769"/>
      <c r="BX769"/>
    </row>
    <row r="770" spans="74:76" x14ac:dyDescent="0.25">
      <c r="BV770"/>
      <c r="BW770"/>
      <c r="BX770"/>
    </row>
    <row r="771" spans="74:76" x14ac:dyDescent="0.25">
      <c r="BV771"/>
      <c r="BW771"/>
      <c r="BX771"/>
    </row>
    <row r="772" spans="74:76" x14ac:dyDescent="0.25">
      <c r="BV772"/>
      <c r="BW772"/>
      <c r="BX772"/>
    </row>
    <row r="773" spans="74:76" x14ac:dyDescent="0.25">
      <c r="BV773"/>
      <c r="BW773"/>
      <c r="BX773"/>
    </row>
    <row r="774" spans="74:76" x14ac:dyDescent="0.25">
      <c r="BV774"/>
      <c r="BW774"/>
      <c r="BX774"/>
    </row>
    <row r="775" spans="74:76" x14ac:dyDescent="0.25">
      <c r="BV775"/>
      <c r="BW775"/>
      <c r="BX775"/>
    </row>
    <row r="776" spans="74:76" x14ac:dyDescent="0.25">
      <c r="BV776"/>
      <c r="BW776"/>
      <c r="BX776"/>
    </row>
    <row r="777" spans="74:76" x14ac:dyDescent="0.25">
      <c r="BV777"/>
      <c r="BW777"/>
      <c r="BX777"/>
    </row>
    <row r="778" spans="74:76" x14ac:dyDescent="0.25">
      <c r="BV778"/>
      <c r="BW778"/>
      <c r="BX778"/>
    </row>
    <row r="779" spans="74:76" x14ac:dyDescent="0.25">
      <c r="BV779"/>
      <c r="BW779"/>
      <c r="BX779"/>
    </row>
    <row r="780" spans="74:76" x14ac:dyDescent="0.25">
      <c r="BV780"/>
      <c r="BW780"/>
      <c r="BX780"/>
    </row>
    <row r="781" spans="74:76" x14ac:dyDescent="0.25">
      <c r="BV781"/>
      <c r="BW781"/>
      <c r="BX781"/>
    </row>
    <row r="782" spans="74:76" x14ac:dyDescent="0.25">
      <c r="BV782"/>
      <c r="BW782"/>
      <c r="BX782"/>
    </row>
    <row r="783" spans="74:76" x14ac:dyDescent="0.25">
      <c r="BV783"/>
      <c r="BW783"/>
      <c r="BX783"/>
    </row>
    <row r="784" spans="74:76" x14ac:dyDescent="0.25">
      <c r="BV784"/>
      <c r="BW784"/>
      <c r="BX784"/>
    </row>
    <row r="785" spans="74:76" x14ac:dyDescent="0.25">
      <c r="BV785"/>
      <c r="BW785"/>
      <c r="BX785"/>
    </row>
    <row r="786" spans="74:76" x14ac:dyDescent="0.25">
      <c r="BV786"/>
      <c r="BW786"/>
      <c r="BX786"/>
    </row>
    <row r="787" spans="74:76" x14ac:dyDescent="0.25">
      <c r="BV787"/>
      <c r="BW787"/>
      <c r="BX787"/>
    </row>
    <row r="788" spans="74:76" x14ac:dyDescent="0.25">
      <c r="BV788"/>
      <c r="BW788"/>
      <c r="BX788"/>
    </row>
    <row r="789" spans="74:76" x14ac:dyDescent="0.25">
      <c r="BV789"/>
      <c r="BW789"/>
      <c r="BX789"/>
    </row>
    <row r="790" spans="74:76" x14ac:dyDescent="0.25">
      <c r="BV790"/>
      <c r="BW790"/>
      <c r="BX790"/>
    </row>
    <row r="791" spans="74:76" x14ac:dyDescent="0.25">
      <c r="BV791"/>
      <c r="BW791"/>
      <c r="BX791"/>
    </row>
    <row r="792" spans="74:76" x14ac:dyDescent="0.25">
      <c r="BV792"/>
      <c r="BW792"/>
      <c r="BX792"/>
    </row>
    <row r="793" spans="74:76" x14ac:dyDescent="0.25">
      <c r="BV793"/>
      <c r="BW793"/>
      <c r="BX793"/>
    </row>
    <row r="794" spans="74:76" x14ac:dyDescent="0.25">
      <c r="BV794"/>
      <c r="BW794"/>
      <c r="BX794"/>
    </row>
    <row r="795" spans="74:76" x14ac:dyDescent="0.25">
      <c r="BV795"/>
      <c r="BW795"/>
      <c r="BX795"/>
    </row>
    <row r="796" spans="74:76" x14ac:dyDescent="0.25">
      <c r="BV796"/>
      <c r="BW796"/>
      <c r="BX796"/>
    </row>
    <row r="797" spans="74:76" x14ac:dyDescent="0.25">
      <c r="BV797"/>
      <c r="BW797"/>
      <c r="BX797"/>
    </row>
    <row r="798" spans="74:76" x14ac:dyDescent="0.25">
      <c r="BV798"/>
      <c r="BW798"/>
      <c r="BX798"/>
    </row>
    <row r="799" spans="74:76" x14ac:dyDescent="0.25">
      <c r="BV799"/>
      <c r="BW799"/>
      <c r="BX799"/>
    </row>
    <row r="800" spans="74:76" x14ac:dyDescent="0.25">
      <c r="BV800"/>
      <c r="BW800"/>
      <c r="BX800"/>
    </row>
    <row r="801" spans="74:76" x14ac:dyDescent="0.25">
      <c r="BV801"/>
      <c r="BW801"/>
      <c r="BX801"/>
    </row>
    <row r="802" spans="74:76" x14ac:dyDescent="0.25">
      <c r="BV802"/>
      <c r="BW802"/>
      <c r="BX802"/>
    </row>
    <row r="803" spans="74:76" x14ac:dyDescent="0.25">
      <c r="BV803"/>
      <c r="BW803"/>
      <c r="BX803"/>
    </row>
    <row r="804" spans="74:76" x14ac:dyDescent="0.25">
      <c r="BV804"/>
      <c r="BW804"/>
      <c r="BX804"/>
    </row>
    <row r="805" spans="74:76" x14ac:dyDescent="0.25">
      <c r="BV805"/>
      <c r="BW805"/>
      <c r="BX805"/>
    </row>
    <row r="806" spans="74:76" x14ac:dyDescent="0.25">
      <c r="BV806"/>
      <c r="BW806"/>
      <c r="BX806"/>
    </row>
    <row r="807" spans="74:76" x14ac:dyDescent="0.25">
      <c r="BV807"/>
      <c r="BW807"/>
      <c r="BX807"/>
    </row>
    <row r="808" spans="74:76" x14ac:dyDescent="0.25">
      <c r="BV808"/>
      <c r="BW808"/>
      <c r="BX808"/>
    </row>
    <row r="809" spans="74:76" x14ac:dyDescent="0.25">
      <c r="BV809"/>
      <c r="BW809"/>
      <c r="BX809"/>
    </row>
    <row r="810" spans="74:76" x14ac:dyDescent="0.25">
      <c r="BV810"/>
      <c r="BW810"/>
      <c r="BX810"/>
    </row>
    <row r="811" spans="74:76" x14ac:dyDescent="0.25">
      <c r="BV811"/>
      <c r="BW811"/>
      <c r="BX811"/>
    </row>
    <row r="812" spans="74:76" x14ac:dyDescent="0.25">
      <c r="BV812"/>
      <c r="BW812"/>
      <c r="BX812"/>
    </row>
    <row r="813" spans="74:76" x14ac:dyDescent="0.25">
      <c r="BV813"/>
      <c r="BW813"/>
      <c r="BX813"/>
    </row>
    <row r="814" spans="74:76" x14ac:dyDescent="0.25">
      <c r="BV814"/>
      <c r="BW814"/>
      <c r="BX814"/>
    </row>
    <row r="815" spans="74:76" x14ac:dyDescent="0.25">
      <c r="BV815"/>
      <c r="BW815"/>
      <c r="BX815"/>
    </row>
    <row r="816" spans="74:76" x14ac:dyDescent="0.25">
      <c r="BV816"/>
      <c r="BW816"/>
      <c r="BX816"/>
    </row>
    <row r="817" spans="74:76" x14ac:dyDescent="0.25">
      <c r="BV817"/>
      <c r="BW817"/>
      <c r="BX817"/>
    </row>
    <row r="818" spans="74:76" x14ac:dyDescent="0.25">
      <c r="BV818"/>
      <c r="BW818"/>
      <c r="BX818"/>
    </row>
    <row r="819" spans="74:76" x14ac:dyDescent="0.25">
      <c r="BV819"/>
      <c r="BW819"/>
      <c r="BX819"/>
    </row>
    <row r="820" spans="74:76" x14ac:dyDescent="0.25">
      <c r="BV820"/>
      <c r="BW820"/>
      <c r="BX820"/>
    </row>
    <row r="821" spans="74:76" x14ac:dyDescent="0.25">
      <c r="BV821"/>
      <c r="BW821"/>
      <c r="BX821"/>
    </row>
    <row r="822" spans="74:76" x14ac:dyDescent="0.25">
      <c r="BV822"/>
      <c r="BW822"/>
      <c r="BX822"/>
    </row>
    <row r="823" spans="74:76" x14ac:dyDescent="0.25">
      <c r="BV823"/>
      <c r="BW823"/>
      <c r="BX823"/>
    </row>
    <row r="824" spans="74:76" x14ac:dyDescent="0.25">
      <c r="BV824"/>
      <c r="BW824"/>
      <c r="BX824"/>
    </row>
    <row r="825" spans="74:76" x14ac:dyDescent="0.25">
      <c r="BV825"/>
      <c r="BW825"/>
      <c r="BX825"/>
    </row>
    <row r="826" spans="74:76" x14ac:dyDescent="0.25">
      <c r="BV826"/>
      <c r="BW826"/>
      <c r="BX826"/>
    </row>
    <row r="827" spans="74:76" x14ac:dyDescent="0.25">
      <c r="BV827"/>
      <c r="BW827"/>
      <c r="BX827"/>
    </row>
    <row r="828" spans="74:76" x14ac:dyDescent="0.25">
      <c r="BV828"/>
      <c r="BW828"/>
      <c r="BX828"/>
    </row>
    <row r="829" spans="74:76" x14ac:dyDescent="0.25">
      <c r="BV829"/>
      <c r="BW829"/>
      <c r="BX829"/>
    </row>
    <row r="830" spans="74:76" x14ac:dyDescent="0.25">
      <c r="BV830"/>
      <c r="BW830"/>
      <c r="BX830"/>
    </row>
    <row r="831" spans="74:76" x14ac:dyDescent="0.25">
      <c r="BV831"/>
      <c r="BW831"/>
      <c r="BX831"/>
    </row>
    <row r="832" spans="74:76" x14ac:dyDescent="0.25">
      <c r="BV832"/>
      <c r="BW832"/>
      <c r="BX832"/>
    </row>
    <row r="833" spans="74:76" x14ac:dyDescent="0.25">
      <c r="BV833"/>
      <c r="BW833"/>
      <c r="BX833"/>
    </row>
    <row r="834" spans="74:76" x14ac:dyDescent="0.25">
      <c r="BV834"/>
      <c r="BW834"/>
      <c r="BX834"/>
    </row>
    <row r="835" spans="74:76" x14ac:dyDescent="0.25">
      <c r="BV835"/>
      <c r="BW835"/>
      <c r="BX835"/>
    </row>
    <row r="836" spans="74:76" x14ac:dyDescent="0.25">
      <c r="BV836"/>
      <c r="BW836"/>
      <c r="BX836"/>
    </row>
    <row r="837" spans="74:76" x14ac:dyDescent="0.25">
      <c r="BV837"/>
      <c r="BW837"/>
      <c r="BX837"/>
    </row>
    <row r="838" spans="74:76" x14ac:dyDescent="0.25">
      <c r="BV838"/>
      <c r="BW838"/>
      <c r="BX838"/>
    </row>
    <row r="839" spans="74:76" x14ac:dyDescent="0.25">
      <c r="BV839"/>
      <c r="BW839"/>
      <c r="BX839"/>
    </row>
    <row r="840" spans="74:76" x14ac:dyDescent="0.25">
      <c r="BV840"/>
      <c r="BW840"/>
      <c r="BX840"/>
    </row>
    <row r="841" spans="74:76" x14ac:dyDescent="0.25">
      <c r="BV841"/>
      <c r="BW841"/>
      <c r="BX841"/>
    </row>
    <row r="842" spans="74:76" x14ac:dyDescent="0.25">
      <c r="BV842"/>
      <c r="BW842"/>
      <c r="BX842"/>
    </row>
    <row r="843" spans="74:76" x14ac:dyDescent="0.25">
      <c r="BV843"/>
      <c r="BW843"/>
      <c r="BX843"/>
    </row>
    <row r="844" spans="74:76" x14ac:dyDescent="0.25">
      <c r="BV844"/>
      <c r="BW844"/>
      <c r="BX844"/>
    </row>
    <row r="845" spans="74:76" x14ac:dyDescent="0.25">
      <c r="BV845"/>
      <c r="BW845"/>
      <c r="BX845"/>
    </row>
    <row r="846" spans="74:76" x14ac:dyDescent="0.25">
      <c r="BV846"/>
      <c r="BW846"/>
      <c r="BX846"/>
    </row>
    <row r="847" spans="74:76" x14ac:dyDescent="0.25">
      <c r="BV847"/>
      <c r="BW847"/>
      <c r="BX847"/>
    </row>
    <row r="848" spans="74:76" x14ac:dyDescent="0.25">
      <c r="BV848"/>
      <c r="BW848"/>
      <c r="BX848"/>
    </row>
    <row r="849" spans="74:76" x14ac:dyDescent="0.25">
      <c r="BV849"/>
      <c r="BW849"/>
      <c r="BX849"/>
    </row>
    <row r="850" spans="74:76" x14ac:dyDescent="0.25">
      <c r="BV850"/>
      <c r="BW850"/>
      <c r="BX850"/>
    </row>
    <row r="851" spans="74:76" x14ac:dyDescent="0.25">
      <c r="BV851"/>
      <c r="BW851"/>
      <c r="BX851"/>
    </row>
    <row r="852" spans="74:76" x14ac:dyDescent="0.25">
      <c r="BV852"/>
      <c r="BW852"/>
      <c r="BX852"/>
    </row>
    <row r="853" spans="74:76" x14ac:dyDescent="0.25">
      <c r="BV853"/>
      <c r="BW853"/>
      <c r="BX853"/>
    </row>
    <row r="854" spans="74:76" x14ac:dyDescent="0.25">
      <c r="BV854"/>
      <c r="BW854"/>
      <c r="BX854"/>
    </row>
    <row r="855" spans="74:76" x14ac:dyDescent="0.25">
      <c r="BV855"/>
      <c r="BW855"/>
      <c r="BX855"/>
    </row>
    <row r="856" spans="74:76" x14ac:dyDescent="0.25">
      <c r="BV856"/>
      <c r="BW856"/>
      <c r="BX856"/>
    </row>
    <row r="857" spans="74:76" x14ac:dyDescent="0.25">
      <c r="BV857"/>
      <c r="BW857"/>
      <c r="BX857"/>
    </row>
    <row r="858" spans="74:76" x14ac:dyDescent="0.25">
      <c r="BV858"/>
      <c r="BW858"/>
      <c r="BX858"/>
    </row>
    <row r="859" spans="74:76" x14ac:dyDescent="0.25">
      <c r="BV859"/>
      <c r="BW859"/>
      <c r="BX859"/>
    </row>
    <row r="860" spans="74:76" x14ac:dyDescent="0.25">
      <c r="BV860"/>
      <c r="BW860"/>
      <c r="BX860"/>
    </row>
    <row r="861" spans="74:76" x14ac:dyDescent="0.25">
      <c r="BV861"/>
      <c r="BW861"/>
      <c r="BX861"/>
    </row>
    <row r="862" spans="74:76" x14ac:dyDescent="0.25">
      <c r="BV862"/>
      <c r="BW862"/>
      <c r="BX862"/>
    </row>
    <row r="863" spans="74:76" x14ac:dyDescent="0.25">
      <c r="BV863"/>
      <c r="BW863"/>
      <c r="BX863"/>
    </row>
    <row r="864" spans="74:76" x14ac:dyDescent="0.25">
      <c r="BV864"/>
      <c r="BW864"/>
      <c r="BX864"/>
    </row>
    <row r="865" spans="74:76" x14ac:dyDescent="0.25">
      <c r="BV865"/>
      <c r="BW865"/>
      <c r="BX865"/>
    </row>
    <row r="866" spans="74:76" x14ac:dyDescent="0.25">
      <c r="BV866"/>
      <c r="BW866"/>
      <c r="BX866"/>
    </row>
    <row r="867" spans="74:76" x14ac:dyDescent="0.25">
      <c r="BV867"/>
      <c r="BW867"/>
      <c r="BX867"/>
    </row>
    <row r="868" spans="74:76" x14ac:dyDescent="0.25">
      <c r="BV868"/>
      <c r="BW868"/>
      <c r="BX868"/>
    </row>
    <row r="869" spans="74:76" x14ac:dyDescent="0.25">
      <c r="BV869"/>
      <c r="BW869"/>
      <c r="BX869"/>
    </row>
    <row r="870" spans="74:76" x14ac:dyDescent="0.25">
      <c r="BV870"/>
      <c r="BW870"/>
      <c r="BX870"/>
    </row>
    <row r="871" spans="74:76" x14ac:dyDescent="0.25">
      <c r="BV871"/>
      <c r="BW871"/>
      <c r="BX871"/>
    </row>
    <row r="872" spans="74:76" x14ac:dyDescent="0.25">
      <c r="BV872"/>
      <c r="BW872"/>
      <c r="BX872"/>
    </row>
    <row r="873" spans="74:76" x14ac:dyDescent="0.25">
      <c r="BV873"/>
      <c r="BW873"/>
      <c r="BX873"/>
    </row>
    <row r="874" spans="74:76" x14ac:dyDescent="0.25">
      <c r="BV874"/>
      <c r="BW874"/>
      <c r="BX874"/>
    </row>
    <row r="875" spans="74:76" x14ac:dyDescent="0.25">
      <c r="BV875"/>
      <c r="BW875"/>
      <c r="BX875"/>
    </row>
    <row r="876" spans="74:76" x14ac:dyDescent="0.25">
      <c r="BV876"/>
      <c r="BW876"/>
      <c r="BX876"/>
    </row>
    <row r="877" spans="74:76" x14ac:dyDescent="0.25">
      <c r="BV877"/>
      <c r="BW877"/>
      <c r="BX877"/>
    </row>
    <row r="878" spans="74:76" x14ac:dyDescent="0.25">
      <c r="BV878"/>
      <c r="BW878"/>
      <c r="BX878"/>
    </row>
    <row r="879" spans="74:76" x14ac:dyDescent="0.25">
      <c r="BV879"/>
      <c r="BW879"/>
      <c r="BX879"/>
    </row>
    <row r="880" spans="74:76" x14ac:dyDescent="0.25">
      <c r="BV880"/>
      <c r="BW880"/>
      <c r="BX880"/>
    </row>
    <row r="881" spans="74:76" x14ac:dyDescent="0.25">
      <c r="BV881"/>
      <c r="BW881"/>
      <c r="BX881"/>
    </row>
    <row r="882" spans="74:76" x14ac:dyDescent="0.25">
      <c r="BV882"/>
      <c r="BW882"/>
      <c r="BX882"/>
    </row>
    <row r="883" spans="74:76" x14ac:dyDescent="0.25">
      <c r="BV883"/>
      <c r="BW883"/>
      <c r="BX883"/>
    </row>
    <row r="884" spans="74:76" x14ac:dyDescent="0.25">
      <c r="BV884"/>
      <c r="BW884"/>
      <c r="BX884"/>
    </row>
    <row r="885" spans="74:76" x14ac:dyDescent="0.25">
      <c r="BV885"/>
      <c r="BW885"/>
      <c r="BX885"/>
    </row>
    <row r="886" spans="74:76" x14ac:dyDescent="0.25">
      <c r="BV886"/>
      <c r="BW886"/>
      <c r="BX886"/>
    </row>
    <row r="887" spans="74:76" x14ac:dyDescent="0.25">
      <c r="BV887"/>
      <c r="BW887"/>
      <c r="BX887"/>
    </row>
    <row r="888" spans="74:76" x14ac:dyDescent="0.25">
      <c r="BV888"/>
      <c r="BW888"/>
      <c r="BX888"/>
    </row>
    <row r="889" spans="74:76" x14ac:dyDescent="0.25">
      <c r="BV889"/>
      <c r="BW889"/>
      <c r="BX889"/>
    </row>
    <row r="890" spans="74:76" x14ac:dyDescent="0.25">
      <c r="BV890"/>
      <c r="BW890"/>
      <c r="BX890"/>
    </row>
    <row r="891" spans="74:76" x14ac:dyDescent="0.25">
      <c r="BV891"/>
      <c r="BW891"/>
      <c r="BX891"/>
    </row>
    <row r="892" spans="74:76" x14ac:dyDescent="0.25">
      <c r="BV892"/>
      <c r="BW892"/>
      <c r="BX892"/>
    </row>
    <row r="893" spans="74:76" x14ac:dyDescent="0.25">
      <c r="BV893"/>
      <c r="BW893"/>
      <c r="BX893"/>
    </row>
    <row r="894" spans="74:76" x14ac:dyDescent="0.25">
      <c r="BV894"/>
      <c r="BW894"/>
      <c r="BX894"/>
    </row>
    <row r="895" spans="74:76" x14ac:dyDescent="0.25">
      <c r="BV895"/>
      <c r="BW895"/>
      <c r="BX895"/>
    </row>
    <row r="896" spans="74:76" x14ac:dyDescent="0.25">
      <c r="BV896"/>
      <c r="BW896"/>
      <c r="BX896"/>
    </row>
    <row r="897" spans="74:76" x14ac:dyDescent="0.25">
      <c r="BV897"/>
      <c r="BW897"/>
      <c r="BX897"/>
    </row>
    <row r="898" spans="74:76" x14ac:dyDescent="0.25">
      <c r="BV898"/>
      <c r="BW898"/>
      <c r="BX898"/>
    </row>
    <row r="899" spans="74:76" x14ac:dyDescent="0.25">
      <c r="BV899"/>
      <c r="BW899"/>
      <c r="BX899"/>
    </row>
    <row r="900" spans="74:76" x14ac:dyDescent="0.25">
      <c r="BV900"/>
      <c r="BW900"/>
      <c r="BX900"/>
    </row>
    <row r="901" spans="74:76" x14ac:dyDescent="0.25">
      <c r="BV901"/>
      <c r="BW901"/>
      <c r="BX901"/>
    </row>
    <row r="902" spans="74:76" x14ac:dyDescent="0.25">
      <c r="BV902"/>
      <c r="BW902"/>
      <c r="BX902"/>
    </row>
    <row r="903" spans="74:76" x14ac:dyDescent="0.25">
      <c r="BV903"/>
      <c r="BW903"/>
      <c r="BX903"/>
    </row>
    <row r="904" spans="74:76" x14ac:dyDescent="0.25">
      <c r="BV904"/>
      <c r="BW904"/>
      <c r="BX904"/>
    </row>
    <row r="905" spans="74:76" x14ac:dyDescent="0.25">
      <c r="BV905"/>
      <c r="BW905"/>
      <c r="BX905"/>
    </row>
    <row r="906" spans="74:76" x14ac:dyDescent="0.25">
      <c r="BV906"/>
      <c r="BW906"/>
      <c r="BX906"/>
    </row>
    <row r="907" spans="74:76" x14ac:dyDescent="0.25">
      <c r="BV907"/>
      <c r="BW907"/>
      <c r="BX907"/>
    </row>
    <row r="908" spans="74:76" x14ac:dyDescent="0.25">
      <c r="BV908"/>
      <c r="BW908"/>
      <c r="BX908"/>
    </row>
    <row r="909" spans="74:76" x14ac:dyDescent="0.25">
      <c r="BV909"/>
      <c r="BW909"/>
      <c r="BX909"/>
    </row>
    <row r="910" spans="74:76" x14ac:dyDescent="0.25">
      <c r="BV910"/>
      <c r="BW910"/>
      <c r="BX910"/>
    </row>
    <row r="911" spans="74:76" x14ac:dyDescent="0.25">
      <c r="BV911"/>
      <c r="BW911"/>
      <c r="BX911"/>
    </row>
    <row r="912" spans="74:76" x14ac:dyDescent="0.25">
      <c r="BV912"/>
      <c r="BW912"/>
      <c r="BX912"/>
    </row>
    <row r="913" spans="74:76" x14ac:dyDescent="0.25">
      <c r="BV913"/>
      <c r="BW913"/>
      <c r="BX913"/>
    </row>
    <row r="914" spans="74:76" x14ac:dyDescent="0.25">
      <c r="BV914"/>
      <c r="BW914"/>
      <c r="BX914"/>
    </row>
    <row r="915" spans="74:76" x14ac:dyDescent="0.25">
      <c r="BV915"/>
      <c r="BW915"/>
      <c r="BX915"/>
    </row>
    <row r="916" spans="74:76" x14ac:dyDescent="0.25">
      <c r="BV916"/>
      <c r="BW916"/>
      <c r="BX916"/>
    </row>
    <row r="917" spans="74:76" x14ac:dyDescent="0.25">
      <c r="BV917"/>
      <c r="BW917"/>
      <c r="BX917"/>
    </row>
    <row r="918" spans="74:76" x14ac:dyDescent="0.25">
      <c r="BV918"/>
      <c r="BW918"/>
      <c r="BX918"/>
    </row>
    <row r="919" spans="74:76" x14ac:dyDescent="0.25">
      <c r="BV919"/>
      <c r="BW919"/>
      <c r="BX919"/>
    </row>
    <row r="920" spans="74:76" x14ac:dyDescent="0.25">
      <c r="BV920"/>
      <c r="BW920"/>
      <c r="BX920"/>
    </row>
    <row r="921" spans="74:76" x14ac:dyDescent="0.25">
      <c r="BV921"/>
      <c r="BW921"/>
      <c r="BX921"/>
    </row>
    <row r="922" spans="74:76" x14ac:dyDescent="0.25">
      <c r="BV922"/>
      <c r="BW922"/>
      <c r="BX922"/>
    </row>
    <row r="923" spans="74:76" x14ac:dyDescent="0.25">
      <c r="BV923"/>
      <c r="BW923"/>
      <c r="BX923"/>
    </row>
    <row r="924" spans="74:76" x14ac:dyDescent="0.25">
      <c r="BV924"/>
      <c r="BW924"/>
      <c r="BX924"/>
    </row>
    <row r="925" spans="74:76" x14ac:dyDescent="0.25">
      <c r="BV925"/>
      <c r="BW925"/>
      <c r="BX925"/>
    </row>
    <row r="926" spans="74:76" x14ac:dyDescent="0.25">
      <c r="BV926"/>
      <c r="BW926"/>
      <c r="BX926"/>
    </row>
    <row r="927" spans="74:76" x14ac:dyDescent="0.25">
      <c r="BV927"/>
      <c r="BW927"/>
      <c r="BX927"/>
    </row>
    <row r="928" spans="74:76" x14ac:dyDescent="0.25">
      <c r="BV928"/>
      <c r="BW928"/>
      <c r="BX928"/>
    </row>
    <row r="929" spans="74:76" x14ac:dyDescent="0.25">
      <c r="BV929"/>
      <c r="BW929"/>
      <c r="BX929"/>
    </row>
    <row r="930" spans="74:76" x14ac:dyDescent="0.25">
      <c r="BV930"/>
      <c r="BW930"/>
      <c r="BX930"/>
    </row>
    <row r="931" spans="74:76" x14ac:dyDescent="0.25">
      <c r="BV931"/>
      <c r="BW931"/>
      <c r="BX931"/>
    </row>
    <row r="932" spans="74:76" x14ac:dyDescent="0.25">
      <c r="BV932"/>
      <c r="BW932"/>
      <c r="BX932"/>
    </row>
    <row r="933" spans="74:76" x14ac:dyDescent="0.25">
      <c r="BV933"/>
      <c r="BW933"/>
      <c r="BX933"/>
    </row>
    <row r="934" spans="74:76" x14ac:dyDescent="0.25">
      <c r="BV934"/>
      <c r="BW934"/>
      <c r="BX934"/>
    </row>
    <row r="935" spans="74:76" x14ac:dyDescent="0.25">
      <c r="BV935"/>
      <c r="BW935"/>
      <c r="BX935"/>
    </row>
    <row r="936" spans="74:76" x14ac:dyDescent="0.25">
      <c r="BV936"/>
      <c r="BW936"/>
      <c r="BX936"/>
    </row>
    <row r="937" spans="74:76" x14ac:dyDescent="0.25">
      <c r="BV937"/>
      <c r="BW937"/>
      <c r="BX937"/>
    </row>
    <row r="938" spans="74:76" x14ac:dyDescent="0.25">
      <c r="BV938"/>
      <c r="BW938"/>
      <c r="BX938"/>
    </row>
    <row r="939" spans="74:76" x14ac:dyDescent="0.25">
      <c r="BV939"/>
      <c r="BW939"/>
      <c r="BX939"/>
    </row>
    <row r="940" spans="74:76" x14ac:dyDescent="0.25">
      <c r="BV940"/>
      <c r="BW940"/>
      <c r="BX940"/>
    </row>
    <row r="941" spans="74:76" x14ac:dyDescent="0.25">
      <c r="BV941"/>
      <c r="BW941"/>
      <c r="BX941"/>
    </row>
    <row r="942" spans="74:76" x14ac:dyDescent="0.25">
      <c r="BV942"/>
      <c r="BW942"/>
      <c r="BX942"/>
    </row>
    <row r="943" spans="74:76" x14ac:dyDescent="0.25">
      <c r="BV943"/>
      <c r="BW943"/>
      <c r="BX943"/>
    </row>
    <row r="944" spans="74:76" x14ac:dyDescent="0.25">
      <c r="BV944"/>
      <c r="BW944"/>
      <c r="BX944"/>
    </row>
    <row r="945" spans="74:76" x14ac:dyDescent="0.25">
      <c r="BV945"/>
      <c r="BW945"/>
      <c r="BX945"/>
    </row>
    <row r="946" spans="74:76" x14ac:dyDescent="0.25">
      <c r="BV946"/>
      <c r="BW946"/>
      <c r="BX946"/>
    </row>
    <row r="947" spans="74:76" x14ac:dyDescent="0.25">
      <c r="BV947"/>
      <c r="BW947"/>
      <c r="BX947"/>
    </row>
    <row r="948" spans="74:76" x14ac:dyDescent="0.25">
      <c r="BV948"/>
      <c r="BW948"/>
      <c r="BX948"/>
    </row>
    <row r="949" spans="74:76" x14ac:dyDescent="0.25">
      <c r="BV949"/>
      <c r="BW949"/>
      <c r="BX949"/>
    </row>
    <row r="950" spans="74:76" x14ac:dyDescent="0.25">
      <c r="BV950"/>
      <c r="BW950"/>
      <c r="BX950"/>
    </row>
    <row r="951" spans="74:76" x14ac:dyDescent="0.25">
      <c r="BV951"/>
      <c r="BW951"/>
      <c r="BX951"/>
    </row>
    <row r="952" spans="74:76" x14ac:dyDescent="0.25">
      <c r="BV952"/>
      <c r="BW952"/>
      <c r="BX952"/>
    </row>
    <row r="953" spans="74:76" x14ac:dyDescent="0.25">
      <c r="BV953"/>
      <c r="BW953"/>
      <c r="BX953"/>
    </row>
    <row r="954" spans="74:76" x14ac:dyDescent="0.25">
      <c r="BV954"/>
      <c r="BW954"/>
      <c r="BX954"/>
    </row>
    <row r="955" spans="74:76" x14ac:dyDescent="0.25">
      <c r="BV955"/>
      <c r="BW955"/>
      <c r="BX955"/>
    </row>
    <row r="956" spans="74:76" x14ac:dyDescent="0.25">
      <c r="BV956"/>
      <c r="BW956"/>
      <c r="BX956"/>
    </row>
    <row r="957" spans="74:76" x14ac:dyDescent="0.25">
      <c r="BV957"/>
      <c r="BW957"/>
      <c r="BX957"/>
    </row>
    <row r="958" spans="74:76" x14ac:dyDescent="0.25">
      <c r="BV958"/>
      <c r="BW958"/>
      <c r="BX958"/>
    </row>
    <row r="959" spans="74:76" x14ac:dyDescent="0.25">
      <c r="BV959"/>
      <c r="BW959"/>
      <c r="BX959"/>
    </row>
    <row r="960" spans="74:76" x14ac:dyDescent="0.25">
      <c r="BV960"/>
      <c r="BW960"/>
      <c r="BX960"/>
    </row>
    <row r="961" spans="74:76" x14ac:dyDescent="0.25">
      <c r="BV961"/>
      <c r="BW961"/>
      <c r="BX961"/>
    </row>
    <row r="962" spans="74:76" x14ac:dyDescent="0.25">
      <c r="BV962"/>
      <c r="BW962"/>
      <c r="BX962"/>
    </row>
    <row r="963" spans="74:76" x14ac:dyDescent="0.25">
      <c r="BV963"/>
      <c r="BW963"/>
      <c r="BX963"/>
    </row>
    <row r="964" spans="74:76" x14ac:dyDescent="0.25">
      <c r="BV964"/>
      <c r="BW964"/>
      <c r="BX964"/>
    </row>
    <row r="965" spans="74:76" x14ac:dyDescent="0.25">
      <c r="BV965"/>
      <c r="BW965"/>
      <c r="BX965"/>
    </row>
    <row r="966" spans="74:76" x14ac:dyDescent="0.25">
      <c r="BV966"/>
      <c r="BW966"/>
      <c r="BX966"/>
    </row>
    <row r="967" spans="74:76" x14ac:dyDescent="0.25">
      <c r="BV967"/>
      <c r="BW967"/>
      <c r="BX967"/>
    </row>
    <row r="968" spans="74:76" x14ac:dyDescent="0.25">
      <c r="BV968"/>
      <c r="BW968"/>
      <c r="BX968"/>
    </row>
    <row r="969" spans="74:76" x14ac:dyDescent="0.25">
      <c r="BV969"/>
      <c r="BW969"/>
      <c r="BX969"/>
    </row>
    <row r="970" spans="74:76" x14ac:dyDescent="0.25">
      <c r="BV970"/>
      <c r="BW970"/>
      <c r="BX970"/>
    </row>
    <row r="971" spans="74:76" x14ac:dyDescent="0.25">
      <c r="BV971"/>
      <c r="BW971"/>
      <c r="BX971"/>
    </row>
    <row r="972" spans="74:76" x14ac:dyDescent="0.25">
      <c r="BV972"/>
      <c r="BW972"/>
      <c r="BX972"/>
    </row>
    <row r="973" spans="74:76" x14ac:dyDescent="0.25">
      <c r="BV973"/>
      <c r="BW973"/>
      <c r="BX973"/>
    </row>
    <row r="974" spans="74:76" x14ac:dyDescent="0.25">
      <c r="BV974"/>
      <c r="BW974"/>
      <c r="BX974"/>
    </row>
    <row r="975" spans="74:76" x14ac:dyDescent="0.25">
      <c r="BV975"/>
      <c r="BW975"/>
      <c r="BX975"/>
    </row>
    <row r="976" spans="74:76" x14ac:dyDescent="0.25">
      <c r="BV976"/>
      <c r="BW976"/>
      <c r="BX976"/>
    </row>
    <row r="977" spans="74:76" x14ac:dyDescent="0.25">
      <c r="BV977"/>
      <c r="BW977"/>
      <c r="BX977"/>
    </row>
    <row r="978" spans="74:76" x14ac:dyDescent="0.25">
      <c r="BV978"/>
      <c r="BW978"/>
      <c r="BX978"/>
    </row>
    <row r="979" spans="74:76" x14ac:dyDescent="0.25">
      <c r="BV979"/>
      <c r="BW979"/>
      <c r="BX979"/>
    </row>
    <row r="980" spans="74:76" x14ac:dyDescent="0.25">
      <c r="BV980"/>
      <c r="BW980"/>
      <c r="BX980"/>
    </row>
    <row r="981" spans="74:76" x14ac:dyDescent="0.25">
      <c r="BV981"/>
      <c r="BW981"/>
      <c r="BX981"/>
    </row>
    <row r="982" spans="74:76" x14ac:dyDescent="0.25">
      <c r="BV982"/>
      <c r="BW982"/>
      <c r="BX982"/>
    </row>
    <row r="983" spans="74:76" x14ac:dyDescent="0.25">
      <c r="BV983"/>
      <c r="BW983"/>
      <c r="BX983"/>
    </row>
    <row r="984" spans="74:76" x14ac:dyDescent="0.25">
      <c r="BV984"/>
      <c r="BW984"/>
      <c r="BX984"/>
    </row>
    <row r="985" spans="74:76" x14ac:dyDescent="0.25">
      <c r="BV985"/>
      <c r="BW985"/>
      <c r="BX985"/>
    </row>
    <row r="986" spans="74:76" x14ac:dyDescent="0.25">
      <c r="BV986"/>
      <c r="BW986"/>
      <c r="BX986"/>
    </row>
    <row r="987" spans="74:76" x14ac:dyDescent="0.25">
      <c r="BV987"/>
      <c r="BW987"/>
      <c r="BX987"/>
    </row>
    <row r="988" spans="74:76" x14ac:dyDescent="0.25">
      <c r="BV988"/>
      <c r="BW988"/>
      <c r="BX988"/>
    </row>
    <row r="989" spans="74:76" x14ac:dyDescent="0.25">
      <c r="BV989"/>
      <c r="BW989"/>
      <c r="BX989"/>
    </row>
    <row r="990" spans="74:76" x14ac:dyDescent="0.25">
      <c r="BV990"/>
      <c r="BW990"/>
      <c r="BX990"/>
    </row>
    <row r="991" spans="74:76" x14ac:dyDescent="0.25">
      <c r="BV991"/>
      <c r="BW991"/>
      <c r="BX991"/>
    </row>
    <row r="992" spans="74:76" x14ac:dyDescent="0.25">
      <c r="BV992"/>
      <c r="BW992"/>
      <c r="BX992"/>
    </row>
    <row r="993" spans="74:76" x14ac:dyDescent="0.25">
      <c r="BV993"/>
      <c r="BW993"/>
      <c r="BX993"/>
    </row>
    <row r="994" spans="74:76" x14ac:dyDescent="0.25">
      <c r="BV994"/>
      <c r="BW994"/>
      <c r="BX994"/>
    </row>
    <row r="995" spans="74:76" x14ac:dyDescent="0.25">
      <c r="BV995"/>
      <c r="BW995"/>
      <c r="BX995"/>
    </row>
    <row r="996" spans="74:76" x14ac:dyDescent="0.25">
      <c r="BV996"/>
      <c r="BW996"/>
      <c r="BX996"/>
    </row>
    <row r="997" spans="74:76" x14ac:dyDescent="0.25">
      <c r="BV997"/>
      <c r="BW997"/>
      <c r="BX997"/>
    </row>
    <row r="998" spans="74:76" x14ac:dyDescent="0.25">
      <c r="BV998"/>
      <c r="BW998"/>
      <c r="BX998"/>
    </row>
    <row r="999" spans="74:76" x14ac:dyDescent="0.25">
      <c r="BV999"/>
      <c r="BW999"/>
      <c r="BX999"/>
    </row>
    <row r="1000" spans="74:76" x14ac:dyDescent="0.25">
      <c r="BV1000"/>
      <c r="BW1000"/>
      <c r="BX1000"/>
    </row>
    <row r="1001" spans="74:76" x14ac:dyDescent="0.25">
      <c r="BV1001"/>
      <c r="BW1001"/>
      <c r="BX1001"/>
    </row>
    <row r="1002" spans="74:76" x14ac:dyDescent="0.25">
      <c r="BV1002"/>
      <c r="BW1002"/>
      <c r="BX1002"/>
    </row>
    <row r="1003" spans="74:76" x14ac:dyDescent="0.25">
      <c r="BV1003"/>
      <c r="BW1003"/>
      <c r="BX1003"/>
    </row>
    <row r="1004" spans="74:76" x14ac:dyDescent="0.25">
      <c r="BV1004"/>
      <c r="BW1004"/>
      <c r="BX1004"/>
    </row>
    <row r="1005" spans="74:76" x14ac:dyDescent="0.25">
      <c r="BV1005"/>
      <c r="BW1005"/>
      <c r="BX1005"/>
    </row>
    <row r="1006" spans="74:76" x14ac:dyDescent="0.25">
      <c r="BV1006"/>
      <c r="BW1006"/>
      <c r="BX1006"/>
    </row>
    <row r="1007" spans="74:76" x14ac:dyDescent="0.25">
      <c r="BV1007"/>
      <c r="BW1007"/>
      <c r="BX1007"/>
    </row>
    <row r="1008" spans="74:76" x14ac:dyDescent="0.25">
      <c r="BV1008"/>
      <c r="BW1008"/>
      <c r="BX1008"/>
    </row>
    <row r="1009" spans="74:76" x14ac:dyDescent="0.25">
      <c r="BV1009"/>
      <c r="BW1009"/>
      <c r="BX1009"/>
    </row>
    <row r="1010" spans="74:76" x14ac:dyDescent="0.25">
      <c r="BV1010"/>
      <c r="BW1010"/>
      <c r="BX1010"/>
    </row>
    <row r="1011" spans="74:76" x14ac:dyDescent="0.25">
      <c r="BV1011"/>
      <c r="BW1011"/>
      <c r="BX1011"/>
    </row>
    <row r="1012" spans="74:76" x14ac:dyDescent="0.25">
      <c r="BV1012"/>
      <c r="BW1012"/>
      <c r="BX1012"/>
    </row>
    <row r="1013" spans="74:76" x14ac:dyDescent="0.25">
      <c r="BV1013"/>
      <c r="BW1013"/>
      <c r="BX1013"/>
    </row>
    <row r="1014" spans="74:76" x14ac:dyDescent="0.25">
      <c r="BV1014"/>
      <c r="BW1014"/>
      <c r="BX1014"/>
    </row>
    <row r="1015" spans="74:76" x14ac:dyDescent="0.25">
      <c r="BV1015"/>
      <c r="BW1015"/>
      <c r="BX1015"/>
    </row>
    <row r="1016" spans="74:76" x14ac:dyDescent="0.25">
      <c r="BV1016"/>
      <c r="BW1016"/>
      <c r="BX1016"/>
    </row>
    <row r="1017" spans="74:76" x14ac:dyDescent="0.25">
      <c r="BV1017"/>
      <c r="BW1017"/>
      <c r="BX1017"/>
    </row>
    <row r="1018" spans="74:76" x14ac:dyDescent="0.25">
      <c r="BV1018"/>
      <c r="BW1018"/>
      <c r="BX1018"/>
    </row>
    <row r="1019" spans="74:76" x14ac:dyDescent="0.25">
      <c r="BV1019"/>
      <c r="BW1019"/>
      <c r="BX1019"/>
    </row>
    <row r="1020" spans="74:76" x14ac:dyDescent="0.25">
      <c r="BV1020"/>
      <c r="BW1020"/>
      <c r="BX1020"/>
    </row>
    <row r="1021" spans="74:76" x14ac:dyDescent="0.25">
      <c r="BV1021"/>
      <c r="BW1021"/>
      <c r="BX1021"/>
    </row>
    <row r="1022" spans="74:76" x14ac:dyDescent="0.25">
      <c r="BV1022"/>
      <c r="BW1022"/>
      <c r="BX1022"/>
    </row>
    <row r="1023" spans="74:76" x14ac:dyDescent="0.25">
      <c r="BV1023"/>
      <c r="BW1023"/>
      <c r="BX1023"/>
    </row>
    <row r="1024" spans="74:76" x14ac:dyDescent="0.25">
      <c r="BV1024"/>
      <c r="BW1024"/>
      <c r="BX1024"/>
    </row>
    <row r="1025" spans="74:76" x14ac:dyDescent="0.25">
      <c r="BV1025"/>
      <c r="BW1025"/>
      <c r="BX1025"/>
    </row>
    <row r="1026" spans="74:76" x14ac:dyDescent="0.25">
      <c r="BV1026"/>
      <c r="BW1026"/>
      <c r="BX1026"/>
    </row>
    <row r="1027" spans="74:76" x14ac:dyDescent="0.25">
      <c r="BV1027"/>
      <c r="BW1027"/>
      <c r="BX1027"/>
    </row>
    <row r="1028" spans="74:76" x14ac:dyDescent="0.25">
      <c r="BV1028"/>
      <c r="BW1028"/>
      <c r="BX1028"/>
    </row>
    <row r="1029" spans="74:76" x14ac:dyDescent="0.25">
      <c r="BV1029"/>
      <c r="BW1029"/>
      <c r="BX1029"/>
    </row>
    <row r="1030" spans="74:76" x14ac:dyDescent="0.25">
      <c r="BV1030"/>
      <c r="BW1030"/>
      <c r="BX1030"/>
    </row>
    <row r="1031" spans="74:76" x14ac:dyDescent="0.25">
      <c r="BV1031"/>
      <c r="BW1031"/>
      <c r="BX1031"/>
    </row>
    <row r="1032" spans="74:76" x14ac:dyDescent="0.25">
      <c r="BV1032"/>
      <c r="BW1032"/>
      <c r="BX1032"/>
    </row>
    <row r="1033" spans="74:76" x14ac:dyDescent="0.25">
      <c r="BV1033"/>
      <c r="BW1033"/>
      <c r="BX1033"/>
    </row>
    <row r="1034" spans="74:76" x14ac:dyDescent="0.25">
      <c r="BV1034"/>
      <c r="BW1034"/>
      <c r="BX1034"/>
    </row>
    <row r="1035" spans="74:76" x14ac:dyDescent="0.25">
      <c r="BV1035"/>
      <c r="BW1035"/>
      <c r="BX1035"/>
    </row>
    <row r="1036" spans="74:76" x14ac:dyDescent="0.25">
      <c r="BV1036"/>
      <c r="BW1036"/>
      <c r="BX1036"/>
    </row>
    <row r="1037" spans="74:76" x14ac:dyDescent="0.25">
      <c r="BV1037"/>
      <c r="BW1037"/>
      <c r="BX1037"/>
    </row>
    <row r="1038" spans="74:76" x14ac:dyDescent="0.25">
      <c r="BV1038"/>
      <c r="BW1038"/>
      <c r="BX1038"/>
    </row>
    <row r="1039" spans="74:76" x14ac:dyDescent="0.25">
      <c r="BV1039"/>
      <c r="BW1039"/>
      <c r="BX1039"/>
    </row>
    <row r="1040" spans="74:76" x14ac:dyDescent="0.25">
      <c r="BV1040"/>
      <c r="BW1040"/>
      <c r="BX1040"/>
    </row>
    <row r="1041" spans="74:76" x14ac:dyDescent="0.25">
      <c r="BV1041"/>
      <c r="BW1041"/>
      <c r="BX1041"/>
    </row>
    <row r="1042" spans="74:76" x14ac:dyDescent="0.25">
      <c r="BV1042"/>
      <c r="BW1042"/>
      <c r="BX1042"/>
    </row>
    <row r="1043" spans="74:76" x14ac:dyDescent="0.25">
      <c r="BV1043"/>
      <c r="BW1043"/>
      <c r="BX1043"/>
    </row>
    <row r="1044" spans="74:76" x14ac:dyDescent="0.25">
      <c r="BV1044"/>
      <c r="BW1044"/>
      <c r="BX1044"/>
    </row>
    <row r="1045" spans="74:76" x14ac:dyDescent="0.25">
      <c r="BV1045"/>
      <c r="BW1045"/>
      <c r="BX1045"/>
    </row>
    <row r="1046" spans="74:76" x14ac:dyDescent="0.25">
      <c r="BV1046"/>
      <c r="BW1046"/>
      <c r="BX1046"/>
    </row>
    <row r="1047" spans="74:76" x14ac:dyDescent="0.25">
      <c r="BV1047"/>
      <c r="BW1047"/>
      <c r="BX1047"/>
    </row>
    <row r="1048" spans="74:76" x14ac:dyDescent="0.25">
      <c r="BV1048"/>
      <c r="BW1048"/>
      <c r="BX1048"/>
    </row>
    <row r="1049" spans="74:76" x14ac:dyDescent="0.25">
      <c r="BV1049"/>
      <c r="BW1049"/>
      <c r="BX1049"/>
    </row>
    <row r="1050" spans="74:76" x14ac:dyDescent="0.25">
      <c r="BV1050"/>
      <c r="BW1050"/>
      <c r="BX1050"/>
    </row>
    <row r="1051" spans="74:76" x14ac:dyDescent="0.25">
      <c r="BV1051"/>
      <c r="BW1051"/>
      <c r="BX1051"/>
    </row>
    <row r="1052" spans="74:76" x14ac:dyDescent="0.25">
      <c r="BV1052"/>
      <c r="BW1052"/>
      <c r="BX1052"/>
    </row>
    <row r="1053" spans="74:76" x14ac:dyDescent="0.25">
      <c r="BV1053"/>
      <c r="BW1053"/>
      <c r="BX1053"/>
    </row>
    <row r="1054" spans="74:76" x14ac:dyDescent="0.25">
      <c r="BV1054"/>
      <c r="BW1054"/>
      <c r="BX1054"/>
    </row>
    <row r="1055" spans="74:76" x14ac:dyDescent="0.25">
      <c r="BV1055"/>
      <c r="BW1055"/>
      <c r="BX1055"/>
    </row>
    <row r="1056" spans="74:76" x14ac:dyDescent="0.25">
      <c r="BV1056"/>
      <c r="BW1056"/>
      <c r="BX1056"/>
    </row>
    <row r="1057" spans="74:76" x14ac:dyDescent="0.25">
      <c r="BV1057"/>
      <c r="BW1057"/>
      <c r="BX1057"/>
    </row>
    <row r="1058" spans="74:76" x14ac:dyDescent="0.25">
      <c r="BV1058"/>
      <c r="BW1058"/>
      <c r="BX1058"/>
    </row>
    <row r="1059" spans="74:76" x14ac:dyDescent="0.25">
      <c r="BV1059"/>
      <c r="BW1059"/>
      <c r="BX1059"/>
    </row>
    <row r="1060" spans="74:76" x14ac:dyDescent="0.25">
      <c r="BV1060"/>
      <c r="BW1060"/>
      <c r="BX1060"/>
    </row>
    <row r="1061" spans="74:76" x14ac:dyDescent="0.25">
      <c r="BV1061"/>
      <c r="BW1061"/>
      <c r="BX1061"/>
    </row>
    <row r="1062" spans="74:76" x14ac:dyDescent="0.25">
      <c r="BV1062"/>
      <c r="BW1062"/>
      <c r="BX1062"/>
    </row>
    <row r="1063" spans="74:76" x14ac:dyDescent="0.25">
      <c r="BV1063"/>
      <c r="BW1063"/>
      <c r="BX1063"/>
    </row>
    <row r="1064" spans="74:76" x14ac:dyDescent="0.25">
      <c r="BV1064"/>
      <c r="BW1064"/>
      <c r="BX1064"/>
    </row>
    <row r="1065" spans="74:76" x14ac:dyDescent="0.25">
      <c r="BV1065"/>
      <c r="BW1065"/>
      <c r="BX1065"/>
    </row>
    <row r="1066" spans="74:76" x14ac:dyDescent="0.25">
      <c r="BV1066"/>
      <c r="BW1066"/>
      <c r="BX1066"/>
    </row>
    <row r="1067" spans="74:76" x14ac:dyDescent="0.25">
      <c r="BV1067"/>
      <c r="BW1067"/>
      <c r="BX1067"/>
    </row>
    <row r="1068" spans="74:76" x14ac:dyDescent="0.25">
      <c r="BV1068"/>
      <c r="BW1068"/>
      <c r="BX1068"/>
    </row>
    <row r="1069" spans="74:76" x14ac:dyDescent="0.25">
      <c r="BV1069"/>
      <c r="BW1069"/>
      <c r="BX1069"/>
    </row>
    <row r="1070" spans="74:76" x14ac:dyDescent="0.25">
      <c r="BV1070"/>
      <c r="BW1070"/>
      <c r="BX1070"/>
    </row>
    <row r="1071" spans="74:76" x14ac:dyDescent="0.25">
      <c r="BV1071"/>
      <c r="BW1071"/>
      <c r="BX1071"/>
    </row>
    <row r="1072" spans="74:76" x14ac:dyDescent="0.25">
      <c r="BV1072"/>
      <c r="BW1072"/>
      <c r="BX1072"/>
    </row>
    <row r="1073" spans="74:76" x14ac:dyDescent="0.25">
      <c r="BV1073"/>
      <c r="BW1073"/>
      <c r="BX1073"/>
    </row>
    <row r="1074" spans="74:76" x14ac:dyDescent="0.25">
      <c r="BV1074"/>
      <c r="BW1074"/>
      <c r="BX1074"/>
    </row>
    <row r="1075" spans="74:76" x14ac:dyDescent="0.25">
      <c r="BV1075"/>
      <c r="BW1075"/>
      <c r="BX1075"/>
    </row>
    <row r="1076" spans="74:76" x14ac:dyDescent="0.25">
      <c r="BV1076"/>
      <c r="BW1076"/>
      <c r="BX1076"/>
    </row>
    <row r="1077" spans="74:76" x14ac:dyDescent="0.25">
      <c r="BV1077"/>
      <c r="BW1077"/>
      <c r="BX1077"/>
    </row>
    <row r="1078" spans="74:76" x14ac:dyDescent="0.25">
      <c r="BV1078"/>
      <c r="BW1078"/>
      <c r="BX1078"/>
    </row>
    <row r="1079" spans="74:76" x14ac:dyDescent="0.25">
      <c r="BV1079"/>
      <c r="BW1079"/>
      <c r="BX1079"/>
    </row>
    <row r="1080" spans="74:76" x14ac:dyDescent="0.25">
      <c r="BV1080"/>
      <c r="BW1080"/>
      <c r="BX1080"/>
    </row>
    <row r="1081" spans="74:76" x14ac:dyDescent="0.25">
      <c r="BV1081"/>
      <c r="BW1081"/>
      <c r="BX1081"/>
    </row>
    <row r="1082" spans="74:76" x14ac:dyDescent="0.25">
      <c r="BV1082"/>
      <c r="BW1082"/>
      <c r="BX1082"/>
    </row>
    <row r="1083" spans="74:76" x14ac:dyDescent="0.25">
      <c r="BV1083"/>
      <c r="BW1083"/>
      <c r="BX1083"/>
    </row>
    <row r="1084" spans="74:76" x14ac:dyDescent="0.25">
      <c r="BV1084"/>
      <c r="BW1084"/>
      <c r="BX1084"/>
    </row>
    <row r="1085" spans="74:76" x14ac:dyDescent="0.25">
      <c r="BV1085"/>
      <c r="BW1085"/>
      <c r="BX1085"/>
    </row>
    <row r="1086" spans="74:76" x14ac:dyDescent="0.25">
      <c r="BV1086"/>
      <c r="BW1086"/>
      <c r="BX1086"/>
    </row>
    <row r="1087" spans="74:76" x14ac:dyDescent="0.25">
      <c r="BV1087"/>
      <c r="BW1087"/>
      <c r="BX1087"/>
    </row>
    <row r="1088" spans="74:76" x14ac:dyDescent="0.25">
      <c r="BV1088"/>
      <c r="BW1088"/>
      <c r="BX1088"/>
    </row>
    <row r="1089" spans="74:76" x14ac:dyDescent="0.25">
      <c r="BV1089"/>
      <c r="BW1089"/>
      <c r="BX1089"/>
    </row>
    <row r="1090" spans="74:76" x14ac:dyDescent="0.25">
      <c r="BV1090"/>
      <c r="BW1090"/>
      <c r="BX1090"/>
    </row>
    <row r="1091" spans="74:76" x14ac:dyDescent="0.25">
      <c r="BV1091"/>
      <c r="BW1091"/>
      <c r="BX1091"/>
    </row>
    <row r="1092" spans="74:76" x14ac:dyDescent="0.25">
      <c r="BV1092"/>
      <c r="BW1092"/>
      <c r="BX1092"/>
    </row>
    <row r="1093" spans="74:76" x14ac:dyDescent="0.25">
      <c r="BV1093"/>
      <c r="BW1093"/>
      <c r="BX1093"/>
    </row>
    <row r="1094" spans="74:76" x14ac:dyDescent="0.25">
      <c r="BV1094"/>
      <c r="BW1094"/>
      <c r="BX1094"/>
    </row>
    <row r="1095" spans="74:76" x14ac:dyDescent="0.25">
      <c r="BV1095"/>
      <c r="BW1095"/>
      <c r="BX1095"/>
    </row>
    <row r="1096" spans="74:76" x14ac:dyDescent="0.25">
      <c r="BV1096"/>
      <c r="BW1096"/>
      <c r="BX1096"/>
    </row>
    <row r="1097" spans="74:76" x14ac:dyDescent="0.25">
      <c r="BV1097"/>
      <c r="BW1097"/>
      <c r="BX1097"/>
    </row>
    <row r="1098" spans="74:76" x14ac:dyDescent="0.25">
      <c r="BV1098"/>
      <c r="BW1098"/>
      <c r="BX1098"/>
    </row>
    <row r="1099" spans="74:76" x14ac:dyDescent="0.25">
      <c r="BV1099"/>
      <c r="BW1099"/>
      <c r="BX1099"/>
    </row>
    <row r="1100" spans="74:76" x14ac:dyDescent="0.25">
      <c r="BV1100"/>
      <c r="BW1100"/>
      <c r="BX1100"/>
    </row>
    <row r="1101" spans="74:76" x14ac:dyDescent="0.25">
      <c r="BV1101"/>
      <c r="BW1101"/>
      <c r="BX1101"/>
    </row>
    <row r="1102" spans="74:76" x14ac:dyDescent="0.25">
      <c r="BV1102"/>
      <c r="BW1102"/>
      <c r="BX1102"/>
    </row>
    <row r="1103" spans="74:76" x14ac:dyDescent="0.25">
      <c r="BV1103"/>
      <c r="BW1103"/>
      <c r="BX1103"/>
    </row>
    <row r="1104" spans="74:76" x14ac:dyDescent="0.25">
      <c r="BV1104"/>
      <c r="BW1104"/>
      <c r="BX1104"/>
    </row>
    <row r="1105" spans="74:76" x14ac:dyDescent="0.25">
      <c r="BV1105"/>
      <c r="BW1105"/>
      <c r="BX1105"/>
    </row>
    <row r="1106" spans="74:76" x14ac:dyDescent="0.25">
      <c r="BV1106"/>
      <c r="BW1106"/>
      <c r="BX1106"/>
    </row>
    <row r="1107" spans="74:76" x14ac:dyDescent="0.25">
      <c r="BV1107"/>
      <c r="BW1107"/>
      <c r="BX1107"/>
    </row>
    <row r="1108" spans="74:76" x14ac:dyDescent="0.25">
      <c r="BV1108"/>
      <c r="BW1108"/>
      <c r="BX1108"/>
    </row>
    <row r="1109" spans="74:76" x14ac:dyDescent="0.25">
      <c r="BV1109"/>
      <c r="BW1109"/>
      <c r="BX1109"/>
    </row>
    <row r="1110" spans="74:76" x14ac:dyDescent="0.25">
      <c r="BV1110"/>
      <c r="BW1110"/>
      <c r="BX1110"/>
    </row>
    <row r="1111" spans="74:76" x14ac:dyDescent="0.25">
      <c r="BV1111"/>
      <c r="BW1111"/>
      <c r="BX1111"/>
    </row>
    <row r="1112" spans="74:76" x14ac:dyDescent="0.25">
      <c r="BV1112"/>
      <c r="BW1112"/>
      <c r="BX1112"/>
    </row>
    <row r="1113" spans="74:76" x14ac:dyDescent="0.25">
      <c r="BV1113"/>
      <c r="BW1113"/>
      <c r="BX1113"/>
    </row>
    <row r="1114" spans="74:76" x14ac:dyDescent="0.25">
      <c r="BV1114"/>
      <c r="BW1114"/>
      <c r="BX1114"/>
    </row>
    <row r="1115" spans="74:76" x14ac:dyDescent="0.25">
      <c r="BV1115"/>
      <c r="BW1115"/>
      <c r="BX1115"/>
    </row>
    <row r="1116" spans="74:76" x14ac:dyDescent="0.25">
      <c r="BV1116"/>
      <c r="BW1116"/>
      <c r="BX1116"/>
    </row>
    <row r="1117" spans="74:76" x14ac:dyDescent="0.25">
      <c r="BV1117"/>
      <c r="BW1117"/>
      <c r="BX1117"/>
    </row>
    <row r="1118" spans="74:76" x14ac:dyDescent="0.25">
      <c r="BV1118"/>
      <c r="BW1118"/>
      <c r="BX1118"/>
    </row>
    <row r="1119" spans="74:76" x14ac:dyDescent="0.25">
      <c r="BV1119"/>
      <c r="BW1119"/>
      <c r="BX1119"/>
    </row>
    <row r="1120" spans="74:76" x14ac:dyDescent="0.25">
      <c r="BV1120"/>
      <c r="BW1120"/>
      <c r="BX1120"/>
    </row>
    <row r="1121" spans="74:76" x14ac:dyDescent="0.25">
      <c r="BV1121"/>
      <c r="BW1121"/>
      <c r="BX1121"/>
    </row>
    <row r="1122" spans="74:76" x14ac:dyDescent="0.25">
      <c r="BV1122"/>
      <c r="BW1122"/>
      <c r="BX1122"/>
    </row>
    <row r="1123" spans="74:76" x14ac:dyDescent="0.25">
      <c r="BV1123"/>
      <c r="BW1123"/>
      <c r="BX1123"/>
    </row>
    <row r="1124" spans="74:76" x14ac:dyDescent="0.25">
      <c r="BV1124"/>
      <c r="BW1124"/>
      <c r="BX1124"/>
    </row>
    <row r="1125" spans="74:76" x14ac:dyDescent="0.25">
      <c r="BV1125"/>
      <c r="BW1125"/>
      <c r="BX1125"/>
    </row>
    <row r="1126" spans="74:76" x14ac:dyDescent="0.25">
      <c r="BV1126"/>
      <c r="BW1126"/>
      <c r="BX1126"/>
    </row>
    <row r="1127" spans="74:76" x14ac:dyDescent="0.25">
      <c r="BV1127"/>
      <c r="BW1127"/>
      <c r="BX1127"/>
    </row>
    <row r="1128" spans="74:76" x14ac:dyDescent="0.25">
      <c r="BV1128"/>
      <c r="BW1128"/>
      <c r="BX1128"/>
    </row>
    <row r="1129" spans="74:76" x14ac:dyDescent="0.25">
      <c r="BV1129"/>
      <c r="BW1129"/>
      <c r="BX1129"/>
    </row>
    <row r="1130" spans="74:76" x14ac:dyDescent="0.25">
      <c r="BV1130"/>
      <c r="BW1130"/>
      <c r="BX1130"/>
    </row>
    <row r="1131" spans="74:76" x14ac:dyDescent="0.25">
      <c r="BV1131"/>
      <c r="BW1131"/>
      <c r="BX1131"/>
    </row>
    <row r="1132" spans="74:76" x14ac:dyDescent="0.25">
      <c r="BV1132"/>
      <c r="BW1132"/>
      <c r="BX1132"/>
    </row>
    <row r="1133" spans="74:76" x14ac:dyDescent="0.25">
      <c r="BV1133"/>
      <c r="BW1133"/>
      <c r="BX1133"/>
    </row>
    <row r="1134" spans="74:76" x14ac:dyDescent="0.25">
      <c r="BV1134"/>
      <c r="BW1134"/>
      <c r="BX1134"/>
    </row>
    <row r="1135" spans="74:76" x14ac:dyDescent="0.25">
      <c r="BV1135"/>
      <c r="BW1135"/>
      <c r="BX1135"/>
    </row>
    <row r="1136" spans="74:76" x14ac:dyDescent="0.25">
      <c r="BV1136"/>
      <c r="BW1136"/>
      <c r="BX1136"/>
    </row>
    <row r="1137" spans="74:76" x14ac:dyDescent="0.25">
      <c r="BV1137"/>
      <c r="BW1137"/>
      <c r="BX1137"/>
    </row>
    <row r="1138" spans="74:76" x14ac:dyDescent="0.25">
      <c r="BV1138"/>
      <c r="BW1138"/>
      <c r="BX1138"/>
    </row>
    <row r="1139" spans="74:76" x14ac:dyDescent="0.25">
      <c r="BV1139"/>
      <c r="BW1139"/>
      <c r="BX1139"/>
    </row>
    <row r="1140" spans="74:76" x14ac:dyDescent="0.25">
      <c r="BV1140"/>
      <c r="BW1140"/>
      <c r="BX1140"/>
    </row>
    <row r="1141" spans="74:76" x14ac:dyDescent="0.25">
      <c r="BV1141"/>
      <c r="BW1141"/>
      <c r="BX1141"/>
    </row>
    <row r="1142" spans="74:76" x14ac:dyDescent="0.25">
      <c r="BV1142"/>
      <c r="BW1142"/>
      <c r="BX1142"/>
    </row>
    <row r="1143" spans="74:76" x14ac:dyDescent="0.25">
      <c r="BV1143"/>
      <c r="BW1143"/>
      <c r="BX1143"/>
    </row>
    <row r="1144" spans="74:76" x14ac:dyDescent="0.25">
      <c r="BV1144"/>
      <c r="BW1144"/>
      <c r="BX1144"/>
    </row>
    <row r="1145" spans="74:76" x14ac:dyDescent="0.25">
      <c r="BV1145"/>
      <c r="BW1145"/>
      <c r="BX1145"/>
    </row>
    <row r="1146" spans="74:76" x14ac:dyDescent="0.25">
      <c r="BV1146"/>
      <c r="BW1146"/>
      <c r="BX1146"/>
    </row>
    <row r="1147" spans="74:76" x14ac:dyDescent="0.25">
      <c r="BV1147"/>
      <c r="BW1147"/>
      <c r="BX1147"/>
    </row>
    <row r="1148" spans="74:76" x14ac:dyDescent="0.25">
      <c r="BV1148"/>
      <c r="BW1148"/>
      <c r="BX1148"/>
    </row>
    <row r="1149" spans="74:76" x14ac:dyDescent="0.25">
      <c r="BV1149"/>
      <c r="BW1149"/>
      <c r="BX1149"/>
    </row>
    <row r="1150" spans="74:76" x14ac:dyDescent="0.25">
      <c r="BV1150"/>
      <c r="BW1150"/>
      <c r="BX1150"/>
    </row>
    <row r="1151" spans="74:76" x14ac:dyDescent="0.25">
      <c r="BV1151"/>
      <c r="BW1151"/>
      <c r="BX1151"/>
    </row>
    <row r="1152" spans="74:76" x14ac:dyDescent="0.25">
      <c r="BV1152"/>
      <c r="BW1152"/>
      <c r="BX1152"/>
    </row>
    <row r="1153" spans="74:76" x14ac:dyDescent="0.25">
      <c r="BV1153"/>
      <c r="BW1153"/>
      <c r="BX1153"/>
    </row>
    <row r="1154" spans="74:76" x14ac:dyDescent="0.25">
      <c r="BV1154"/>
      <c r="BW1154"/>
      <c r="BX1154"/>
    </row>
    <row r="1155" spans="74:76" x14ac:dyDescent="0.25">
      <c r="BV1155"/>
      <c r="BW1155"/>
      <c r="BX1155"/>
    </row>
    <row r="1156" spans="74:76" x14ac:dyDescent="0.25">
      <c r="BV1156"/>
      <c r="BW1156"/>
      <c r="BX1156"/>
    </row>
    <row r="1157" spans="74:76" x14ac:dyDescent="0.25">
      <c r="BV1157"/>
      <c r="BW1157"/>
      <c r="BX1157"/>
    </row>
    <row r="1158" spans="74:76" x14ac:dyDescent="0.25">
      <c r="BV1158"/>
      <c r="BW1158"/>
      <c r="BX1158"/>
    </row>
    <row r="1159" spans="74:76" x14ac:dyDescent="0.25">
      <c r="BV1159"/>
      <c r="BW1159"/>
      <c r="BX1159"/>
    </row>
    <row r="1160" spans="74:76" x14ac:dyDescent="0.25">
      <c r="BV1160"/>
      <c r="BW1160"/>
      <c r="BX1160"/>
    </row>
    <row r="1161" spans="74:76" x14ac:dyDescent="0.25">
      <c r="BV1161"/>
      <c r="BW1161"/>
      <c r="BX1161"/>
    </row>
    <row r="1162" spans="74:76" x14ac:dyDescent="0.25">
      <c r="BV1162"/>
      <c r="BW1162"/>
      <c r="BX1162"/>
    </row>
    <row r="1163" spans="74:76" x14ac:dyDescent="0.25">
      <c r="BV1163"/>
      <c r="BW1163"/>
      <c r="BX1163"/>
    </row>
    <row r="1164" spans="74:76" x14ac:dyDescent="0.25">
      <c r="BV1164"/>
      <c r="BW1164"/>
      <c r="BX1164"/>
    </row>
    <row r="1165" spans="74:76" x14ac:dyDescent="0.25">
      <c r="BV1165"/>
      <c r="BW1165"/>
      <c r="BX1165"/>
    </row>
    <row r="1166" spans="74:76" x14ac:dyDescent="0.25">
      <c r="BV1166"/>
      <c r="BW1166"/>
      <c r="BX1166"/>
    </row>
    <row r="1167" spans="74:76" x14ac:dyDescent="0.25">
      <c r="BV1167"/>
      <c r="BW1167"/>
      <c r="BX1167"/>
    </row>
    <row r="1168" spans="74:76" x14ac:dyDescent="0.25">
      <c r="BV1168"/>
      <c r="BW1168"/>
      <c r="BX1168"/>
    </row>
    <row r="1169" spans="74:76" x14ac:dyDescent="0.25">
      <c r="BV1169"/>
      <c r="BW1169"/>
      <c r="BX1169"/>
    </row>
    <row r="1170" spans="74:76" x14ac:dyDescent="0.25">
      <c r="BV1170"/>
      <c r="BW1170"/>
      <c r="BX1170"/>
    </row>
    <row r="1171" spans="74:76" x14ac:dyDescent="0.25">
      <c r="BV1171"/>
      <c r="BW1171"/>
      <c r="BX1171"/>
    </row>
    <row r="1172" spans="74:76" x14ac:dyDescent="0.25">
      <c r="BV1172"/>
      <c r="BW1172"/>
      <c r="BX1172"/>
    </row>
    <row r="1173" spans="74:76" x14ac:dyDescent="0.25">
      <c r="BV1173"/>
      <c r="BW1173"/>
      <c r="BX1173"/>
    </row>
    <row r="1174" spans="74:76" x14ac:dyDescent="0.25">
      <c r="BV1174"/>
      <c r="BW1174"/>
      <c r="BX1174"/>
    </row>
    <row r="1175" spans="74:76" x14ac:dyDescent="0.25">
      <c r="BV1175"/>
      <c r="BW1175"/>
      <c r="BX1175"/>
    </row>
    <row r="1176" spans="74:76" x14ac:dyDescent="0.25">
      <c r="BV1176"/>
      <c r="BW1176"/>
      <c r="BX1176"/>
    </row>
    <row r="1177" spans="74:76" x14ac:dyDescent="0.25">
      <c r="BV1177"/>
      <c r="BW1177"/>
      <c r="BX1177"/>
    </row>
    <row r="1178" spans="74:76" x14ac:dyDescent="0.25">
      <c r="BV1178"/>
      <c r="BW1178"/>
      <c r="BX1178"/>
    </row>
    <row r="1179" spans="74:76" x14ac:dyDescent="0.25">
      <c r="BV1179"/>
      <c r="BW1179"/>
      <c r="BX1179"/>
    </row>
    <row r="1180" spans="74:76" x14ac:dyDescent="0.25">
      <c r="BV1180"/>
      <c r="BW1180"/>
      <c r="BX1180"/>
    </row>
    <row r="1181" spans="74:76" x14ac:dyDescent="0.25">
      <c r="BV1181"/>
      <c r="BW1181"/>
      <c r="BX1181"/>
    </row>
    <row r="1182" spans="74:76" x14ac:dyDescent="0.25">
      <c r="BV1182"/>
      <c r="BW1182"/>
      <c r="BX1182"/>
    </row>
    <row r="1183" spans="74:76" x14ac:dyDescent="0.25">
      <c r="BV1183"/>
      <c r="BW1183"/>
      <c r="BX1183"/>
    </row>
    <row r="1184" spans="74:76" x14ac:dyDescent="0.25">
      <c r="BV1184"/>
      <c r="BW1184"/>
      <c r="BX1184"/>
    </row>
    <row r="1185" spans="74:76" x14ac:dyDescent="0.25">
      <c r="BV1185"/>
      <c r="BW1185"/>
      <c r="BX1185"/>
    </row>
    <row r="1186" spans="74:76" x14ac:dyDescent="0.25">
      <c r="BV1186"/>
      <c r="BW1186"/>
      <c r="BX1186"/>
    </row>
    <row r="1187" spans="74:76" x14ac:dyDescent="0.25">
      <c r="BV1187"/>
      <c r="BW1187"/>
      <c r="BX1187"/>
    </row>
    <row r="1188" spans="74:76" x14ac:dyDescent="0.25">
      <c r="BV1188"/>
      <c r="BW1188"/>
      <c r="BX1188"/>
    </row>
    <row r="1189" spans="74:76" x14ac:dyDescent="0.25">
      <c r="BV1189"/>
      <c r="BW1189"/>
      <c r="BX1189"/>
    </row>
    <row r="1190" spans="74:76" x14ac:dyDescent="0.25">
      <c r="BV1190"/>
      <c r="BW1190"/>
      <c r="BX1190"/>
    </row>
    <row r="1191" spans="74:76" x14ac:dyDescent="0.25">
      <c r="BV1191"/>
      <c r="BW1191"/>
      <c r="BX1191"/>
    </row>
    <row r="1192" spans="74:76" x14ac:dyDescent="0.25">
      <c r="BV1192"/>
      <c r="BW1192"/>
      <c r="BX1192"/>
    </row>
    <row r="1193" spans="74:76" x14ac:dyDescent="0.25">
      <c r="BV1193"/>
      <c r="BW1193"/>
      <c r="BX1193"/>
    </row>
    <row r="1194" spans="74:76" x14ac:dyDescent="0.25">
      <c r="BV1194"/>
      <c r="BW1194"/>
      <c r="BX1194"/>
    </row>
    <row r="1195" spans="74:76" x14ac:dyDescent="0.25">
      <c r="BV1195"/>
      <c r="BW1195"/>
      <c r="BX1195"/>
    </row>
    <row r="1196" spans="74:76" x14ac:dyDescent="0.25">
      <c r="BV1196"/>
      <c r="BW1196"/>
      <c r="BX1196"/>
    </row>
    <row r="1197" spans="74:76" x14ac:dyDescent="0.25">
      <c r="BV1197"/>
      <c r="BW1197"/>
      <c r="BX1197"/>
    </row>
    <row r="1198" spans="74:76" x14ac:dyDescent="0.25">
      <c r="BV1198"/>
      <c r="BW1198"/>
      <c r="BX1198"/>
    </row>
    <row r="1199" spans="74:76" x14ac:dyDescent="0.25">
      <c r="BV1199"/>
      <c r="BW1199"/>
      <c r="BX1199"/>
    </row>
    <row r="1200" spans="74:76" x14ac:dyDescent="0.25">
      <c r="BV1200"/>
      <c r="BW1200"/>
      <c r="BX1200"/>
    </row>
    <row r="1201" spans="74:76" x14ac:dyDescent="0.25">
      <c r="BV1201"/>
      <c r="BW1201"/>
      <c r="BX1201"/>
    </row>
    <row r="1202" spans="74:76" x14ac:dyDescent="0.25">
      <c r="BV1202"/>
      <c r="BW1202"/>
      <c r="BX1202"/>
    </row>
    <row r="1203" spans="74:76" x14ac:dyDescent="0.25">
      <c r="BV1203"/>
      <c r="BW1203"/>
      <c r="BX1203"/>
    </row>
    <row r="1204" spans="74:76" x14ac:dyDescent="0.25">
      <c r="BV1204"/>
      <c r="BW1204"/>
      <c r="BX1204"/>
    </row>
    <row r="1205" spans="74:76" x14ac:dyDescent="0.25">
      <c r="BV1205"/>
      <c r="BW1205"/>
      <c r="BX1205"/>
    </row>
    <row r="1206" spans="74:76" x14ac:dyDescent="0.25">
      <c r="BV1206"/>
      <c r="BW1206"/>
      <c r="BX1206"/>
    </row>
    <row r="1207" spans="74:76" x14ac:dyDescent="0.25">
      <c r="BV1207"/>
      <c r="BW1207"/>
      <c r="BX1207"/>
    </row>
    <row r="1208" spans="74:76" x14ac:dyDescent="0.25">
      <c r="BV1208"/>
      <c r="BW1208"/>
      <c r="BX1208"/>
    </row>
    <row r="1209" spans="74:76" x14ac:dyDescent="0.25">
      <c r="BV1209"/>
      <c r="BW1209"/>
      <c r="BX1209"/>
    </row>
    <row r="1210" spans="74:76" x14ac:dyDescent="0.25">
      <c r="BV1210"/>
      <c r="BW1210"/>
      <c r="BX1210"/>
    </row>
    <row r="1211" spans="74:76" x14ac:dyDescent="0.25">
      <c r="BV1211"/>
      <c r="BW1211"/>
      <c r="BX1211"/>
    </row>
    <row r="1212" spans="74:76" x14ac:dyDescent="0.25">
      <c r="BV1212"/>
      <c r="BW1212"/>
      <c r="BX1212"/>
    </row>
    <row r="1213" spans="74:76" x14ac:dyDescent="0.25">
      <c r="BV1213"/>
      <c r="BW1213"/>
      <c r="BX1213"/>
    </row>
    <row r="1214" spans="74:76" x14ac:dyDescent="0.25">
      <c r="BV1214"/>
      <c r="BW1214"/>
      <c r="BX1214"/>
    </row>
    <row r="1215" spans="74:76" x14ac:dyDescent="0.25">
      <c r="BV1215"/>
      <c r="BW1215"/>
      <c r="BX1215"/>
    </row>
    <row r="1216" spans="74:76" x14ac:dyDescent="0.25">
      <c r="BV1216"/>
      <c r="BW1216"/>
      <c r="BX1216"/>
    </row>
    <row r="1217" spans="74:76" x14ac:dyDescent="0.25">
      <c r="BV1217"/>
      <c r="BW1217"/>
      <c r="BX1217"/>
    </row>
    <row r="1218" spans="74:76" x14ac:dyDescent="0.25">
      <c r="BV1218"/>
      <c r="BW1218"/>
      <c r="BX1218"/>
    </row>
    <row r="1219" spans="74:76" x14ac:dyDescent="0.25">
      <c r="BV1219"/>
      <c r="BW1219"/>
      <c r="BX1219"/>
    </row>
    <row r="1220" spans="74:76" x14ac:dyDescent="0.25">
      <c r="BV1220"/>
      <c r="BW1220"/>
      <c r="BX1220"/>
    </row>
    <row r="1221" spans="74:76" x14ac:dyDescent="0.25">
      <c r="BV1221"/>
      <c r="BW1221"/>
      <c r="BX1221"/>
    </row>
    <row r="1222" spans="74:76" x14ac:dyDescent="0.25">
      <c r="BV1222"/>
      <c r="BW1222"/>
      <c r="BX1222"/>
    </row>
    <row r="1223" spans="74:76" x14ac:dyDescent="0.25">
      <c r="BV1223"/>
      <c r="BW1223"/>
      <c r="BX1223"/>
    </row>
    <row r="1224" spans="74:76" x14ac:dyDescent="0.25">
      <c r="BV1224"/>
      <c r="BW1224"/>
      <c r="BX1224"/>
    </row>
    <row r="1225" spans="74:76" x14ac:dyDescent="0.25">
      <c r="BV1225"/>
      <c r="BW1225"/>
      <c r="BX1225"/>
    </row>
    <row r="1226" spans="74:76" x14ac:dyDescent="0.25">
      <c r="BV1226"/>
      <c r="BW1226"/>
      <c r="BX1226"/>
    </row>
    <row r="1227" spans="74:76" x14ac:dyDescent="0.25">
      <c r="BV1227"/>
      <c r="BW1227"/>
      <c r="BX1227"/>
    </row>
    <row r="1228" spans="74:76" x14ac:dyDescent="0.25">
      <c r="BV1228"/>
      <c r="BW1228"/>
      <c r="BX1228"/>
    </row>
    <row r="1229" spans="74:76" x14ac:dyDescent="0.25">
      <c r="BV1229"/>
      <c r="BW1229"/>
      <c r="BX1229"/>
    </row>
    <row r="1230" spans="74:76" x14ac:dyDescent="0.25">
      <c r="BV1230"/>
      <c r="BW1230"/>
      <c r="BX1230"/>
    </row>
    <row r="1231" spans="74:76" x14ac:dyDescent="0.25">
      <c r="BV1231"/>
      <c r="BW1231"/>
      <c r="BX1231"/>
    </row>
    <row r="1232" spans="74:76" x14ac:dyDescent="0.25">
      <c r="BV1232"/>
      <c r="BW1232"/>
      <c r="BX1232"/>
    </row>
    <row r="1233" spans="74:76" x14ac:dyDescent="0.25">
      <c r="BV1233"/>
      <c r="BW1233"/>
      <c r="BX1233"/>
    </row>
    <row r="1234" spans="74:76" x14ac:dyDescent="0.25">
      <c r="BV1234"/>
      <c r="BW1234"/>
      <c r="BX1234"/>
    </row>
    <row r="1235" spans="74:76" x14ac:dyDescent="0.25">
      <c r="BV1235"/>
      <c r="BW1235"/>
      <c r="BX1235"/>
    </row>
    <row r="1236" spans="74:76" x14ac:dyDescent="0.25">
      <c r="BV1236"/>
      <c r="BW1236"/>
      <c r="BX1236"/>
    </row>
    <row r="1237" spans="74:76" x14ac:dyDescent="0.25">
      <c r="BV1237"/>
      <c r="BW1237"/>
      <c r="BX1237"/>
    </row>
    <row r="1238" spans="74:76" x14ac:dyDescent="0.25">
      <c r="BV1238"/>
      <c r="BW1238"/>
      <c r="BX1238"/>
    </row>
    <row r="1239" spans="74:76" x14ac:dyDescent="0.25">
      <c r="BV1239"/>
      <c r="BW1239"/>
      <c r="BX1239"/>
    </row>
    <row r="1240" spans="74:76" x14ac:dyDescent="0.25">
      <c r="BV1240"/>
      <c r="BW1240"/>
      <c r="BX1240"/>
    </row>
    <row r="1241" spans="74:76" x14ac:dyDescent="0.25">
      <c r="BV1241"/>
      <c r="BW1241"/>
      <c r="BX1241"/>
    </row>
    <row r="1242" spans="74:76" x14ac:dyDescent="0.25">
      <c r="BV1242"/>
      <c r="BW1242"/>
      <c r="BX1242"/>
    </row>
    <row r="1243" spans="74:76" x14ac:dyDescent="0.25">
      <c r="BV1243"/>
      <c r="BW1243"/>
      <c r="BX1243"/>
    </row>
    <row r="1244" spans="74:76" x14ac:dyDescent="0.25">
      <c r="BV1244"/>
      <c r="BW1244"/>
      <c r="BX1244"/>
    </row>
    <row r="1245" spans="74:76" x14ac:dyDescent="0.25">
      <c r="BV1245"/>
      <c r="BW1245"/>
      <c r="BX1245"/>
    </row>
    <row r="1246" spans="74:76" x14ac:dyDescent="0.25">
      <c r="BV1246"/>
      <c r="BW1246"/>
      <c r="BX1246"/>
    </row>
    <row r="1247" spans="74:76" x14ac:dyDescent="0.25">
      <c r="BV1247"/>
      <c r="BW1247"/>
      <c r="BX1247"/>
    </row>
    <row r="1248" spans="74:76" x14ac:dyDescent="0.25">
      <c r="BV1248"/>
      <c r="BW1248"/>
      <c r="BX1248"/>
    </row>
    <row r="1249" spans="74:76" x14ac:dyDescent="0.25">
      <c r="BV1249"/>
      <c r="BW1249"/>
      <c r="BX1249"/>
    </row>
    <row r="1250" spans="74:76" x14ac:dyDescent="0.25">
      <c r="BV1250"/>
      <c r="BW1250"/>
      <c r="BX1250"/>
    </row>
    <row r="1251" spans="74:76" x14ac:dyDescent="0.25">
      <c r="BV1251"/>
      <c r="BW1251"/>
      <c r="BX1251"/>
    </row>
    <row r="1252" spans="74:76" x14ac:dyDescent="0.25">
      <c r="BV1252"/>
      <c r="BW1252"/>
      <c r="BX1252"/>
    </row>
    <row r="1253" spans="74:76" x14ac:dyDescent="0.25">
      <c r="BV1253"/>
      <c r="BW1253"/>
      <c r="BX1253"/>
    </row>
    <row r="1254" spans="74:76" x14ac:dyDescent="0.25">
      <c r="BV1254"/>
      <c r="BW1254"/>
      <c r="BX1254"/>
    </row>
    <row r="1255" spans="74:76" x14ac:dyDescent="0.25">
      <c r="BV1255"/>
      <c r="BW1255"/>
      <c r="BX1255"/>
    </row>
    <row r="1256" spans="74:76" x14ac:dyDescent="0.25">
      <c r="BV1256"/>
      <c r="BW1256"/>
      <c r="BX1256"/>
    </row>
    <row r="1257" spans="74:76" x14ac:dyDescent="0.25">
      <c r="BV1257"/>
      <c r="BW1257"/>
      <c r="BX1257"/>
    </row>
    <row r="1258" spans="74:76" x14ac:dyDescent="0.25">
      <c r="BV1258"/>
      <c r="BW1258"/>
      <c r="BX1258"/>
    </row>
    <row r="1259" spans="74:76" x14ac:dyDescent="0.25">
      <c r="BV1259"/>
      <c r="BW1259"/>
      <c r="BX1259"/>
    </row>
    <row r="1260" spans="74:76" x14ac:dyDescent="0.25">
      <c r="BV1260"/>
      <c r="BW1260"/>
      <c r="BX1260"/>
    </row>
    <row r="1261" spans="74:76" x14ac:dyDescent="0.25">
      <c r="BV1261"/>
      <c r="BW1261"/>
      <c r="BX1261"/>
    </row>
    <row r="1262" spans="74:76" x14ac:dyDescent="0.25">
      <c r="BV1262"/>
      <c r="BW1262"/>
      <c r="BX1262"/>
    </row>
    <row r="1263" spans="74:76" x14ac:dyDescent="0.25">
      <c r="BV1263"/>
      <c r="BW1263"/>
      <c r="BX1263"/>
    </row>
    <row r="1264" spans="74:76" x14ac:dyDescent="0.25">
      <c r="BV1264"/>
      <c r="BW1264"/>
      <c r="BX1264"/>
    </row>
    <row r="1265" spans="74:76" x14ac:dyDescent="0.25">
      <c r="BV1265"/>
      <c r="BW1265"/>
      <c r="BX1265"/>
    </row>
    <row r="1266" spans="74:76" x14ac:dyDescent="0.25">
      <c r="BV1266"/>
      <c r="BW1266"/>
      <c r="BX1266"/>
    </row>
    <row r="1267" spans="74:76" x14ac:dyDescent="0.25">
      <c r="BV1267"/>
      <c r="BW1267"/>
      <c r="BX1267"/>
    </row>
    <row r="1268" spans="74:76" x14ac:dyDescent="0.25">
      <c r="BV1268"/>
      <c r="BW1268"/>
      <c r="BX1268"/>
    </row>
    <row r="1269" spans="74:76" x14ac:dyDescent="0.25">
      <c r="BV1269"/>
      <c r="BW1269"/>
      <c r="BX1269"/>
    </row>
    <row r="1270" spans="74:76" x14ac:dyDescent="0.25">
      <c r="BV1270"/>
      <c r="BW1270"/>
      <c r="BX1270"/>
    </row>
    <row r="1271" spans="74:76" x14ac:dyDescent="0.25">
      <c r="BV1271"/>
      <c r="BW1271"/>
      <c r="BX1271"/>
    </row>
    <row r="1272" spans="74:76" x14ac:dyDescent="0.25">
      <c r="BV1272"/>
      <c r="BW1272"/>
      <c r="BX1272"/>
    </row>
    <row r="1273" spans="74:76" x14ac:dyDescent="0.25">
      <c r="BV1273"/>
      <c r="BW1273"/>
      <c r="BX1273"/>
    </row>
    <row r="1274" spans="74:76" x14ac:dyDescent="0.25">
      <c r="BV1274"/>
      <c r="BW1274"/>
      <c r="BX1274"/>
    </row>
    <row r="1275" spans="74:76" x14ac:dyDescent="0.25">
      <c r="BV1275"/>
      <c r="BW1275"/>
      <c r="BX1275"/>
    </row>
    <row r="1276" spans="74:76" x14ac:dyDescent="0.25">
      <c r="BV1276"/>
      <c r="BW1276"/>
      <c r="BX1276"/>
    </row>
    <row r="1277" spans="74:76" x14ac:dyDescent="0.25">
      <c r="BV1277"/>
      <c r="BW1277"/>
      <c r="BX1277"/>
    </row>
    <row r="1278" spans="74:76" x14ac:dyDescent="0.25">
      <c r="BV1278"/>
      <c r="BW1278"/>
      <c r="BX1278"/>
    </row>
    <row r="1279" spans="74:76" x14ac:dyDescent="0.25">
      <c r="BV1279"/>
      <c r="BW1279"/>
      <c r="BX1279"/>
    </row>
    <row r="1280" spans="74:76" x14ac:dyDescent="0.25">
      <c r="BV1280"/>
      <c r="BW1280"/>
      <c r="BX1280"/>
    </row>
    <row r="1281" spans="74:76" x14ac:dyDescent="0.25">
      <c r="BV1281"/>
      <c r="BW1281"/>
      <c r="BX1281"/>
    </row>
    <row r="1282" spans="74:76" x14ac:dyDescent="0.25">
      <c r="BV1282"/>
      <c r="BW1282"/>
      <c r="BX1282"/>
    </row>
    <row r="1283" spans="74:76" x14ac:dyDescent="0.25">
      <c r="BV1283"/>
      <c r="BW1283"/>
      <c r="BX1283"/>
    </row>
    <row r="1284" spans="74:76" x14ac:dyDescent="0.25">
      <c r="BV1284"/>
      <c r="BW1284"/>
      <c r="BX1284"/>
    </row>
    <row r="1285" spans="74:76" x14ac:dyDescent="0.25">
      <c r="BV1285"/>
      <c r="BW1285"/>
      <c r="BX1285"/>
    </row>
    <row r="1286" spans="74:76" x14ac:dyDescent="0.25">
      <c r="BV1286"/>
      <c r="BW1286"/>
      <c r="BX1286"/>
    </row>
    <row r="1287" spans="74:76" x14ac:dyDescent="0.25">
      <c r="BV1287"/>
      <c r="BW1287"/>
      <c r="BX1287"/>
    </row>
    <row r="1288" spans="74:76" x14ac:dyDescent="0.25">
      <c r="BV1288"/>
      <c r="BW1288"/>
      <c r="BX1288"/>
    </row>
    <row r="1289" spans="74:76" x14ac:dyDescent="0.25">
      <c r="BV1289"/>
      <c r="BW1289"/>
      <c r="BX1289"/>
    </row>
    <row r="1290" spans="74:76" x14ac:dyDescent="0.25">
      <c r="BV1290"/>
      <c r="BW1290"/>
      <c r="BX1290"/>
    </row>
    <row r="1291" spans="74:76" x14ac:dyDescent="0.25">
      <c r="BV1291"/>
      <c r="BW1291"/>
      <c r="BX1291"/>
    </row>
    <row r="1292" spans="74:76" x14ac:dyDescent="0.25">
      <c r="BV1292"/>
      <c r="BW1292"/>
      <c r="BX1292"/>
    </row>
    <row r="1293" spans="74:76" x14ac:dyDescent="0.25">
      <c r="BV1293"/>
      <c r="BW1293"/>
      <c r="BX1293"/>
    </row>
    <row r="1294" spans="74:76" x14ac:dyDescent="0.25">
      <c r="BV1294"/>
      <c r="BW1294"/>
      <c r="BX1294"/>
    </row>
    <row r="1295" spans="74:76" x14ac:dyDescent="0.25">
      <c r="BV1295"/>
      <c r="BW1295"/>
      <c r="BX1295"/>
    </row>
    <row r="1296" spans="74:76" x14ac:dyDescent="0.25">
      <c r="BV1296"/>
      <c r="BW1296"/>
      <c r="BX1296"/>
    </row>
    <row r="1297" spans="74:76" x14ac:dyDescent="0.25">
      <c r="BV1297"/>
      <c r="BW1297"/>
      <c r="BX1297"/>
    </row>
    <row r="1298" spans="74:76" x14ac:dyDescent="0.25">
      <c r="BV1298"/>
      <c r="BW1298"/>
      <c r="BX1298"/>
    </row>
    <row r="1299" spans="74:76" x14ac:dyDescent="0.25">
      <c r="BV1299"/>
      <c r="BW1299"/>
      <c r="BX1299"/>
    </row>
    <row r="1300" spans="74:76" x14ac:dyDescent="0.25">
      <c r="BV1300"/>
      <c r="BW1300"/>
      <c r="BX1300"/>
    </row>
    <row r="1301" spans="74:76" x14ac:dyDescent="0.25">
      <c r="BV1301"/>
      <c r="BW1301"/>
      <c r="BX1301"/>
    </row>
    <row r="1302" spans="74:76" x14ac:dyDescent="0.25">
      <c r="BV1302"/>
      <c r="BW1302"/>
      <c r="BX1302"/>
    </row>
    <row r="1303" spans="74:76" x14ac:dyDescent="0.25">
      <c r="BV1303"/>
      <c r="BW1303"/>
      <c r="BX1303"/>
    </row>
    <row r="1304" spans="74:76" x14ac:dyDescent="0.25">
      <c r="BV1304"/>
      <c r="BW1304"/>
      <c r="BX1304"/>
    </row>
    <row r="1305" spans="74:76" x14ac:dyDescent="0.25">
      <c r="BV1305"/>
      <c r="BW1305"/>
      <c r="BX1305"/>
    </row>
    <row r="1306" spans="74:76" x14ac:dyDescent="0.25">
      <c r="BV1306"/>
      <c r="BW1306"/>
      <c r="BX1306"/>
    </row>
    <row r="1307" spans="74:76" x14ac:dyDescent="0.25">
      <c r="BV1307"/>
      <c r="BW1307"/>
      <c r="BX1307"/>
    </row>
    <row r="1308" spans="74:76" x14ac:dyDescent="0.25">
      <c r="BV1308"/>
      <c r="BW1308"/>
      <c r="BX1308"/>
    </row>
    <row r="1309" spans="74:76" x14ac:dyDescent="0.25">
      <c r="BV1309"/>
      <c r="BW1309"/>
      <c r="BX1309"/>
    </row>
    <row r="1310" spans="74:76" x14ac:dyDescent="0.25">
      <c r="BV1310"/>
      <c r="BW1310"/>
      <c r="BX1310"/>
    </row>
    <row r="1311" spans="74:76" x14ac:dyDescent="0.25">
      <c r="BV1311"/>
      <c r="BW1311"/>
      <c r="BX1311"/>
    </row>
    <row r="1312" spans="74:76" x14ac:dyDescent="0.25">
      <c r="BV1312"/>
      <c r="BW1312"/>
      <c r="BX1312"/>
    </row>
    <row r="1313" spans="74:76" x14ac:dyDescent="0.25">
      <c r="BV1313"/>
      <c r="BW1313"/>
      <c r="BX1313"/>
    </row>
    <row r="1314" spans="74:76" x14ac:dyDescent="0.25">
      <c r="BV1314"/>
      <c r="BW1314"/>
      <c r="BX1314"/>
    </row>
    <row r="1315" spans="74:76" x14ac:dyDescent="0.25">
      <c r="BV1315"/>
      <c r="BW1315"/>
      <c r="BX1315"/>
    </row>
    <row r="1316" spans="74:76" x14ac:dyDescent="0.25">
      <c r="BV1316"/>
      <c r="BW1316"/>
      <c r="BX1316"/>
    </row>
    <row r="1317" spans="74:76" x14ac:dyDescent="0.25">
      <c r="BV1317"/>
      <c r="BW1317"/>
      <c r="BX1317"/>
    </row>
    <row r="1318" spans="74:76" x14ac:dyDescent="0.25">
      <c r="BV1318"/>
      <c r="BW1318"/>
      <c r="BX1318"/>
    </row>
    <row r="1319" spans="74:76" x14ac:dyDescent="0.25">
      <c r="BV1319"/>
      <c r="BW1319"/>
      <c r="BX1319"/>
    </row>
    <row r="1320" spans="74:76" x14ac:dyDescent="0.25">
      <c r="BV1320"/>
      <c r="BW1320"/>
      <c r="BX1320"/>
    </row>
    <row r="1321" spans="74:76" x14ac:dyDescent="0.25">
      <c r="BV1321"/>
      <c r="BW1321"/>
      <c r="BX1321"/>
    </row>
    <row r="1322" spans="74:76" x14ac:dyDescent="0.25">
      <c r="BV1322"/>
      <c r="BW1322"/>
      <c r="BX1322"/>
    </row>
    <row r="1323" spans="74:76" x14ac:dyDescent="0.25">
      <c r="BV1323"/>
      <c r="BW1323"/>
      <c r="BX1323"/>
    </row>
    <row r="1324" spans="74:76" x14ac:dyDescent="0.25">
      <c r="BV1324"/>
      <c r="BW1324"/>
      <c r="BX1324"/>
    </row>
    <row r="1325" spans="74:76" x14ac:dyDescent="0.25">
      <c r="BV1325"/>
      <c r="BW1325"/>
      <c r="BX1325"/>
    </row>
    <row r="1326" spans="74:76" x14ac:dyDescent="0.25">
      <c r="BV1326"/>
      <c r="BW1326"/>
      <c r="BX1326"/>
    </row>
    <row r="1327" spans="74:76" x14ac:dyDescent="0.25">
      <c r="BV1327"/>
      <c r="BW1327"/>
      <c r="BX1327"/>
    </row>
    <row r="1328" spans="74:76" x14ac:dyDescent="0.25">
      <c r="BV1328"/>
      <c r="BW1328"/>
      <c r="BX1328"/>
    </row>
    <row r="1329" spans="74:76" x14ac:dyDescent="0.25">
      <c r="BV1329"/>
      <c r="BW1329"/>
      <c r="BX1329"/>
    </row>
    <row r="1330" spans="74:76" x14ac:dyDescent="0.25">
      <c r="BV1330"/>
      <c r="BW1330"/>
      <c r="BX1330"/>
    </row>
    <row r="1331" spans="74:76" x14ac:dyDescent="0.25">
      <c r="BV1331"/>
      <c r="BW1331"/>
      <c r="BX1331"/>
    </row>
    <row r="1332" spans="74:76" x14ac:dyDescent="0.25">
      <c r="BV1332"/>
      <c r="BW1332"/>
      <c r="BX1332"/>
    </row>
    <row r="1333" spans="74:76" x14ac:dyDescent="0.25">
      <c r="BV1333"/>
      <c r="BW1333"/>
      <c r="BX1333"/>
    </row>
    <row r="1334" spans="74:76" x14ac:dyDescent="0.25">
      <c r="BV1334"/>
      <c r="BW1334"/>
      <c r="BX1334"/>
    </row>
    <row r="1335" spans="74:76" x14ac:dyDescent="0.25">
      <c r="BV1335"/>
      <c r="BW1335"/>
      <c r="BX1335"/>
    </row>
    <row r="1336" spans="74:76" x14ac:dyDescent="0.25">
      <c r="BV1336"/>
      <c r="BW1336"/>
      <c r="BX1336"/>
    </row>
    <row r="1337" spans="74:76" x14ac:dyDescent="0.25">
      <c r="BV1337"/>
      <c r="BW1337"/>
      <c r="BX1337"/>
    </row>
    <row r="1338" spans="74:76" x14ac:dyDescent="0.25">
      <c r="BV1338"/>
      <c r="BW1338"/>
      <c r="BX1338"/>
    </row>
    <row r="1339" spans="74:76" x14ac:dyDescent="0.25">
      <c r="BV1339"/>
      <c r="BW1339"/>
      <c r="BX1339"/>
    </row>
    <row r="1340" spans="74:76" x14ac:dyDescent="0.25">
      <c r="BV1340"/>
      <c r="BW1340"/>
      <c r="BX1340"/>
    </row>
    <row r="1341" spans="74:76" x14ac:dyDescent="0.25">
      <c r="BV1341"/>
      <c r="BW1341"/>
      <c r="BX1341"/>
    </row>
    <row r="1342" spans="74:76" x14ac:dyDescent="0.25">
      <c r="BV1342"/>
      <c r="BW1342"/>
      <c r="BX1342"/>
    </row>
    <row r="1343" spans="74:76" x14ac:dyDescent="0.25">
      <c r="BV1343"/>
      <c r="BW1343"/>
      <c r="BX1343"/>
    </row>
    <row r="1344" spans="74:76" x14ac:dyDescent="0.25">
      <c r="BV1344"/>
      <c r="BW1344"/>
      <c r="BX1344"/>
    </row>
    <row r="1345" spans="74:76" x14ac:dyDescent="0.25">
      <c r="BV1345"/>
      <c r="BW1345"/>
      <c r="BX1345"/>
    </row>
    <row r="1346" spans="74:76" x14ac:dyDescent="0.25">
      <c r="BV1346"/>
      <c r="BW1346"/>
      <c r="BX1346"/>
    </row>
    <row r="1347" spans="74:76" x14ac:dyDescent="0.25">
      <c r="BV1347"/>
      <c r="BW1347"/>
      <c r="BX1347"/>
    </row>
    <row r="1348" spans="74:76" x14ac:dyDescent="0.25">
      <c r="BV1348"/>
      <c r="BW1348"/>
      <c r="BX1348"/>
    </row>
    <row r="1349" spans="74:76" x14ac:dyDescent="0.25">
      <c r="BV1349"/>
      <c r="BW1349"/>
      <c r="BX1349"/>
    </row>
    <row r="1350" spans="74:76" x14ac:dyDescent="0.25">
      <c r="BV1350"/>
      <c r="BW1350"/>
      <c r="BX1350"/>
    </row>
    <row r="1351" spans="74:76" x14ac:dyDescent="0.25">
      <c r="BV1351"/>
      <c r="BW1351"/>
      <c r="BX1351"/>
    </row>
    <row r="1352" spans="74:76" x14ac:dyDescent="0.25">
      <c r="BV1352"/>
      <c r="BW1352"/>
      <c r="BX1352"/>
    </row>
    <row r="1353" spans="74:76" x14ac:dyDescent="0.25">
      <c r="BV1353"/>
      <c r="BW1353"/>
      <c r="BX1353"/>
    </row>
    <row r="1354" spans="74:76" x14ac:dyDescent="0.25">
      <c r="BV1354"/>
      <c r="BW1354"/>
      <c r="BX1354"/>
    </row>
    <row r="1355" spans="74:76" x14ac:dyDescent="0.25">
      <c r="BV1355"/>
      <c r="BW1355"/>
      <c r="BX1355"/>
    </row>
    <row r="1356" spans="74:76" x14ac:dyDescent="0.25">
      <c r="BV1356"/>
      <c r="BW1356"/>
      <c r="BX1356"/>
    </row>
    <row r="1357" spans="74:76" x14ac:dyDescent="0.25">
      <c r="BV1357"/>
      <c r="BW1357"/>
      <c r="BX1357"/>
    </row>
    <row r="1358" spans="74:76" x14ac:dyDescent="0.25">
      <c r="BV1358"/>
      <c r="BW1358"/>
      <c r="BX1358"/>
    </row>
    <row r="1359" spans="74:76" x14ac:dyDescent="0.25">
      <c r="BV1359"/>
      <c r="BW1359"/>
      <c r="BX1359"/>
    </row>
    <row r="1360" spans="74:76" x14ac:dyDescent="0.25">
      <c r="BV1360"/>
      <c r="BW1360"/>
      <c r="BX1360"/>
    </row>
    <row r="1361" spans="74:76" x14ac:dyDescent="0.25">
      <c r="BV1361"/>
      <c r="BW1361"/>
      <c r="BX1361"/>
    </row>
    <row r="1362" spans="74:76" x14ac:dyDescent="0.25">
      <c r="BV1362"/>
      <c r="BW1362"/>
      <c r="BX1362"/>
    </row>
    <row r="1363" spans="74:76" x14ac:dyDescent="0.25">
      <c r="BV1363"/>
      <c r="BW1363"/>
      <c r="BX1363"/>
    </row>
    <row r="1364" spans="74:76" x14ac:dyDescent="0.25">
      <c r="BV1364"/>
      <c r="BW1364"/>
      <c r="BX1364"/>
    </row>
    <row r="1365" spans="74:76" x14ac:dyDescent="0.25">
      <c r="BV1365"/>
      <c r="BW1365"/>
      <c r="BX1365"/>
    </row>
    <row r="1366" spans="74:76" x14ac:dyDescent="0.25">
      <c r="BV1366"/>
      <c r="BW1366"/>
      <c r="BX1366"/>
    </row>
    <row r="1367" spans="74:76" x14ac:dyDescent="0.25">
      <c r="BV1367"/>
      <c r="BW1367"/>
      <c r="BX1367"/>
    </row>
    <row r="1368" spans="74:76" x14ac:dyDescent="0.25">
      <c r="BV1368"/>
      <c r="BW1368"/>
      <c r="BX1368"/>
    </row>
    <row r="1369" spans="74:76" x14ac:dyDescent="0.25">
      <c r="BV1369"/>
      <c r="BW1369"/>
      <c r="BX1369"/>
    </row>
    <row r="1370" spans="74:76" x14ac:dyDescent="0.25">
      <c r="BV1370"/>
      <c r="BW1370"/>
      <c r="BX1370"/>
    </row>
    <row r="1371" spans="74:76" x14ac:dyDescent="0.25">
      <c r="BV1371"/>
      <c r="BW1371"/>
      <c r="BX1371"/>
    </row>
    <row r="1372" spans="74:76" x14ac:dyDescent="0.25">
      <c r="BV1372"/>
      <c r="BW1372"/>
      <c r="BX1372"/>
    </row>
    <row r="1373" spans="74:76" x14ac:dyDescent="0.25">
      <c r="BV1373"/>
      <c r="BW1373"/>
      <c r="BX1373"/>
    </row>
    <row r="1374" spans="74:76" x14ac:dyDescent="0.25">
      <c r="BV1374"/>
      <c r="BW1374"/>
      <c r="BX1374"/>
    </row>
    <row r="1375" spans="74:76" x14ac:dyDescent="0.25">
      <c r="BV1375"/>
      <c r="BW1375"/>
      <c r="BX1375"/>
    </row>
    <row r="1376" spans="74:76" x14ac:dyDescent="0.25">
      <c r="BV1376"/>
      <c r="BW1376"/>
      <c r="BX1376"/>
    </row>
    <row r="1377" spans="74:76" x14ac:dyDescent="0.25">
      <c r="BV1377"/>
      <c r="BW1377"/>
      <c r="BX1377"/>
    </row>
    <row r="1378" spans="74:76" x14ac:dyDescent="0.25">
      <c r="BV1378"/>
      <c r="BW1378"/>
      <c r="BX1378"/>
    </row>
    <row r="1379" spans="74:76" x14ac:dyDescent="0.25">
      <c r="BV1379"/>
      <c r="BW1379"/>
      <c r="BX1379"/>
    </row>
    <row r="1380" spans="74:76" x14ac:dyDescent="0.25">
      <c r="BV1380"/>
      <c r="BW1380"/>
      <c r="BX1380"/>
    </row>
    <row r="1381" spans="74:76" x14ac:dyDescent="0.25">
      <c r="BV1381"/>
      <c r="BW1381"/>
      <c r="BX1381"/>
    </row>
    <row r="1382" spans="74:76" x14ac:dyDescent="0.25">
      <c r="BV1382"/>
      <c r="BW1382"/>
      <c r="BX1382"/>
    </row>
    <row r="1383" spans="74:76" x14ac:dyDescent="0.25">
      <c r="BV1383"/>
      <c r="BW1383"/>
      <c r="BX1383"/>
    </row>
    <row r="1384" spans="74:76" x14ac:dyDescent="0.25">
      <c r="BV1384"/>
      <c r="BW1384"/>
      <c r="BX1384"/>
    </row>
    <row r="1385" spans="74:76" x14ac:dyDescent="0.25">
      <c r="BV1385"/>
      <c r="BW1385"/>
      <c r="BX1385"/>
    </row>
    <row r="1386" spans="74:76" x14ac:dyDescent="0.25">
      <c r="BV1386"/>
      <c r="BW1386"/>
      <c r="BX1386"/>
    </row>
    <row r="1387" spans="74:76" x14ac:dyDescent="0.25">
      <c r="BV1387"/>
      <c r="BW1387"/>
      <c r="BX1387"/>
    </row>
    <row r="1388" spans="74:76" x14ac:dyDescent="0.25">
      <c r="BV1388"/>
      <c r="BW1388"/>
      <c r="BX1388"/>
    </row>
    <row r="1389" spans="74:76" x14ac:dyDescent="0.25">
      <c r="BV1389"/>
      <c r="BW1389"/>
      <c r="BX1389"/>
    </row>
    <row r="1390" spans="74:76" x14ac:dyDescent="0.25">
      <c r="BV1390"/>
      <c r="BW1390"/>
      <c r="BX1390"/>
    </row>
    <row r="1391" spans="74:76" x14ac:dyDescent="0.25">
      <c r="BV1391"/>
      <c r="BW1391"/>
      <c r="BX1391"/>
    </row>
    <row r="1392" spans="74:76" x14ac:dyDescent="0.25">
      <c r="BV1392"/>
      <c r="BW1392"/>
      <c r="BX1392"/>
    </row>
    <row r="1393" spans="74:76" x14ac:dyDescent="0.25">
      <c r="BV1393"/>
      <c r="BW1393"/>
      <c r="BX1393"/>
    </row>
    <row r="1394" spans="74:76" x14ac:dyDescent="0.25">
      <c r="BV1394"/>
      <c r="BW1394"/>
      <c r="BX1394"/>
    </row>
    <row r="1395" spans="74:76" x14ac:dyDescent="0.25">
      <c r="BV1395"/>
      <c r="BW1395"/>
      <c r="BX1395"/>
    </row>
    <row r="1396" spans="74:76" x14ac:dyDescent="0.25">
      <c r="BV1396"/>
      <c r="BW1396"/>
      <c r="BX1396"/>
    </row>
    <row r="1397" spans="74:76" x14ac:dyDescent="0.25">
      <c r="BV1397"/>
      <c r="BW1397"/>
      <c r="BX1397"/>
    </row>
    <row r="1398" spans="74:76" x14ac:dyDescent="0.25">
      <c r="BV1398"/>
      <c r="BW1398"/>
      <c r="BX1398"/>
    </row>
    <row r="1399" spans="74:76" x14ac:dyDescent="0.25">
      <c r="BV1399"/>
      <c r="BW1399"/>
      <c r="BX1399"/>
    </row>
    <row r="1400" spans="74:76" x14ac:dyDescent="0.25">
      <c r="BV1400"/>
      <c r="BW1400"/>
      <c r="BX1400"/>
    </row>
    <row r="1401" spans="74:76" x14ac:dyDescent="0.25">
      <c r="BV1401"/>
      <c r="BW1401"/>
      <c r="BX1401"/>
    </row>
    <row r="1402" spans="74:76" x14ac:dyDescent="0.25">
      <c r="BV1402"/>
      <c r="BW1402"/>
      <c r="BX1402"/>
    </row>
    <row r="1403" spans="74:76" x14ac:dyDescent="0.25">
      <c r="BV1403"/>
      <c r="BW1403"/>
      <c r="BX1403"/>
    </row>
    <row r="1404" spans="74:76" x14ac:dyDescent="0.25">
      <c r="BV1404"/>
      <c r="BW1404"/>
      <c r="BX1404"/>
    </row>
    <row r="1405" spans="74:76" x14ac:dyDescent="0.25">
      <c r="BV1405"/>
      <c r="BW1405"/>
      <c r="BX1405"/>
    </row>
    <row r="1406" spans="74:76" x14ac:dyDescent="0.25">
      <c r="BV1406"/>
      <c r="BW1406"/>
      <c r="BX1406"/>
    </row>
    <row r="1407" spans="74:76" x14ac:dyDescent="0.25">
      <c r="BV1407"/>
      <c r="BW1407"/>
      <c r="BX1407"/>
    </row>
    <row r="1408" spans="74:76" x14ac:dyDescent="0.25">
      <c r="BV1408"/>
      <c r="BW1408"/>
      <c r="BX1408"/>
    </row>
    <row r="1409" spans="74:76" x14ac:dyDescent="0.25">
      <c r="BV1409"/>
      <c r="BW1409"/>
      <c r="BX1409"/>
    </row>
    <row r="1410" spans="74:76" x14ac:dyDescent="0.25">
      <c r="BV1410"/>
      <c r="BW1410"/>
      <c r="BX1410"/>
    </row>
    <row r="1411" spans="74:76" x14ac:dyDescent="0.25">
      <c r="BV1411"/>
      <c r="BW1411"/>
      <c r="BX1411"/>
    </row>
    <row r="1412" spans="74:76" x14ac:dyDescent="0.25">
      <c r="BV1412"/>
      <c r="BW1412"/>
      <c r="BX1412"/>
    </row>
    <row r="1413" spans="74:76" x14ac:dyDescent="0.25">
      <c r="BV1413"/>
      <c r="BW1413"/>
      <c r="BX1413"/>
    </row>
    <row r="1414" spans="74:76" x14ac:dyDescent="0.25">
      <c r="BV1414"/>
      <c r="BW1414"/>
      <c r="BX1414"/>
    </row>
    <row r="1415" spans="74:76" x14ac:dyDescent="0.25">
      <c r="BV1415"/>
      <c r="BW1415"/>
      <c r="BX1415"/>
    </row>
    <row r="1416" spans="74:76" x14ac:dyDescent="0.25">
      <c r="BV1416"/>
      <c r="BW1416"/>
      <c r="BX1416"/>
    </row>
    <row r="1417" spans="74:76" x14ac:dyDescent="0.25">
      <c r="BV1417"/>
      <c r="BW1417"/>
      <c r="BX1417"/>
    </row>
    <row r="1418" spans="74:76" x14ac:dyDescent="0.25">
      <c r="BV1418"/>
      <c r="BW1418"/>
      <c r="BX1418"/>
    </row>
    <row r="1419" spans="74:76" x14ac:dyDescent="0.25">
      <c r="BV1419"/>
      <c r="BW1419"/>
      <c r="BX1419"/>
    </row>
    <row r="1420" spans="74:76" x14ac:dyDescent="0.25">
      <c r="BV1420"/>
      <c r="BW1420"/>
      <c r="BX1420"/>
    </row>
    <row r="1421" spans="74:76" x14ac:dyDescent="0.25">
      <c r="BV1421"/>
      <c r="BW1421"/>
      <c r="BX1421"/>
    </row>
    <row r="1422" spans="74:76" x14ac:dyDescent="0.25">
      <c r="BV1422"/>
      <c r="BW1422"/>
      <c r="BX1422"/>
    </row>
    <row r="1423" spans="74:76" x14ac:dyDescent="0.25">
      <c r="BV1423"/>
      <c r="BW1423"/>
      <c r="BX1423"/>
    </row>
    <row r="1424" spans="74:76" x14ac:dyDescent="0.25">
      <c r="BV1424"/>
      <c r="BW1424"/>
      <c r="BX1424"/>
    </row>
    <row r="1425" spans="74:76" x14ac:dyDescent="0.25">
      <c r="BV1425"/>
      <c r="BW1425"/>
      <c r="BX1425"/>
    </row>
    <row r="1426" spans="74:76" x14ac:dyDescent="0.25">
      <c r="BV1426"/>
      <c r="BW1426"/>
      <c r="BX1426"/>
    </row>
    <row r="1427" spans="74:76" x14ac:dyDescent="0.25">
      <c r="BV1427"/>
      <c r="BW1427"/>
      <c r="BX1427"/>
    </row>
    <row r="1428" spans="74:76" x14ac:dyDescent="0.25">
      <c r="BV1428"/>
      <c r="BW1428"/>
      <c r="BX1428"/>
    </row>
    <row r="1429" spans="74:76" x14ac:dyDescent="0.25">
      <c r="BV1429"/>
      <c r="BW1429"/>
      <c r="BX1429"/>
    </row>
    <row r="1430" spans="74:76" x14ac:dyDescent="0.25">
      <c r="BV1430"/>
      <c r="BW1430"/>
      <c r="BX1430"/>
    </row>
    <row r="1431" spans="74:76" x14ac:dyDescent="0.25">
      <c r="BV1431"/>
      <c r="BW1431"/>
      <c r="BX1431"/>
    </row>
    <row r="1432" spans="74:76" x14ac:dyDescent="0.25">
      <c r="BV1432"/>
      <c r="BW1432"/>
      <c r="BX1432"/>
    </row>
    <row r="1433" spans="74:76" x14ac:dyDescent="0.25">
      <c r="BV1433"/>
      <c r="BW1433"/>
      <c r="BX1433"/>
    </row>
    <row r="1434" spans="74:76" x14ac:dyDescent="0.25">
      <c r="BV1434"/>
      <c r="BW1434"/>
      <c r="BX1434"/>
    </row>
    <row r="1435" spans="74:76" x14ac:dyDescent="0.25">
      <c r="BV1435"/>
      <c r="BW1435"/>
      <c r="BX1435"/>
    </row>
    <row r="1436" spans="74:76" x14ac:dyDescent="0.25">
      <c r="BV1436"/>
      <c r="BW1436"/>
      <c r="BX1436"/>
    </row>
    <row r="1437" spans="74:76" x14ac:dyDescent="0.25">
      <c r="BV1437"/>
      <c r="BW1437"/>
      <c r="BX1437"/>
    </row>
    <row r="1438" spans="74:76" x14ac:dyDescent="0.25">
      <c r="BV1438"/>
      <c r="BW1438"/>
      <c r="BX1438"/>
    </row>
    <row r="1439" spans="74:76" x14ac:dyDescent="0.25">
      <c r="BV1439"/>
      <c r="BW1439"/>
      <c r="BX1439"/>
    </row>
    <row r="1440" spans="74:76" x14ac:dyDescent="0.25">
      <c r="BV1440"/>
      <c r="BW1440"/>
      <c r="BX1440"/>
    </row>
    <row r="1441" spans="74:76" x14ac:dyDescent="0.25">
      <c r="BV1441"/>
      <c r="BW1441"/>
      <c r="BX1441"/>
    </row>
    <row r="1442" spans="74:76" x14ac:dyDescent="0.25">
      <c r="BV1442"/>
      <c r="BW1442"/>
      <c r="BX1442"/>
    </row>
    <row r="1443" spans="74:76" x14ac:dyDescent="0.25">
      <c r="BV1443"/>
      <c r="BW1443"/>
      <c r="BX1443"/>
    </row>
    <row r="1444" spans="74:76" x14ac:dyDescent="0.25">
      <c r="BV1444"/>
      <c r="BW1444"/>
      <c r="BX1444"/>
    </row>
    <row r="1445" spans="74:76" x14ac:dyDescent="0.25">
      <c r="BV1445"/>
      <c r="BW1445"/>
      <c r="BX1445"/>
    </row>
    <row r="1446" spans="74:76" x14ac:dyDescent="0.25">
      <c r="BV1446"/>
      <c r="BW1446"/>
      <c r="BX1446"/>
    </row>
    <row r="1447" spans="74:76" x14ac:dyDescent="0.25">
      <c r="BV1447"/>
      <c r="BW1447"/>
      <c r="BX1447"/>
    </row>
    <row r="1448" spans="74:76" x14ac:dyDescent="0.25">
      <c r="BV1448"/>
      <c r="BW1448"/>
      <c r="BX1448"/>
    </row>
    <row r="1449" spans="74:76" x14ac:dyDescent="0.25">
      <c r="BV1449"/>
      <c r="BW1449"/>
      <c r="BX1449"/>
    </row>
    <row r="1450" spans="74:76" x14ac:dyDescent="0.25">
      <c r="BV1450"/>
      <c r="BW1450"/>
      <c r="BX1450"/>
    </row>
    <row r="1451" spans="74:76" x14ac:dyDescent="0.25">
      <c r="BV1451"/>
      <c r="BW1451"/>
      <c r="BX1451"/>
    </row>
    <row r="1452" spans="74:76" x14ac:dyDescent="0.25">
      <c r="BV1452"/>
      <c r="BW1452"/>
      <c r="BX1452"/>
    </row>
    <row r="1453" spans="74:76" x14ac:dyDescent="0.25">
      <c r="BV1453"/>
      <c r="BW1453"/>
      <c r="BX1453"/>
    </row>
    <row r="1454" spans="74:76" x14ac:dyDescent="0.25">
      <c r="BV1454"/>
      <c r="BW1454"/>
      <c r="BX1454"/>
    </row>
    <row r="1455" spans="74:76" x14ac:dyDescent="0.25">
      <c r="BV1455"/>
      <c r="BW1455"/>
      <c r="BX1455"/>
    </row>
    <row r="1456" spans="74:76" x14ac:dyDescent="0.25">
      <c r="BV1456"/>
      <c r="BW1456"/>
      <c r="BX1456"/>
    </row>
    <row r="1457" spans="74:76" x14ac:dyDescent="0.25">
      <c r="BV1457"/>
      <c r="BW1457"/>
      <c r="BX1457"/>
    </row>
    <row r="1458" spans="74:76" x14ac:dyDescent="0.25">
      <c r="BV1458"/>
      <c r="BW1458"/>
      <c r="BX1458"/>
    </row>
    <row r="1459" spans="74:76" x14ac:dyDescent="0.25">
      <c r="BV1459"/>
      <c r="BW1459"/>
      <c r="BX1459"/>
    </row>
    <row r="1460" spans="74:76" x14ac:dyDescent="0.25">
      <c r="BV1460"/>
      <c r="BW1460"/>
      <c r="BX1460"/>
    </row>
    <row r="1461" spans="74:76" x14ac:dyDescent="0.25">
      <c r="BV1461"/>
      <c r="BW1461"/>
      <c r="BX1461"/>
    </row>
    <row r="1462" spans="74:76" x14ac:dyDescent="0.25">
      <c r="BV1462"/>
      <c r="BW1462"/>
      <c r="BX1462"/>
    </row>
    <row r="1463" spans="74:76" x14ac:dyDescent="0.25">
      <c r="BV1463"/>
      <c r="BW1463"/>
      <c r="BX1463"/>
    </row>
    <row r="1464" spans="74:76" x14ac:dyDescent="0.25">
      <c r="BV1464"/>
      <c r="BW1464"/>
      <c r="BX1464"/>
    </row>
    <row r="1465" spans="74:76" x14ac:dyDescent="0.25">
      <c r="BV1465"/>
      <c r="BW1465"/>
      <c r="BX1465"/>
    </row>
    <row r="1466" spans="74:76" x14ac:dyDescent="0.25">
      <c r="BV1466"/>
      <c r="BW1466"/>
      <c r="BX1466"/>
    </row>
    <row r="1467" spans="74:76" x14ac:dyDescent="0.25">
      <c r="BV1467"/>
      <c r="BW1467"/>
      <c r="BX1467"/>
    </row>
    <row r="1468" spans="74:76" x14ac:dyDescent="0.25">
      <c r="BV1468"/>
      <c r="BW1468"/>
      <c r="BX1468"/>
    </row>
    <row r="1469" spans="74:76" x14ac:dyDescent="0.25">
      <c r="BV1469"/>
      <c r="BW1469"/>
      <c r="BX1469"/>
    </row>
    <row r="1470" spans="74:76" x14ac:dyDescent="0.25">
      <c r="BV1470"/>
      <c r="BW1470"/>
      <c r="BX1470"/>
    </row>
    <row r="1471" spans="74:76" x14ac:dyDescent="0.25">
      <c r="BV1471"/>
      <c r="BW1471"/>
      <c r="BX1471"/>
    </row>
    <row r="1472" spans="74:76" x14ac:dyDescent="0.25">
      <c r="BV1472"/>
      <c r="BW1472"/>
      <c r="BX1472"/>
    </row>
    <row r="1473" spans="74:76" x14ac:dyDescent="0.25">
      <c r="BV1473"/>
      <c r="BW1473"/>
      <c r="BX1473"/>
    </row>
    <row r="1474" spans="74:76" x14ac:dyDescent="0.25">
      <c r="BV1474"/>
      <c r="BW1474"/>
      <c r="BX1474"/>
    </row>
    <row r="1475" spans="74:76" x14ac:dyDescent="0.25">
      <c r="BV1475"/>
      <c r="BW1475"/>
      <c r="BX1475"/>
    </row>
    <row r="1476" spans="74:76" x14ac:dyDescent="0.25">
      <c r="BV1476"/>
      <c r="BW1476"/>
      <c r="BX1476"/>
    </row>
    <row r="1477" spans="74:76" x14ac:dyDescent="0.25">
      <c r="BV1477"/>
      <c r="BW1477"/>
      <c r="BX1477"/>
    </row>
    <row r="1478" spans="74:76" x14ac:dyDescent="0.25">
      <c r="BV1478"/>
      <c r="BW1478"/>
      <c r="BX1478"/>
    </row>
    <row r="1479" spans="74:76" x14ac:dyDescent="0.25">
      <c r="BV1479"/>
      <c r="BW1479"/>
      <c r="BX1479"/>
    </row>
    <row r="1480" spans="74:76" x14ac:dyDescent="0.25">
      <c r="BV1480"/>
      <c r="BW1480"/>
      <c r="BX1480"/>
    </row>
    <row r="1481" spans="74:76" x14ac:dyDescent="0.25">
      <c r="BV1481"/>
      <c r="BW1481"/>
      <c r="BX1481"/>
    </row>
    <row r="1482" spans="74:76" x14ac:dyDescent="0.25">
      <c r="BV1482"/>
      <c r="BW1482"/>
      <c r="BX1482"/>
    </row>
    <row r="1483" spans="74:76" x14ac:dyDescent="0.25">
      <c r="BV1483"/>
      <c r="BW1483"/>
      <c r="BX1483"/>
    </row>
    <row r="1484" spans="74:76" x14ac:dyDescent="0.25">
      <c r="BV1484"/>
      <c r="BW1484"/>
      <c r="BX1484"/>
    </row>
    <row r="1485" spans="74:76" x14ac:dyDescent="0.25">
      <c r="BV1485"/>
      <c r="BW1485"/>
      <c r="BX1485"/>
    </row>
    <row r="1486" spans="74:76" x14ac:dyDescent="0.25">
      <c r="BV1486"/>
      <c r="BW1486"/>
      <c r="BX1486"/>
    </row>
    <row r="1487" spans="74:76" x14ac:dyDescent="0.25">
      <c r="BV1487"/>
      <c r="BW1487"/>
      <c r="BX1487"/>
    </row>
    <row r="1488" spans="74:76" x14ac:dyDescent="0.25">
      <c r="BV1488"/>
      <c r="BW1488"/>
      <c r="BX1488"/>
    </row>
    <row r="1489" spans="74:76" x14ac:dyDescent="0.25">
      <c r="BV1489"/>
      <c r="BW1489"/>
      <c r="BX1489"/>
    </row>
    <row r="1490" spans="74:76" x14ac:dyDescent="0.25">
      <c r="BV1490"/>
      <c r="BW1490"/>
      <c r="BX1490"/>
    </row>
    <row r="1491" spans="74:76" x14ac:dyDescent="0.25">
      <c r="BV1491"/>
      <c r="BW1491"/>
      <c r="BX1491"/>
    </row>
    <row r="1492" spans="74:76" x14ac:dyDescent="0.25">
      <c r="BV1492"/>
      <c r="BW1492"/>
      <c r="BX1492"/>
    </row>
    <row r="1493" spans="74:76" x14ac:dyDescent="0.25">
      <c r="BV1493"/>
      <c r="BW1493"/>
      <c r="BX1493"/>
    </row>
    <row r="1494" spans="74:76" x14ac:dyDescent="0.25">
      <c r="BV1494"/>
      <c r="BW1494"/>
      <c r="BX1494"/>
    </row>
    <row r="1495" spans="74:76" x14ac:dyDescent="0.25">
      <c r="BV1495"/>
      <c r="BW1495"/>
      <c r="BX1495"/>
    </row>
    <row r="1496" spans="74:76" x14ac:dyDescent="0.25">
      <c r="BV1496"/>
      <c r="BW1496"/>
      <c r="BX1496"/>
    </row>
    <row r="1497" spans="74:76" x14ac:dyDescent="0.25">
      <c r="BV1497"/>
      <c r="BW1497"/>
      <c r="BX1497"/>
    </row>
    <row r="1498" spans="74:76" x14ac:dyDescent="0.25">
      <c r="BV1498"/>
      <c r="BW1498"/>
      <c r="BX1498"/>
    </row>
    <row r="1499" spans="74:76" x14ac:dyDescent="0.25">
      <c r="BV1499"/>
      <c r="BW1499"/>
      <c r="BX1499"/>
    </row>
    <row r="1500" spans="74:76" x14ac:dyDescent="0.25">
      <c r="BV1500"/>
      <c r="BW1500"/>
      <c r="BX1500"/>
    </row>
    <row r="1501" spans="74:76" x14ac:dyDescent="0.25">
      <c r="BV1501"/>
      <c r="BW1501"/>
      <c r="BX1501"/>
    </row>
    <row r="1502" spans="74:76" x14ac:dyDescent="0.25">
      <c r="BV1502"/>
      <c r="BW1502"/>
      <c r="BX1502"/>
    </row>
    <row r="1503" spans="74:76" x14ac:dyDescent="0.25">
      <c r="BV1503"/>
      <c r="BW1503"/>
      <c r="BX1503"/>
    </row>
    <row r="1504" spans="74:76" x14ac:dyDescent="0.25">
      <c r="BV1504"/>
      <c r="BW1504"/>
      <c r="BX1504"/>
    </row>
    <row r="1505" spans="74:76" x14ac:dyDescent="0.25">
      <c r="BV1505"/>
      <c r="BW1505"/>
      <c r="BX1505"/>
    </row>
    <row r="1506" spans="74:76" x14ac:dyDescent="0.25">
      <c r="BV1506"/>
      <c r="BW1506"/>
      <c r="BX1506"/>
    </row>
    <row r="1507" spans="74:76" x14ac:dyDescent="0.25">
      <c r="BV1507"/>
      <c r="BW1507"/>
      <c r="BX1507"/>
    </row>
    <row r="1508" spans="74:76" x14ac:dyDescent="0.25">
      <c r="BV1508"/>
      <c r="BW1508"/>
      <c r="BX1508"/>
    </row>
    <row r="1509" spans="74:76" x14ac:dyDescent="0.25">
      <c r="BV1509"/>
      <c r="BW1509"/>
      <c r="BX1509"/>
    </row>
    <row r="1510" spans="74:76" x14ac:dyDescent="0.25">
      <c r="BV1510"/>
      <c r="BW1510"/>
      <c r="BX1510"/>
    </row>
    <row r="1511" spans="74:76" x14ac:dyDescent="0.25">
      <c r="BV1511"/>
      <c r="BW1511"/>
      <c r="BX1511"/>
    </row>
    <row r="1512" spans="74:76" x14ac:dyDescent="0.25">
      <c r="BV1512"/>
      <c r="BW1512"/>
      <c r="BX1512"/>
    </row>
    <row r="1513" spans="74:76" x14ac:dyDescent="0.25">
      <c r="BV1513"/>
      <c r="BW1513"/>
      <c r="BX1513"/>
    </row>
    <row r="1514" spans="74:76" x14ac:dyDescent="0.25">
      <c r="BV1514"/>
      <c r="BW1514"/>
      <c r="BX1514"/>
    </row>
    <row r="1515" spans="74:76" x14ac:dyDescent="0.25">
      <c r="BV1515"/>
      <c r="BW1515"/>
      <c r="BX1515"/>
    </row>
    <row r="1516" spans="74:76" x14ac:dyDescent="0.25">
      <c r="BV1516"/>
      <c r="BW1516"/>
      <c r="BX1516"/>
    </row>
    <row r="1517" spans="74:76" x14ac:dyDescent="0.25">
      <c r="BV1517"/>
      <c r="BW1517"/>
      <c r="BX1517"/>
    </row>
    <row r="1518" spans="74:76" x14ac:dyDescent="0.25">
      <c r="BV1518"/>
      <c r="BW1518"/>
      <c r="BX1518"/>
    </row>
    <row r="1519" spans="74:76" x14ac:dyDescent="0.25">
      <c r="BV1519"/>
      <c r="BW1519"/>
      <c r="BX1519"/>
    </row>
    <row r="1520" spans="74:76" x14ac:dyDescent="0.25">
      <c r="BV1520"/>
      <c r="BW1520"/>
      <c r="BX1520"/>
    </row>
    <row r="1521" spans="74:76" x14ac:dyDescent="0.25">
      <c r="BV1521"/>
      <c r="BW1521"/>
      <c r="BX1521"/>
    </row>
    <row r="1522" spans="74:76" x14ac:dyDescent="0.25">
      <c r="BV1522"/>
      <c r="BW1522"/>
      <c r="BX1522"/>
    </row>
    <row r="1523" spans="74:76" x14ac:dyDescent="0.25">
      <c r="BV1523"/>
      <c r="BW1523"/>
      <c r="BX1523"/>
    </row>
    <row r="1524" spans="74:76" x14ac:dyDescent="0.25">
      <c r="BV1524"/>
      <c r="BW1524"/>
      <c r="BX1524"/>
    </row>
    <row r="1525" spans="74:76" x14ac:dyDescent="0.25">
      <c r="BV1525"/>
      <c r="BW1525"/>
      <c r="BX1525"/>
    </row>
    <row r="1526" spans="74:76" x14ac:dyDescent="0.25">
      <c r="BV1526"/>
      <c r="BW1526"/>
      <c r="BX1526"/>
    </row>
    <row r="1527" spans="74:76" x14ac:dyDescent="0.25">
      <c r="BV1527"/>
      <c r="BW1527"/>
      <c r="BX1527"/>
    </row>
    <row r="1528" spans="74:76" x14ac:dyDescent="0.25">
      <c r="BV1528"/>
      <c r="BW1528"/>
      <c r="BX1528"/>
    </row>
    <row r="1529" spans="74:76" x14ac:dyDescent="0.25">
      <c r="BV1529"/>
      <c r="BW1529"/>
      <c r="BX1529"/>
    </row>
    <row r="1530" spans="74:76" x14ac:dyDescent="0.25">
      <c r="BV1530"/>
      <c r="BW1530"/>
      <c r="BX1530"/>
    </row>
    <row r="1531" spans="74:76" x14ac:dyDescent="0.25">
      <c r="BV1531"/>
      <c r="BW1531"/>
      <c r="BX1531"/>
    </row>
    <row r="1532" spans="74:76" x14ac:dyDescent="0.25">
      <c r="BV1532"/>
      <c r="BW1532"/>
      <c r="BX1532"/>
    </row>
    <row r="1533" spans="74:76" x14ac:dyDescent="0.25">
      <c r="BV1533"/>
      <c r="BW1533"/>
      <c r="BX1533"/>
    </row>
    <row r="1534" spans="74:76" x14ac:dyDescent="0.25">
      <c r="BV1534"/>
      <c r="BW1534"/>
      <c r="BX1534"/>
    </row>
    <row r="1535" spans="74:76" x14ac:dyDescent="0.25">
      <c r="BV1535"/>
      <c r="BW1535"/>
      <c r="BX1535"/>
    </row>
    <row r="1536" spans="74:76" x14ac:dyDescent="0.25">
      <c r="BV1536"/>
      <c r="BW1536"/>
      <c r="BX1536"/>
    </row>
    <row r="1537" spans="74:76" x14ac:dyDescent="0.25">
      <c r="BV1537"/>
      <c r="BW1537"/>
      <c r="BX1537"/>
    </row>
    <row r="1538" spans="74:76" x14ac:dyDescent="0.25">
      <c r="BV1538"/>
      <c r="BW1538"/>
      <c r="BX1538"/>
    </row>
    <row r="1539" spans="74:76" x14ac:dyDescent="0.25">
      <c r="BV1539"/>
      <c r="BW1539"/>
      <c r="BX1539"/>
    </row>
    <row r="1540" spans="74:76" x14ac:dyDescent="0.25">
      <c r="BV1540"/>
      <c r="BW1540"/>
      <c r="BX1540"/>
    </row>
    <row r="1541" spans="74:76" x14ac:dyDescent="0.25">
      <c r="BV1541"/>
      <c r="BW1541"/>
      <c r="BX1541"/>
    </row>
    <row r="1542" spans="74:76" x14ac:dyDescent="0.25">
      <c r="BV1542"/>
      <c r="BW1542"/>
      <c r="BX1542"/>
    </row>
    <row r="1543" spans="74:76" x14ac:dyDescent="0.25">
      <c r="BV1543"/>
      <c r="BW1543"/>
      <c r="BX1543"/>
    </row>
    <row r="1544" spans="74:76" x14ac:dyDescent="0.25">
      <c r="BV1544"/>
      <c r="BW1544"/>
      <c r="BX1544"/>
    </row>
    <row r="1545" spans="74:76" x14ac:dyDescent="0.25">
      <c r="BV1545"/>
      <c r="BW1545"/>
      <c r="BX1545"/>
    </row>
    <row r="1546" spans="74:76" x14ac:dyDescent="0.25">
      <c r="BV1546"/>
      <c r="BW1546"/>
      <c r="BX1546"/>
    </row>
    <row r="1547" spans="74:76" x14ac:dyDescent="0.25">
      <c r="BV1547"/>
      <c r="BW1547"/>
      <c r="BX1547"/>
    </row>
    <row r="1548" spans="74:76" x14ac:dyDescent="0.25">
      <c r="BV1548"/>
      <c r="BW1548"/>
      <c r="BX1548"/>
    </row>
    <row r="1549" spans="74:76" x14ac:dyDescent="0.25">
      <c r="BV1549"/>
      <c r="BW1549"/>
      <c r="BX1549"/>
    </row>
    <row r="1550" spans="74:76" x14ac:dyDescent="0.25">
      <c r="BV1550"/>
      <c r="BW1550"/>
      <c r="BX1550"/>
    </row>
    <row r="1551" spans="74:76" x14ac:dyDescent="0.25">
      <c r="BV1551"/>
      <c r="BW1551"/>
      <c r="BX1551"/>
    </row>
    <row r="1552" spans="74:76" x14ac:dyDescent="0.25">
      <c r="BV1552"/>
      <c r="BW1552"/>
      <c r="BX1552"/>
    </row>
    <row r="1553" spans="74:76" x14ac:dyDescent="0.25">
      <c r="BV1553"/>
      <c r="BW1553"/>
      <c r="BX1553"/>
    </row>
    <row r="1554" spans="74:76" x14ac:dyDescent="0.25">
      <c r="BV1554"/>
      <c r="BW1554"/>
      <c r="BX1554"/>
    </row>
    <row r="1555" spans="74:76" x14ac:dyDescent="0.25">
      <c r="BV1555"/>
      <c r="BW1555"/>
      <c r="BX1555"/>
    </row>
    <row r="1556" spans="74:76" x14ac:dyDescent="0.25">
      <c r="BV1556"/>
      <c r="BW1556"/>
      <c r="BX1556"/>
    </row>
    <row r="1557" spans="74:76" x14ac:dyDescent="0.25">
      <c r="BV1557"/>
      <c r="BW1557"/>
      <c r="BX1557"/>
    </row>
    <row r="1558" spans="74:76" x14ac:dyDescent="0.25">
      <c r="BV1558"/>
      <c r="BW1558"/>
      <c r="BX1558"/>
    </row>
    <row r="1559" spans="74:76" x14ac:dyDescent="0.25">
      <c r="BV1559"/>
      <c r="BW1559"/>
      <c r="BX1559"/>
    </row>
    <row r="1560" spans="74:76" x14ac:dyDescent="0.25">
      <c r="BV1560"/>
      <c r="BW1560"/>
      <c r="BX1560"/>
    </row>
    <row r="1561" spans="74:76" x14ac:dyDescent="0.25">
      <c r="BV1561"/>
      <c r="BW1561"/>
      <c r="BX1561"/>
    </row>
    <row r="1562" spans="74:76" x14ac:dyDescent="0.25">
      <c r="BV1562"/>
      <c r="BW1562"/>
      <c r="BX1562"/>
    </row>
    <row r="1563" spans="74:76" x14ac:dyDescent="0.25">
      <c r="BV1563"/>
      <c r="BW1563"/>
      <c r="BX1563"/>
    </row>
    <row r="1564" spans="74:76" x14ac:dyDescent="0.25">
      <c r="BV1564"/>
      <c r="BW1564"/>
      <c r="BX1564"/>
    </row>
    <row r="1565" spans="74:76" x14ac:dyDescent="0.25">
      <c r="BV1565"/>
      <c r="BW1565"/>
      <c r="BX1565"/>
    </row>
    <row r="1566" spans="74:76" x14ac:dyDescent="0.25">
      <c r="BV1566"/>
      <c r="BW1566"/>
      <c r="BX1566"/>
    </row>
    <row r="1567" spans="74:76" x14ac:dyDescent="0.25">
      <c r="BV1567"/>
      <c r="BW1567"/>
      <c r="BX1567"/>
    </row>
    <row r="1568" spans="74:76" x14ac:dyDescent="0.25">
      <c r="BV1568"/>
      <c r="BW1568"/>
      <c r="BX1568"/>
    </row>
    <row r="1569" spans="74:76" x14ac:dyDescent="0.25">
      <c r="BV1569"/>
      <c r="BW1569"/>
      <c r="BX1569"/>
    </row>
    <row r="1570" spans="74:76" x14ac:dyDescent="0.25">
      <c r="BV1570"/>
      <c r="BW1570"/>
      <c r="BX1570"/>
    </row>
    <row r="1571" spans="74:76" x14ac:dyDescent="0.25">
      <c r="BV1571"/>
      <c r="BW1571"/>
      <c r="BX1571"/>
    </row>
    <row r="1572" spans="74:76" x14ac:dyDescent="0.25">
      <c r="BV1572"/>
      <c r="BW1572"/>
      <c r="BX1572"/>
    </row>
    <row r="1573" spans="74:76" x14ac:dyDescent="0.25">
      <c r="BV1573"/>
      <c r="BW1573"/>
      <c r="BX1573"/>
    </row>
    <row r="1574" spans="74:76" x14ac:dyDescent="0.25">
      <c r="BV1574"/>
      <c r="BW1574"/>
      <c r="BX1574"/>
    </row>
    <row r="1575" spans="74:76" x14ac:dyDescent="0.25">
      <c r="BV1575"/>
      <c r="BW1575"/>
      <c r="BX1575"/>
    </row>
    <row r="1576" spans="74:76" x14ac:dyDescent="0.25">
      <c r="BV1576"/>
      <c r="BW1576"/>
      <c r="BX1576"/>
    </row>
    <row r="1577" spans="74:76" x14ac:dyDescent="0.25">
      <c r="BV1577"/>
      <c r="BW1577"/>
      <c r="BX1577"/>
    </row>
    <row r="1578" spans="74:76" x14ac:dyDescent="0.25">
      <c r="BV1578"/>
      <c r="BW1578"/>
      <c r="BX1578"/>
    </row>
    <row r="1579" spans="74:76" x14ac:dyDescent="0.25">
      <c r="BV1579"/>
      <c r="BW1579"/>
      <c r="BX1579"/>
    </row>
    <row r="1580" spans="74:76" x14ac:dyDescent="0.25">
      <c r="BV1580"/>
      <c r="BW1580"/>
      <c r="BX1580"/>
    </row>
    <row r="1581" spans="74:76" x14ac:dyDescent="0.25">
      <c r="BV1581"/>
      <c r="BW1581"/>
      <c r="BX1581"/>
    </row>
    <row r="1582" spans="74:76" x14ac:dyDescent="0.25">
      <c r="BV1582"/>
      <c r="BW1582"/>
      <c r="BX1582"/>
    </row>
    <row r="1583" spans="74:76" x14ac:dyDescent="0.25">
      <c r="BV1583"/>
      <c r="BW1583"/>
      <c r="BX1583"/>
    </row>
    <row r="1584" spans="74:76" x14ac:dyDescent="0.25">
      <c r="BV1584"/>
      <c r="BW1584"/>
      <c r="BX1584"/>
    </row>
    <row r="1585" spans="74:76" x14ac:dyDescent="0.25">
      <c r="BV1585"/>
      <c r="BW1585"/>
      <c r="BX1585"/>
    </row>
    <row r="1586" spans="74:76" x14ac:dyDescent="0.25">
      <c r="BV1586"/>
      <c r="BW1586"/>
      <c r="BX1586"/>
    </row>
    <row r="1587" spans="74:76" x14ac:dyDescent="0.25">
      <c r="BV1587"/>
      <c r="BW1587"/>
      <c r="BX1587"/>
    </row>
    <row r="1588" spans="74:76" x14ac:dyDescent="0.25">
      <c r="BV1588"/>
      <c r="BW1588"/>
      <c r="BX1588"/>
    </row>
    <row r="1589" spans="74:76" x14ac:dyDescent="0.25">
      <c r="BV1589"/>
      <c r="BW1589"/>
      <c r="BX1589"/>
    </row>
    <row r="1590" spans="74:76" x14ac:dyDescent="0.25">
      <c r="BV1590"/>
      <c r="BW1590"/>
      <c r="BX1590"/>
    </row>
    <row r="1591" spans="74:76" x14ac:dyDescent="0.25">
      <c r="BV1591"/>
      <c r="BW1591"/>
      <c r="BX1591"/>
    </row>
    <row r="1592" spans="74:76" x14ac:dyDescent="0.25">
      <c r="BV1592"/>
      <c r="BW1592"/>
      <c r="BX1592"/>
    </row>
    <row r="1593" spans="74:76" x14ac:dyDescent="0.25">
      <c r="BV1593"/>
      <c r="BW1593"/>
      <c r="BX1593"/>
    </row>
    <row r="1594" spans="74:76" x14ac:dyDescent="0.25">
      <c r="BV1594"/>
      <c r="BW1594"/>
      <c r="BX1594"/>
    </row>
    <row r="1595" spans="74:76" x14ac:dyDescent="0.25">
      <c r="BV1595"/>
      <c r="BW1595"/>
      <c r="BX1595"/>
    </row>
    <row r="1596" spans="74:76" x14ac:dyDescent="0.25">
      <c r="BV1596"/>
      <c r="BW1596"/>
      <c r="BX1596"/>
    </row>
    <row r="1597" spans="74:76" x14ac:dyDescent="0.25">
      <c r="BV1597"/>
      <c r="BW1597"/>
      <c r="BX1597"/>
    </row>
    <row r="1598" spans="74:76" x14ac:dyDescent="0.25">
      <c r="BV1598"/>
      <c r="BW1598"/>
      <c r="BX1598"/>
    </row>
    <row r="1599" spans="74:76" x14ac:dyDescent="0.25">
      <c r="BV1599"/>
      <c r="BW1599"/>
      <c r="BX1599"/>
    </row>
    <row r="1600" spans="74:76" x14ac:dyDescent="0.25">
      <c r="BV1600"/>
      <c r="BW1600"/>
      <c r="BX1600"/>
    </row>
    <row r="1601" spans="74:76" x14ac:dyDescent="0.25">
      <c r="BV1601"/>
      <c r="BW1601"/>
      <c r="BX1601"/>
    </row>
    <row r="1602" spans="74:76" x14ac:dyDescent="0.25">
      <c r="BV1602"/>
      <c r="BW1602"/>
      <c r="BX1602"/>
    </row>
    <row r="1603" spans="74:76" x14ac:dyDescent="0.25">
      <c r="BV1603"/>
      <c r="BW1603"/>
      <c r="BX1603"/>
    </row>
    <row r="1604" spans="74:76" x14ac:dyDescent="0.25">
      <c r="BV1604"/>
      <c r="BW1604"/>
      <c r="BX1604"/>
    </row>
    <row r="1605" spans="74:76" x14ac:dyDescent="0.25">
      <c r="BV1605"/>
      <c r="BW1605"/>
      <c r="BX1605"/>
    </row>
    <row r="1606" spans="74:76" x14ac:dyDescent="0.25">
      <c r="BV1606"/>
      <c r="BW1606"/>
      <c r="BX1606"/>
    </row>
    <row r="1607" spans="74:76" x14ac:dyDescent="0.25">
      <c r="BV1607"/>
      <c r="BW1607"/>
      <c r="BX1607"/>
    </row>
    <row r="1608" spans="74:76" x14ac:dyDescent="0.25">
      <c r="BV1608"/>
      <c r="BW1608"/>
      <c r="BX1608"/>
    </row>
    <row r="1609" spans="74:76" x14ac:dyDescent="0.25">
      <c r="BV1609"/>
      <c r="BW1609"/>
      <c r="BX1609"/>
    </row>
    <row r="1610" spans="74:76" x14ac:dyDescent="0.25">
      <c r="BV1610"/>
      <c r="BW1610"/>
      <c r="BX1610"/>
    </row>
    <row r="1611" spans="74:76" x14ac:dyDescent="0.25">
      <c r="BV1611"/>
      <c r="BW1611"/>
      <c r="BX1611"/>
    </row>
    <row r="1612" spans="74:76" x14ac:dyDescent="0.25">
      <c r="BV1612"/>
      <c r="BW1612"/>
      <c r="BX1612"/>
    </row>
    <row r="1613" spans="74:76" x14ac:dyDescent="0.25">
      <c r="BV1613"/>
      <c r="BW1613"/>
      <c r="BX1613"/>
    </row>
    <row r="1614" spans="74:76" x14ac:dyDescent="0.25">
      <c r="BV1614"/>
      <c r="BW1614"/>
      <c r="BX1614"/>
    </row>
    <row r="1615" spans="74:76" x14ac:dyDescent="0.25">
      <c r="BV1615"/>
      <c r="BW1615"/>
      <c r="BX1615"/>
    </row>
    <row r="1616" spans="74:76" x14ac:dyDescent="0.25">
      <c r="BV1616"/>
      <c r="BW1616"/>
      <c r="BX1616"/>
    </row>
    <row r="1617" spans="74:76" x14ac:dyDescent="0.25">
      <c r="BV1617"/>
      <c r="BW1617"/>
      <c r="BX1617"/>
    </row>
    <row r="1618" spans="74:76" x14ac:dyDescent="0.25">
      <c r="BV1618"/>
      <c r="BW1618"/>
      <c r="BX1618"/>
    </row>
    <row r="1619" spans="74:76" x14ac:dyDescent="0.25">
      <c r="BV1619"/>
      <c r="BW1619"/>
      <c r="BX1619"/>
    </row>
    <row r="1620" spans="74:76" x14ac:dyDescent="0.25">
      <c r="BV1620"/>
      <c r="BW1620"/>
      <c r="BX1620"/>
    </row>
    <row r="1621" spans="74:76" x14ac:dyDescent="0.25">
      <c r="BV1621"/>
      <c r="BW1621"/>
      <c r="BX1621"/>
    </row>
    <row r="1622" spans="74:76" x14ac:dyDescent="0.25">
      <c r="BV1622"/>
      <c r="BW1622"/>
      <c r="BX1622"/>
    </row>
    <row r="1623" spans="74:76" x14ac:dyDescent="0.25">
      <c r="BV1623"/>
      <c r="BW1623"/>
      <c r="BX1623"/>
    </row>
    <row r="1624" spans="74:76" x14ac:dyDescent="0.25">
      <c r="BV1624"/>
      <c r="BW1624"/>
      <c r="BX1624"/>
    </row>
    <row r="1625" spans="74:76" x14ac:dyDescent="0.25">
      <c r="BV1625"/>
      <c r="BW1625"/>
      <c r="BX1625"/>
    </row>
    <row r="1626" spans="74:76" x14ac:dyDescent="0.25">
      <c r="BV1626"/>
      <c r="BW1626"/>
      <c r="BX1626"/>
    </row>
    <row r="1627" spans="74:76" x14ac:dyDescent="0.25">
      <c r="BV1627"/>
      <c r="BW1627"/>
      <c r="BX1627"/>
    </row>
    <row r="1628" spans="74:76" x14ac:dyDescent="0.25">
      <c r="BV1628"/>
      <c r="BW1628"/>
      <c r="BX1628"/>
    </row>
    <row r="1629" spans="74:76" x14ac:dyDescent="0.25">
      <c r="BV1629"/>
      <c r="BW1629"/>
      <c r="BX1629"/>
    </row>
    <row r="1630" spans="74:76" x14ac:dyDescent="0.25">
      <c r="BV1630"/>
      <c r="BW1630"/>
      <c r="BX1630"/>
    </row>
    <row r="1631" spans="74:76" x14ac:dyDescent="0.25">
      <c r="BV1631"/>
      <c r="BW1631"/>
      <c r="BX1631"/>
    </row>
    <row r="1632" spans="74:76" x14ac:dyDescent="0.25">
      <c r="BV1632"/>
      <c r="BW1632"/>
      <c r="BX1632"/>
    </row>
    <row r="1633" spans="74:76" x14ac:dyDescent="0.25">
      <c r="BV1633"/>
      <c r="BW1633"/>
      <c r="BX1633"/>
    </row>
    <row r="1634" spans="74:76" x14ac:dyDescent="0.25">
      <c r="BV1634"/>
      <c r="BW1634"/>
      <c r="BX1634"/>
    </row>
    <row r="1635" spans="74:76" x14ac:dyDescent="0.25">
      <c r="BV1635"/>
      <c r="BW1635"/>
      <c r="BX1635"/>
    </row>
    <row r="1636" spans="74:76" x14ac:dyDescent="0.25">
      <c r="BV1636"/>
      <c r="BW1636"/>
      <c r="BX1636"/>
    </row>
    <row r="1637" spans="74:76" x14ac:dyDescent="0.25">
      <c r="BV1637"/>
      <c r="BW1637"/>
      <c r="BX1637"/>
    </row>
    <row r="1638" spans="74:76" x14ac:dyDescent="0.25">
      <c r="BV1638"/>
      <c r="BW1638"/>
      <c r="BX1638"/>
    </row>
    <row r="1639" spans="74:76" x14ac:dyDescent="0.25">
      <c r="BV1639"/>
      <c r="BW1639"/>
      <c r="BX1639"/>
    </row>
    <row r="1640" spans="74:76" x14ac:dyDescent="0.25">
      <c r="BV1640"/>
      <c r="BW1640"/>
      <c r="BX1640"/>
    </row>
    <row r="1641" spans="74:76" x14ac:dyDescent="0.25">
      <c r="BV1641"/>
      <c r="BW1641"/>
      <c r="BX1641"/>
    </row>
    <row r="1642" spans="74:76" x14ac:dyDescent="0.25">
      <c r="BV1642"/>
      <c r="BW1642"/>
      <c r="BX1642"/>
    </row>
    <row r="1643" spans="74:76" x14ac:dyDescent="0.25">
      <c r="BV1643"/>
      <c r="BW1643"/>
      <c r="BX1643"/>
    </row>
    <row r="1644" spans="74:76" x14ac:dyDescent="0.25">
      <c r="BV1644"/>
      <c r="BW1644"/>
      <c r="BX1644"/>
    </row>
    <row r="1645" spans="74:76" x14ac:dyDescent="0.25">
      <c r="BV1645"/>
      <c r="BW1645"/>
      <c r="BX1645"/>
    </row>
    <row r="1646" spans="74:76" x14ac:dyDescent="0.25">
      <c r="BV1646"/>
      <c r="BW1646"/>
      <c r="BX1646"/>
    </row>
    <row r="1647" spans="74:76" x14ac:dyDescent="0.25">
      <c r="BV1647"/>
      <c r="BW1647"/>
      <c r="BX1647"/>
    </row>
    <row r="1648" spans="74:76" x14ac:dyDescent="0.25">
      <c r="BV1648"/>
      <c r="BW1648"/>
      <c r="BX1648"/>
    </row>
    <row r="1649" spans="74:76" x14ac:dyDescent="0.25">
      <c r="BV1649"/>
      <c r="BW1649"/>
      <c r="BX1649"/>
    </row>
    <row r="1650" spans="74:76" x14ac:dyDescent="0.25">
      <c r="BV1650"/>
      <c r="BW1650"/>
      <c r="BX1650"/>
    </row>
    <row r="1651" spans="74:76" x14ac:dyDescent="0.25">
      <c r="BV1651"/>
      <c r="BW1651"/>
      <c r="BX1651"/>
    </row>
    <row r="1652" spans="74:76" x14ac:dyDescent="0.25">
      <c r="BV1652"/>
      <c r="BW1652"/>
      <c r="BX1652"/>
    </row>
    <row r="1653" spans="74:76" x14ac:dyDescent="0.25">
      <c r="BV1653"/>
      <c r="BW1653"/>
      <c r="BX1653"/>
    </row>
    <row r="1654" spans="74:76" x14ac:dyDescent="0.25">
      <c r="BV1654"/>
      <c r="BW1654"/>
      <c r="BX1654"/>
    </row>
    <row r="1655" spans="74:76" x14ac:dyDescent="0.25">
      <c r="BV1655"/>
      <c r="BW1655"/>
      <c r="BX1655"/>
    </row>
    <row r="1656" spans="74:76" x14ac:dyDescent="0.25">
      <c r="BV1656"/>
      <c r="BW1656"/>
      <c r="BX1656"/>
    </row>
    <row r="1657" spans="74:76" x14ac:dyDescent="0.25">
      <c r="BV1657"/>
      <c r="BW1657"/>
      <c r="BX1657"/>
    </row>
    <row r="1658" spans="74:76" x14ac:dyDescent="0.25">
      <c r="BV1658"/>
      <c r="BW1658"/>
      <c r="BX1658"/>
    </row>
    <row r="1659" spans="74:76" x14ac:dyDescent="0.25">
      <c r="BV1659"/>
      <c r="BW1659"/>
      <c r="BX1659"/>
    </row>
    <row r="1660" spans="74:76" x14ac:dyDescent="0.25">
      <c r="BV1660"/>
      <c r="BW1660"/>
      <c r="BX1660"/>
    </row>
    <row r="1661" spans="74:76" x14ac:dyDescent="0.25">
      <c r="BV1661"/>
      <c r="BW1661"/>
      <c r="BX1661"/>
    </row>
    <row r="1662" spans="74:76" x14ac:dyDescent="0.25">
      <c r="BV1662"/>
      <c r="BW1662"/>
      <c r="BX1662"/>
    </row>
    <row r="1663" spans="74:76" x14ac:dyDescent="0.25">
      <c r="BV1663"/>
      <c r="BW1663"/>
      <c r="BX1663"/>
    </row>
    <row r="1664" spans="74:76" x14ac:dyDescent="0.25">
      <c r="BV1664"/>
      <c r="BW1664"/>
      <c r="BX1664"/>
    </row>
    <row r="1665" spans="74:76" x14ac:dyDescent="0.25">
      <c r="BV1665"/>
      <c r="BW1665"/>
      <c r="BX1665"/>
    </row>
    <row r="1666" spans="74:76" x14ac:dyDescent="0.25">
      <c r="BV1666"/>
      <c r="BW1666"/>
      <c r="BX1666"/>
    </row>
    <row r="1667" spans="74:76" x14ac:dyDescent="0.25">
      <c r="BV1667"/>
      <c r="BW1667"/>
      <c r="BX1667"/>
    </row>
    <row r="1668" spans="74:76" x14ac:dyDescent="0.25">
      <c r="BV1668"/>
      <c r="BW1668"/>
      <c r="BX1668"/>
    </row>
    <row r="1669" spans="74:76" x14ac:dyDescent="0.25">
      <c r="BV1669"/>
      <c r="BW1669"/>
      <c r="BX1669"/>
    </row>
    <row r="1670" spans="74:76" x14ac:dyDescent="0.25">
      <c r="BV1670"/>
      <c r="BW1670"/>
      <c r="BX1670"/>
    </row>
    <row r="1671" spans="74:76" x14ac:dyDescent="0.25">
      <c r="BV1671"/>
      <c r="BW1671"/>
      <c r="BX1671"/>
    </row>
    <row r="1672" spans="74:76" x14ac:dyDescent="0.25">
      <c r="BV1672"/>
      <c r="BW1672"/>
      <c r="BX1672"/>
    </row>
    <row r="1673" spans="74:76" x14ac:dyDescent="0.25">
      <c r="BV1673"/>
      <c r="BW1673"/>
      <c r="BX1673"/>
    </row>
    <row r="1674" spans="74:76" x14ac:dyDescent="0.25">
      <c r="BV1674"/>
      <c r="BW1674"/>
      <c r="BX1674"/>
    </row>
    <row r="1675" spans="74:76" x14ac:dyDescent="0.25">
      <c r="BV1675"/>
      <c r="BW1675"/>
      <c r="BX1675"/>
    </row>
    <row r="1676" spans="74:76" x14ac:dyDescent="0.25">
      <c r="BV1676"/>
      <c r="BW1676"/>
      <c r="BX1676"/>
    </row>
    <row r="1677" spans="74:76" x14ac:dyDescent="0.25">
      <c r="BV1677"/>
      <c r="BW1677"/>
      <c r="BX1677"/>
    </row>
    <row r="1678" spans="74:76" x14ac:dyDescent="0.25">
      <c r="BV1678"/>
      <c r="BW1678"/>
      <c r="BX1678"/>
    </row>
    <row r="1679" spans="74:76" x14ac:dyDescent="0.25">
      <c r="BV1679"/>
      <c r="BW1679"/>
      <c r="BX1679"/>
    </row>
    <row r="1680" spans="74:76" x14ac:dyDescent="0.25">
      <c r="BV1680"/>
      <c r="BW1680"/>
      <c r="BX1680"/>
    </row>
    <row r="1681" spans="74:76" x14ac:dyDescent="0.25">
      <c r="BV1681"/>
      <c r="BW1681"/>
      <c r="BX1681"/>
    </row>
    <row r="1682" spans="74:76" x14ac:dyDescent="0.25">
      <c r="BV1682"/>
      <c r="BW1682"/>
      <c r="BX1682"/>
    </row>
    <row r="1683" spans="74:76" x14ac:dyDescent="0.25">
      <c r="BV1683"/>
      <c r="BW1683"/>
      <c r="BX1683"/>
    </row>
    <row r="1684" spans="74:76" x14ac:dyDescent="0.25">
      <c r="BV1684"/>
      <c r="BW1684"/>
      <c r="BX1684"/>
    </row>
    <row r="1685" spans="74:76" x14ac:dyDescent="0.25">
      <c r="BV1685"/>
      <c r="BW1685"/>
      <c r="BX1685"/>
    </row>
    <row r="1686" spans="74:76" x14ac:dyDescent="0.25">
      <c r="BV1686"/>
      <c r="BW1686"/>
      <c r="BX1686"/>
    </row>
    <row r="1687" spans="74:76" x14ac:dyDescent="0.25">
      <c r="BV1687"/>
      <c r="BW1687"/>
      <c r="BX1687"/>
    </row>
    <row r="1688" spans="74:76" x14ac:dyDescent="0.25">
      <c r="BV1688"/>
      <c r="BW1688"/>
      <c r="BX1688"/>
    </row>
    <row r="1689" spans="74:76" x14ac:dyDescent="0.25">
      <c r="BV1689"/>
      <c r="BW1689"/>
      <c r="BX1689"/>
    </row>
    <row r="1690" spans="74:76" x14ac:dyDescent="0.25">
      <c r="BV1690"/>
      <c r="BW1690"/>
      <c r="BX1690"/>
    </row>
    <row r="1691" spans="74:76" x14ac:dyDescent="0.25">
      <c r="BV1691"/>
      <c r="BW1691"/>
      <c r="BX1691"/>
    </row>
    <row r="1692" spans="74:76" x14ac:dyDescent="0.25">
      <c r="BV1692"/>
      <c r="BW1692"/>
      <c r="BX1692"/>
    </row>
    <row r="1693" spans="74:76" x14ac:dyDescent="0.25">
      <c r="BV1693"/>
      <c r="BW1693"/>
      <c r="BX1693"/>
    </row>
    <row r="1694" spans="74:76" x14ac:dyDescent="0.25">
      <c r="BV1694"/>
      <c r="BW1694"/>
      <c r="BX1694"/>
    </row>
    <row r="1695" spans="74:76" x14ac:dyDescent="0.25">
      <c r="BV1695"/>
      <c r="BW1695"/>
      <c r="BX1695"/>
    </row>
    <row r="1696" spans="74:76" x14ac:dyDescent="0.25">
      <c r="BV1696"/>
      <c r="BW1696"/>
      <c r="BX1696"/>
    </row>
    <row r="1697" spans="74:76" x14ac:dyDescent="0.25">
      <c r="BV1697"/>
      <c r="BW1697"/>
      <c r="BX1697"/>
    </row>
    <row r="1698" spans="74:76" x14ac:dyDescent="0.25">
      <c r="BV1698"/>
      <c r="BW1698"/>
      <c r="BX1698"/>
    </row>
    <row r="1699" spans="74:76" x14ac:dyDescent="0.25">
      <c r="BV1699"/>
      <c r="BW1699"/>
      <c r="BX1699"/>
    </row>
    <row r="1700" spans="74:76" x14ac:dyDescent="0.25">
      <c r="BV1700"/>
      <c r="BW1700"/>
      <c r="BX1700"/>
    </row>
    <row r="1701" spans="74:76" x14ac:dyDescent="0.25">
      <c r="BV1701"/>
      <c r="BW1701"/>
      <c r="BX1701"/>
    </row>
    <row r="1702" spans="74:76" x14ac:dyDescent="0.25">
      <c r="BV1702"/>
      <c r="BW1702"/>
      <c r="BX1702"/>
    </row>
    <row r="1703" spans="74:76" x14ac:dyDescent="0.25">
      <c r="BV1703"/>
      <c r="BW1703"/>
      <c r="BX1703"/>
    </row>
    <row r="1704" spans="74:76" x14ac:dyDescent="0.25">
      <c r="BV1704"/>
      <c r="BW1704"/>
      <c r="BX1704"/>
    </row>
    <row r="1705" spans="74:76" x14ac:dyDescent="0.25">
      <c r="BV1705"/>
      <c r="BW1705"/>
      <c r="BX1705"/>
    </row>
    <row r="1706" spans="74:76" x14ac:dyDescent="0.25">
      <c r="BV1706"/>
      <c r="BW1706"/>
      <c r="BX1706"/>
    </row>
    <row r="1707" spans="74:76" x14ac:dyDescent="0.25">
      <c r="BV1707"/>
      <c r="BW1707"/>
      <c r="BX1707"/>
    </row>
    <row r="1708" spans="74:76" x14ac:dyDescent="0.25">
      <c r="BV1708"/>
      <c r="BW1708"/>
      <c r="BX1708"/>
    </row>
    <row r="1709" spans="74:76" x14ac:dyDescent="0.25">
      <c r="BV1709"/>
      <c r="BW1709"/>
      <c r="BX1709"/>
    </row>
    <row r="1710" spans="74:76" x14ac:dyDescent="0.25">
      <c r="BV1710"/>
      <c r="BW1710"/>
      <c r="BX1710"/>
    </row>
    <row r="1711" spans="74:76" x14ac:dyDescent="0.25">
      <c r="BV1711"/>
      <c r="BW1711"/>
      <c r="BX1711"/>
    </row>
    <row r="1712" spans="74:76" x14ac:dyDescent="0.25">
      <c r="BV1712"/>
      <c r="BW1712"/>
      <c r="BX1712"/>
    </row>
    <row r="1713" spans="74:76" x14ac:dyDescent="0.25">
      <c r="BV1713"/>
      <c r="BW1713"/>
      <c r="BX1713"/>
    </row>
    <row r="1714" spans="74:76" x14ac:dyDescent="0.25">
      <c r="BV1714"/>
      <c r="BW1714"/>
      <c r="BX1714"/>
    </row>
    <row r="1715" spans="74:76" x14ac:dyDescent="0.25">
      <c r="BV1715"/>
      <c r="BW1715"/>
      <c r="BX1715"/>
    </row>
    <row r="1716" spans="74:76" x14ac:dyDescent="0.25">
      <c r="BV1716"/>
      <c r="BW1716"/>
      <c r="BX1716"/>
    </row>
    <row r="1717" spans="74:76" x14ac:dyDescent="0.25">
      <c r="BV1717"/>
      <c r="BW1717"/>
      <c r="BX1717"/>
    </row>
    <row r="1718" spans="74:76" x14ac:dyDescent="0.25">
      <c r="BV1718"/>
      <c r="BW1718"/>
      <c r="BX1718"/>
    </row>
    <row r="1719" spans="74:76" x14ac:dyDescent="0.25">
      <c r="BV1719"/>
      <c r="BW1719"/>
      <c r="BX1719"/>
    </row>
    <row r="1720" spans="74:76" x14ac:dyDescent="0.25">
      <c r="BV1720"/>
      <c r="BW1720"/>
      <c r="BX1720"/>
    </row>
    <row r="1721" spans="74:76" x14ac:dyDescent="0.25">
      <c r="BV1721"/>
      <c r="BW1721"/>
      <c r="BX1721"/>
    </row>
    <row r="1722" spans="74:76" x14ac:dyDescent="0.25">
      <c r="BV1722"/>
      <c r="BW1722"/>
      <c r="BX1722"/>
    </row>
    <row r="1723" spans="74:76" x14ac:dyDescent="0.25">
      <c r="BV1723"/>
      <c r="BW1723"/>
      <c r="BX1723"/>
    </row>
    <row r="1724" spans="74:76" x14ac:dyDescent="0.25">
      <c r="BV1724"/>
      <c r="BW1724"/>
      <c r="BX1724"/>
    </row>
    <row r="1725" spans="74:76" x14ac:dyDescent="0.25">
      <c r="BV1725"/>
      <c r="BW1725"/>
      <c r="BX1725"/>
    </row>
    <row r="1726" spans="74:76" x14ac:dyDescent="0.25">
      <c r="BV1726"/>
      <c r="BW1726"/>
      <c r="BX1726"/>
    </row>
    <row r="1727" spans="74:76" x14ac:dyDescent="0.25">
      <c r="BV1727"/>
      <c r="BW1727"/>
      <c r="BX1727"/>
    </row>
    <row r="1728" spans="74:76" x14ac:dyDescent="0.25">
      <c r="BV1728"/>
      <c r="BW1728"/>
      <c r="BX1728"/>
    </row>
    <row r="1729" spans="74:76" x14ac:dyDescent="0.25">
      <c r="BV1729"/>
      <c r="BW1729"/>
      <c r="BX1729"/>
    </row>
    <row r="1730" spans="74:76" x14ac:dyDescent="0.25">
      <c r="BV1730"/>
      <c r="BW1730"/>
      <c r="BX1730"/>
    </row>
    <row r="1731" spans="74:76" x14ac:dyDescent="0.25">
      <c r="BV1731"/>
      <c r="BW1731"/>
      <c r="BX1731"/>
    </row>
    <row r="1732" spans="74:76" x14ac:dyDescent="0.25">
      <c r="BV1732"/>
      <c r="BW1732"/>
      <c r="BX1732"/>
    </row>
    <row r="1733" spans="74:76" x14ac:dyDescent="0.25">
      <c r="BV1733"/>
      <c r="BW1733"/>
      <c r="BX1733"/>
    </row>
    <row r="1734" spans="74:76" x14ac:dyDescent="0.25">
      <c r="BV1734"/>
      <c r="BW1734"/>
      <c r="BX1734"/>
    </row>
    <row r="1735" spans="74:76" x14ac:dyDescent="0.25">
      <c r="BV1735"/>
      <c r="BW1735"/>
      <c r="BX1735"/>
    </row>
    <row r="1736" spans="74:76" x14ac:dyDescent="0.25">
      <c r="BV1736"/>
      <c r="BW1736"/>
      <c r="BX1736"/>
    </row>
    <row r="1737" spans="74:76" x14ac:dyDescent="0.25">
      <c r="BV1737"/>
      <c r="BW1737"/>
      <c r="BX1737"/>
    </row>
    <row r="1738" spans="74:76" x14ac:dyDescent="0.25">
      <c r="BV1738"/>
      <c r="BW1738"/>
      <c r="BX1738"/>
    </row>
    <row r="1739" spans="74:76" x14ac:dyDescent="0.25">
      <c r="BV1739"/>
      <c r="BW1739"/>
      <c r="BX1739"/>
    </row>
    <row r="1740" spans="74:76" x14ac:dyDescent="0.25">
      <c r="BV1740"/>
      <c r="BW1740"/>
      <c r="BX1740"/>
    </row>
    <row r="1741" spans="74:76" x14ac:dyDescent="0.25">
      <c r="BV1741"/>
      <c r="BW1741"/>
      <c r="BX1741"/>
    </row>
    <row r="1742" spans="74:76" x14ac:dyDescent="0.25">
      <c r="BV1742"/>
      <c r="BW1742"/>
      <c r="BX1742"/>
    </row>
    <row r="1743" spans="74:76" x14ac:dyDescent="0.25">
      <c r="BV1743"/>
      <c r="BW1743"/>
      <c r="BX1743"/>
    </row>
    <row r="1744" spans="74:76" x14ac:dyDescent="0.25">
      <c r="BV1744"/>
      <c r="BW1744"/>
      <c r="BX1744"/>
    </row>
    <row r="1745" spans="74:76" x14ac:dyDescent="0.25">
      <c r="BV1745"/>
      <c r="BW1745"/>
      <c r="BX1745"/>
    </row>
    <row r="1746" spans="74:76" x14ac:dyDescent="0.25">
      <c r="BV1746"/>
      <c r="BW1746"/>
      <c r="BX1746"/>
    </row>
    <row r="1747" spans="74:76" x14ac:dyDescent="0.25">
      <c r="BV1747"/>
      <c r="BW1747"/>
      <c r="BX1747"/>
    </row>
    <row r="1748" spans="74:76" x14ac:dyDescent="0.25">
      <c r="BV1748"/>
      <c r="BW1748"/>
      <c r="BX1748"/>
    </row>
    <row r="1749" spans="74:76" x14ac:dyDescent="0.25">
      <c r="BV1749"/>
      <c r="BW1749"/>
      <c r="BX1749"/>
    </row>
    <row r="1750" spans="74:76" x14ac:dyDescent="0.25">
      <c r="BV1750"/>
      <c r="BW1750"/>
      <c r="BX1750"/>
    </row>
    <row r="1751" spans="74:76" x14ac:dyDescent="0.25">
      <c r="BV1751"/>
      <c r="BW1751"/>
      <c r="BX1751"/>
    </row>
    <row r="1752" spans="74:76" x14ac:dyDescent="0.25">
      <c r="BV1752"/>
      <c r="BW1752"/>
      <c r="BX1752"/>
    </row>
    <row r="1753" spans="74:76" x14ac:dyDescent="0.25">
      <c r="BV1753"/>
      <c r="BW1753"/>
      <c r="BX1753"/>
    </row>
    <row r="1754" spans="74:76" x14ac:dyDescent="0.25">
      <c r="BV1754"/>
      <c r="BW1754"/>
      <c r="BX1754"/>
    </row>
    <row r="1755" spans="74:76" x14ac:dyDescent="0.25">
      <c r="BV1755"/>
      <c r="BW1755"/>
      <c r="BX1755"/>
    </row>
    <row r="1756" spans="74:76" x14ac:dyDescent="0.25">
      <c r="BV1756"/>
      <c r="BW1756"/>
      <c r="BX1756"/>
    </row>
    <row r="1757" spans="74:76" x14ac:dyDescent="0.25">
      <c r="BV1757"/>
      <c r="BW1757"/>
      <c r="BX1757"/>
    </row>
    <row r="1758" spans="74:76" x14ac:dyDescent="0.25">
      <c r="BV1758"/>
      <c r="BW1758"/>
      <c r="BX1758"/>
    </row>
    <row r="1759" spans="74:76" x14ac:dyDescent="0.25">
      <c r="BV1759"/>
      <c r="BW1759"/>
      <c r="BX1759"/>
    </row>
    <row r="1760" spans="74:76" x14ac:dyDescent="0.25">
      <c r="BV1760"/>
      <c r="BW1760"/>
      <c r="BX1760"/>
    </row>
    <row r="1761" spans="74:76" x14ac:dyDescent="0.25">
      <c r="BV1761"/>
      <c r="BW1761"/>
      <c r="BX1761"/>
    </row>
    <row r="1762" spans="74:76" x14ac:dyDescent="0.25">
      <c r="BV1762"/>
      <c r="BW1762"/>
      <c r="BX1762"/>
    </row>
    <row r="1763" spans="74:76" x14ac:dyDescent="0.25">
      <c r="BV1763"/>
      <c r="BW1763"/>
      <c r="BX1763"/>
    </row>
    <row r="1764" spans="74:76" x14ac:dyDescent="0.25">
      <c r="BV1764"/>
      <c r="BW1764"/>
      <c r="BX1764"/>
    </row>
    <row r="1765" spans="74:76" x14ac:dyDescent="0.25">
      <c r="BV1765"/>
      <c r="BW1765"/>
      <c r="BX1765"/>
    </row>
    <row r="1766" spans="74:76" x14ac:dyDescent="0.25">
      <c r="BV1766"/>
      <c r="BW1766"/>
      <c r="BX1766"/>
    </row>
    <row r="1767" spans="74:76" x14ac:dyDescent="0.25">
      <c r="BV1767"/>
      <c r="BW1767"/>
      <c r="BX1767"/>
    </row>
    <row r="1768" spans="74:76" x14ac:dyDescent="0.25">
      <c r="BV1768"/>
      <c r="BW1768"/>
      <c r="BX1768"/>
    </row>
    <row r="1769" spans="74:76" x14ac:dyDescent="0.25">
      <c r="BV1769"/>
      <c r="BW1769"/>
      <c r="BX1769"/>
    </row>
    <row r="1770" spans="74:76" x14ac:dyDescent="0.25">
      <c r="BV1770"/>
      <c r="BW1770"/>
      <c r="BX1770"/>
    </row>
    <row r="1771" spans="74:76" x14ac:dyDescent="0.25">
      <c r="BV1771"/>
      <c r="BW1771"/>
      <c r="BX1771"/>
    </row>
    <row r="1772" spans="74:76" x14ac:dyDescent="0.25">
      <c r="BV1772"/>
      <c r="BW1772"/>
      <c r="BX1772"/>
    </row>
    <row r="1773" spans="74:76" x14ac:dyDescent="0.25">
      <c r="BV1773"/>
      <c r="BW1773"/>
      <c r="BX1773"/>
    </row>
    <row r="1774" spans="74:76" x14ac:dyDescent="0.25">
      <c r="BV1774"/>
      <c r="BW1774"/>
      <c r="BX1774"/>
    </row>
    <row r="1775" spans="74:76" x14ac:dyDescent="0.25">
      <c r="BV1775"/>
      <c r="BW1775"/>
      <c r="BX1775"/>
    </row>
    <row r="1776" spans="74:76" x14ac:dyDescent="0.25">
      <c r="BV1776"/>
      <c r="BW1776"/>
      <c r="BX1776"/>
    </row>
    <row r="1777" spans="74:76" x14ac:dyDescent="0.25">
      <c r="BV1777"/>
      <c r="BW1777"/>
      <c r="BX1777"/>
    </row>
    <row r="1778" spans="74:76" x14ac:dyDescent="0.25">
      <c r="BV1778"/>
      <c r="BW1778"/>
      <c r="BX1778"/>
    </row>
    <row r="1779" spans="74:76" x14ac:dyDescent="0.25">
      <c r="BV1779"/>
      <c r="BW1779"/>
      <c r="BX1779"/>
    </row>
    <row r="1780" spans="74:76" x14ac:dyDescent="0.25">
      <c r="BV1780"/>
      <c r="BW1780"/>
      <c r="BX1780"/>
    </row>
    <row r="1781" spans="74:76" x14ac:dyDescent="0.25">
      <c r="BV1781"/>
      <c r="BW1781"/>
      <c r="BX1781"/>
    </row>
    <row r="1782" spans="74:76" x14ac:dyDescent="0.25">
      <c r="BV1782"/>
      <c r="BW1782"/>
      <c r="BX1782"/>
    </row>
    <row r="1783" spans="74:76" x14ac:dyDescent="0.25">
      <c r="BV1783"/>
      <c r="BW1783"/>
      <c r="BX1783"/>
    </row>
    <row r="1784" spans="74:76" x14ac:dyDescent="0.25">
      <c r="BV1784"/>
      <c r="BW1784"/>
      <c r="BX1784"/>
    </row>
    <row r="1785" spans="74:76" x14ac:dyDescent="0.25">
      <c r="BV1785"/>
      <c r="BW1785"/>
      <c r="BX1785"/>
    </row>
    <row r="1786" spans="74:76" x14ac:dyDescent="0.25">
      <c r="BV1786"/>
      <c r="BW1786"/>
      <c r="BX1786"/>
    </row>
    <row r="1787" spans="74:76" x14ac:dyDescent="0.25">
      <c r="BV1787"/>
      <c r="BW1787"/>
      <c r="BX1787"/>
    </row>
    <row r="1788" spans="74:76" x14ac:dyDescent="0.25">
      <c r="BV1788"/>
      <c r="BW1788"/>
      <c r="BX1788"/>
    </row>
    <row r="1789" spans="74:76" x14ac:dyDescent="0.25">
      <c r="BV1789"/>
      <c r="BW1789"/>
      <c r="BX1789"/>
    </row>
    <row r="1790" spans="74:76" x14ac:dyDescent="0.25">
      <c r="BV1790"/>
      <c r="BW1790"/>
      <c r="BX1790"/>
    </row>
    <row r="1791" spans="74:76" x14ac:dyDescent="0.25">
      <c r="BV1791"/>
      <c r="BW1791"/>
      <c r="BX1791"/>
    </row>
    <row r="1792" spans="74:76" x14ac:dyDescent="0.25">
      <c r="BV1792"/>
      <c r="BW1792"/>
      <c r="BX1792"/>
    </row>
    <row r="1793" spans="74:76" x14ac:dyDescent="0.25">
      <c r="BV1793"/>
      <c r="BW1793"/>
      <c r="BX1793"/>
    </row>
    <row r="1794" spans="74:76" x14ac:dyDescent="0.25">
      <c r="BV1794"/>
      <c r="BW1794"/>
      <c r="BX1794"/>
    </row>
    <row r="1795" spans="74:76" x14ac:dyDescent="0.25">
      <c r="BV1795"/>
      <c r="BW1795"/>
      <c r="BX1795"/>
    </row>
    <row r="1796" spans="74:76" x14ac:dyDescent="0.25">
      <c r="BV1796"/>
      <c r="BW1796"/>
      <c r="BX1796"/>
    </row>
    <row r="1797" spans="74:76" x14ac:dyDescent="0.25">
      <c r="BV1797"/>
      <c r="BW1797"/>
      <c r="BX1797"/>
    </row>
    <row r="1798" spans="74:76" x14ac:dyDescent="0.25">
      <c r="BV1798"/>
      <c r="BW1798"/>
      <c r="BX1798"/>
    </row>
    <row r="1799" spans="74:76" x14ac:dyDescent="0.25">
      <c r="BV1799"/>
      <c r="BW1799"/>
      <c r="BX1799"/>
    </row>
    <row r="1800" spans="74:76" x14ac:dyDescent="0.25">
      <c r="BV1800"/>
      <c r="BW1800"/>
      <c r="BX1800"/>
    </row>
    <row r="1801" spans="74:76" x14ac:dyDescent="0.25">
      <c r="BV1801"/>
      <c r="BW1801"/>
      <c r="BX1801"/>
    </row>
    <row r="1802" spans="74:76" x14ac:dyDescent="0.25">
      <c r="BV1802"/>
      <c r="BW1802"/>
      <c r="BX1802"/>
    </row>
    <row r="1803" spans="74:76" x14ac:dyDescent="0.25">
      <c r="BV1803"/>
      <c r="BW1803"/>
      <c r="BX1803"/>
    </row>
    <row r="1804" spans="74:76" x14ac:dyDescent="0.25">
      <c r="BV1804"/>
      <c r="BW1804"/>
      <c r="BX1804"/>
    </row>
    <row r="1805" spans="74:76" x14ac:dyDescent="0.25">
      <c r="BV1805"/>
      <c r="BW1805"/>
      <c r="BX1805"/>
    </row>
    <row r="1806" spans="74:76" x14ac:dyDescent="0.25">
      <c r="BV1806"/>
      <c r="BW1806"/>
      <c r="BX1806"/>
    </row>
    <row r="1807" spans="74:76" x14ac:dyDescent="0.25">
      <c r="BV1807"/>
      <c r="BW1807"/>
      <c r="BX1807"/>
    </row>
    <row r="1808" spans="74:76" x14ac:dyDescent="0.25">
      <c r="BV1808"/>
      <c r="BW1808"/>
      <c r="BX1808"/>
    </row>
    <row r="1809" spans="74:76" x14ac:dyDescent="0.25">
      <c r="BV1809"/>
      <c r="BW1809"/>
      <c r="BX1809"/>
    </row>
    <row r="1810" spans="74:76" x14ac:dyDescent="0.25">
      <c r="BV1810"/>
      <c r="BW1810"/>
      <c r="BX1810"/>
    </row>
    <row r="1811" spans="74:76" x14ac:dyDescent="0.25">
      <c r="BV1811"/>
      <c r="BW1811"/>
      <c r="BX1811"/>
    </row>
    <row r="1812" spans="74:76" x14ac:dyDescent="0.25">
      <c r="BV1812"/>
      <c r="BW1812"/>
      <c r="BX1812"/>
    </row>
    <row r="1813" spans="74:76" x14ac:dyDescent="0.25">
      <c r="BV1813"/>
      <c r="BW1813"/>
      <c r="BX1813"/>
    </row>
    <row r="1814" spans="74:76" x14ac:dyDescent="0.25">
      <c r="BV1814"/>
      <c r="BW1814"/>
      <c r="BX1814"/>
    </row>
    <row r="1815" spans="74:76" x14ac:dyDescent="0.25">
      <c r="BV1815"/>
      <c r="BW1815"/>
      <c r="BX1815"/>
    </row>
    <row r="1816" spans="74:76" x14ac:dyDescent="0.25">
      <c r="BV1816"/>
      <c r="BW1816"/>
      <c r="BX1816"/>
    </row>
    <row r="1817" spans="74:76" x14ac:dyDescent="0.25">
      <c r="BV1817"/>
      <c r="BW1817"/>
      <c r="BX1817"/>
    </row>
    <row r="1818" spans="74:76" x14ac:dyDescent="0.25">
      <c r="BV1818"/>
      <c r="BW1818"/>
      <c r="BX1818"/>
    </row>
    <row r="1819" spans="74:76" x14ac:dyDescent="0.25">
      <c r="BV1819"/>
      <c r="BW1819"/>
      <c r="BX1819"/>
    </row>
    <row r="1820" spans="74:76" x14ac:dyDescent="0.25">
      <c r="BV1820"/>
      <c r="BW1820"/>
      <c r="BX1820"/>
    </row>
    <row r="1821" spans="74:76" x14ac:dyDescent="0.25">
      <c r="BV1821"/>
      <c r="BW1821"/>
      <c r="BX1821"/>
    </row>
    <row r="1822" spans="74:76" x14ac:dyDescent="0.25">
      <c r="BV1822"/>
      <c r="BW1822"/>
      <c r="BX1822"/>
    </row>
    <row r="1823" spans="74:76" x14ac:dyDescent="0.25">
      <c r="BV1823"/>
      <c r="BW1823"/>
      <c r="BX1823"/>
    </row>
    <row r="1824" spans="74:76" x14ac:dyDescent="0.25">
      <c r="BV1824"/>
      <c r="BW1824"/>
      <c r="BX1824"/>
    </row>
    <row r="1825" spans="74:76" x14ac:dyDescent="0.25">
      <c r="BV1825"/>
      <c r="BW1825"/>
      <c r="BX1825"/>
    </row>
    <row r="1826" spans="74:76" x14ac:dyDescent="0.25">
      <c r="BV1826"/>
      <c r="BW1826"/>
      <c r="BX1826"/>
    </row>
    <row r="1827" spans="74:76" x14ac:dyDescent="0.25">
      <c r="BV1827"/>
      <c r="BW1827"/>
      <c r="BX1827"/>
    </row>
    <row r="1828" spans="74:76" x14ac:dyDescent="0.25">
      <c r="BV1828"/>
      <c r="BW1828"/>
      <c r="BX1828"/>
    </row>
    <row r="1829" spans="74:76" x14ac:dyDescent="0.25">
      <c r="BV1829"/>
      <c r="BW1829"/>
      <c r="BX1829"/>
    </row>
    <row r="1830" spans="74:76" x14ac:dyDescent="0.25">
      <c r="BV1830"/>
      <c r="BW1830"/>
      <c r="BX1830"/>
    </row>
    <row r="1831" spans="74:76" x14ac:dyDescent="0.25">
      <c r="BV1831"/>
      <c r="BW1831"/>
      <c r="BX1831"/>
    </row>
    <row r="1832" spans="74:76" x14ac:dyDescent="0.25">
      <c r="BV1832"/>
      <c r="BW1832"/>
      <c r="BX1832"/>
    </row>
    <row r="1833" spans="74:76" x14ac:dyDescent="0.25">
      <c r="BV1833"/>
      <c r="BW1833"/>
      <c r="BX1833"/>
    </row>
    <row r="1834" spans="74:76" x14ac:dyDescent="0.25">
      <c r="BV1834"/>
      <c r="BW1834"/>
      <c r="BX1834"/>
    </row>
    <row r="1835" spans="74:76" x14ac:dyDescent="0.25">
      <c r="BV1835"/>
      <c r="BW1835"/>
      <c r="BX1835"/>
    </row>
    <row r="1836" spans="74:76" x14ac:dyDescent="0.25">
      <c r="BV1836"/>
      <c r="BW1836"/>
      <c r="BX1836"/>
    </row>
    <row r="1837" spans="74:76" x14ac:dyDescent="0.25">
      <c r="BV1837"/>
      <c r="BW1837"/>
      <c r="BX1837"/>
    </row>
    <row r="1838" spans="74:76" x14ac:dyDescent="0.25">
      <c r="BV1838"/>
      <c r="BW1838"/>
      <c r="BX1838"/>
    </row>
    <row r="1839" spans="74:76" x14ac:dyDescent="0.25">
      <c r="BV1839"/>
      <c r="BW1839"/>
      <c r="BX1839"/>
    </row>
    <row r="1840" spans="74:76" x14ac:dyDescent="0.25">
      <c r="BV1840"/>
      <c r="BW1840"/>
      <c r="BX1840"/>
    </row>
    <row r="1841" spans="74:76" x14ac:dyDescent="0.25">
      <c r="BV1841"/>
      <c r="BW1841"/>
      <c r="BX1841"/>
    </row>
    <row r="1842" spans="74:76" x14ac:dyDescent="0.25">
      <c r="BV1842"/>
      <c r="BW1842"/>
      <c r="BX1842"/>
    </row>
    <row r="1843" spans="74:76" x14ac:dyDescent="0.25">
      <c r="BV1843"/>
      <c r="BW1843"/>
      <c r="BX1843"/>
    </row>
    <row r="1844" spans="74:76" x14ac:dyDescent="0.25">
      <c r="BV1844"/>
      <c r="BW1844"/>
      <c r="BX1844"/>
    </row>
    <row r="1845" spans="74:76" x14ac:dyDescent="0.25">
      <c r="BV1845"/>
      <c r="BW1845"/>
      <c r="BX1845"/>
    </row>
    <row r="1846" spans="74:76" x14ac:dyDescent="0.25">
      <c r="BV1846"/>
      <c r="BW1846"/>
      <c r="BX1846"/>
    </row>
    <row r="1847" spans="74:76" x14ac:dyDescent="0.25">
      <c r="BV1847"/>
      <c r="BW1847"/>
      <c r="BX1847"/>
    </row>
    <row r="1848" spans="74:76" x14ac:dyDescent="0.25">
      <c r="BV1848"/>
      <c r="BW1848"/>
      <c r="BX1848"/>
    </row>
    <row r="1849" spans="74:76" x14ac:dyDescent="0.25">
      <c r="BV1849"/>
      <c r="BW1849"/>
      <c r="BX1849"/>
    </row>
    <row r="1850" spans="74:76" x14ac:dyDescent="0.25">
      <c r="BV1850"/>
      <c r="BW1850"/>
      <c r="BX1850"/>
    </row>
    <row r="1851" spans="74:76" x14ac:dyDescent="0.25">
      <c r="BV1851"/>
      <c r="BW1851"/>
      <c r="BX1851"/>
    </row>
    <row r="1852" spans="74:76" x14ac:dyDescent="0.25">
      <c r="BV1852"/>
      <c r="BW1852"/>
      <c r="BX1852"/>
    </row>
    <row r="1853" spans="74:76" x14ac:dyDescent="0.25">
      <c r="BV1853"/>
      <c r="BW1853"/>
      <c r="BX1853"/>
    </row>
    <row r="1854" spans="74:76" x14ac:dyDescent="0.25">
      <c r="BV1854"/>
      <c r="BW1854"/>
      <c r="BX1854"/>
    </row>
    <row r="1855" spans="74:76" x14ac:dyDescent="0.25">
      <c r="BV1855"/>
      <c r="BW1855"/>
      <c r="BX1855"/>
    </row>
    <row r="1856" spans="74:76" x14ac:dyDescent="0.25">
      <c r="BV1856"/>
      <c r="BW1856"/>
      <c r="BX1856"/>
    </row>
    <row r="1857" spans="74:76" x14ac:dyDescent="0.25">
      <c r="BV1857"/>
      <c r="BW1857"/>
      <c r="BX1857"/>
    </row>
    <row r="1858" spans="74:76" x14ac:dyDescent="0.25">
      <c r="BV1858"/>
      <c r="BW1858"/>
      <c r="BX1858"/>
    </row>
    <row r="1859" spans="74:76" x14ac:dyDescent="0.25">
      <c r="BV1859"/>
      <c r="BW1859"/>
      <c r="BX1859"/>
    </row>
    <row r="1860" spans="74:76" x14ac:dyDescent="0.25">
      <c r="BV1860"/>
      <c r="BW1860"/>
      <c r="BX1860"/>
    </row>
    <row r="1861" spans="74:76" x14ac:dyDescent="0.25">
      <c r="BV1861"/>
      <c r="BW1861"/>
      <c r="BX1861"/>
    </row>
    <row r="1862" spans="74:76" x14ac:dyDescent="0.25">
      <c r="BV1862"/>
      <c r="BW1862"/>
      <c r="BX1862"/>
    </row>
    <row r="1863" spans="74:76" x14ac:dyDescent="0.25">
      <c r="BV1863"/>
      <c r="BW1863"/>
      <c r="BX1863"/>
    </row>
    <row r="1864" spans="74:76" x14ac:dyDescent="0.25">
      <c r="BV1864"/>
      <c r="BW1864"/>
      <c r="BX1864"/>
    </row>
    <row r="1865" spans="74:76" x14ac:dyDescent="0.25">
      <c r="BV1865"/>
      <c r="BW1865"/>
      <c r="BX1865"/>
    </row>
    <row r="1866" spans="74:76" x14ac:dyDescent="0.25">
      <c r="BV1866"/>
      <c r="BW1866"/>
      <c r="BX1866"/>
    </row>
    <row r="1867" spans="74:76" x14ac:dyDescent="0.25">
      <c r="BV1867"/>
      <c r="BW1867"/>
      <c r="BX1867"/>
    </row>
    <row r="1868" spans="74:76" x14ac:dyDescent="0.25">
      <c r="BV1868"/>
      <c r="BW1868"/>
      <c r="BX1868"/>
    </row>
    <row r="1869" spans="74:76" x14ac:dyDescent="0.25">
      <c r="BV1869"/>
      <c r="BW1869"/>
      <c r="BX1869"/>
    </row>
    <row r="1870" spans="74:76" x14ac:dyDescent="0.25">
      <c r="BV1870"/>
      <c r="BW1870"/>
      <c r="BX1870"/>
    </row>
    <row r="1871" spans="74:76" x14ac:dyDescent="0.25">
      <c r="BV1871"/>
      <c r="BW1871"/>
      <c r="BX1871"/>
    </row>
    <row r="1872" spans="74:76" x14ac:dyDescent="0.25">
      <c r="BV1872"/>
      <c r="BW1872"/>
      <c r="BX1872"/>
    </row>
    <row r="1873" spans="74:76" x14ac:dyDescent="0.25">
      <c r="BV1873"/>
      <c r="BW1873"/>
      <c r="BX1873"/>
    </row>
    <row r="1874" spans="74:76" x14ac:dyDescent="0.25">
      <c r="BV1874"/>
      <c r="BW1874"/>
      <c r="BX1874"/>
    </row>
    <row r="1875" spans="74:76" x14ac:dyDescent="0.25">
      <c r="BV1875"/>
      <c r="BW1875"/>
      <c r="BX1875"/>
    </row>
    <row r="1876" spans="74:76" x14ac:dyDescent="0.25">
      <c r="BV1876"/>
      <c r="BW1876"/>
      <c r="BX1876"/>
    </row>
    <row r="1877" spans="74:76" x14ac:dyDescent="0.25">
      <c r="BV1877"/>
      <c r="BW1877"/>
      <c r="BX1877"/>
    </row>
    <row r="1878" spans="74:76" x14ac:dyDescent="0.25">
      <c r="BV1878"/>
      <c r="BW1878"/>
      <c r="BX1878"/>
    </row>
    <row r="1879" spans="74:76" x14ac:dyDescent="0.25">
      <c r="BV1879"/>
      <c r="BW1879"/>
      <c r="BX1879"/>
    </row>
    <row r="1880" spans="74:76" x14ac:dyDescent="0.25">
      <c r="BV1880"/>
      <c r="BW1880"/>
      <c r="BX1880"/>
    </row>
    <row r="1881" spans="74:76" x14ac:dyDescent="0.25">
      <c r="BV1881"/>
      <c r="BW1881"/>
      <c r="BX1881"/>
    </row>
    <row r="1882" spans="74:76" x14ac:dyDescent="0.25">
      <c r="BV1882"/>
      <c r="BW1882"/>
      <c r="BX1882"/>
    </row>
    <row r="1883" spans="74:76" x14ac:dyDescent="0.25">
      <c r="BV1883"/>
      <c r="BW1883"/>
      <c r="BX1883"/>
    </row>
    <row r="1884" spans="74:76" x14ac:dyDescent="0.25">
      <c r="BV1884"/>
      <c r="BW1884"/>
      <c r="BX1884"/>
    </row>
    <row r="1885" spans="74:76" x14ac:dyDescent="0.25">
      <c r="BV1885"/>
      <c r="BW1885"/>
      <c r="BX1885"/>
    </row>
    <row r="1886" spans="74:76" x14ac:dyDescent="0.25">
      <c r="BV1886"/>
      <c r="BW1886"/>
      <c r="BX1886"/>
    </row>
    <row r="1887" spans="74:76" x14ac:dyDescent="0.25">
      <c r="BV1887"/>
      <c r="BW1887"/>
      <c r="BX1887"/>
    </row>
    <row r="1888" spans="74:76" x14ac:dyDescent="0.25">
      <c r="BV1888"/>
      <c r="BW1888"/>
      <c r="BX1888"/>
    </row>
    <row r="1889" spans="74:76" x14ac:dyDescent="0.25">
      <c r="BV1889"/>
      <c r="BW1889"/>
      <c r="BX1889"/>
    </row>
    <row r="1890" spans="74:76" x14ac:dyDescent="0.25">
      <c r="BV1890"/>
      <c r="BW1890"/>
      <c r="BX1890"/>
    </row>
    <row r="1891" spans="74:76" x14ac:dyDescent="0.25">
      <c r="BV1891"/>
      <c r="BW1891"/>
      <c r="BX1891"/>
    </row>
    <row r="1892" spans="74:76" x14ac:dyDescent="0.25">
      <c r="BV1892"/>
      <c r="BW1892"/>
      <c r="BX1892"/>
    </row>
    <row r="1893" spans="74:76" x14ac:dyDescent="0.25">
      <c r="BV1893"/>
      <c r="BW1893"/>
      <c r="BX1893"/>
    </row>
    <row r="1894" spans="74:76" x14ac:dyDescent="0.25">
      <c r="BV1894"/>
      <c r="BW1894"/>
      <c r="BX1894"/>
    </row>
    <row r="1895" spans="74:76" x14ac:dyDescent="0.25">
      <c r="BV1895"/>
      <c r="BW1895"/>
      <c r="BX1895"/>
    </row>
    <row r="1896" spans="74:76" x14ac:dyDescent="0.25">
      <c r="BV1896"/>
      <c r="BW1896"/>
      <c r="BX1896"/>
    </row>
    <row r="1897" spans="74:76" x14ac:dyDescent="0.25">
      <c r="BV1897"/>
      <c r="BW1897"/>
      <c r="BX1897"/>
    </row>
    <row r="1898" spans="74:76" x14ac:dyDescent="0.25">
      <c r="BV1898"/>
      <c r="BW1898"/>
      <c r="BX1898"/>
    </row>
    <row r="1899" spans="74:76" x14ac:dyDescent="0.25">
      <c r="BV1899"/>
      <c r="BW1899"/>
      <c r="BX1899"/>
    </row>
    <row r="1900" spans="74:76" x14ac:dyDescent="0.25">
      <c r="BV1900"/>
      <c r="BW1900"/>
      <c r="BX1900"/>
    </row>
    <row r="1901" spans="74:76" x14ac:dyDescent="0.25">
      <c r="BV1901"/>
      <c r="BW1901"/>
      <c r="BX1901"/>
    </row>
    <row r="1902" spans="74:76" x14ac:dyDescent="0.25">
      <c r="BV1902"/>
      <c r="BW1902"/>
      <c r="BX1902"/>
    </row>
    <row r="1903" spans="74:76" x14ac:dyDescent="0.25">
      <c r="BV1903"/>
      <c r="BW1903"/>
      <c r="BX1903"/>
    </row>
    <row r="1904" spans="74:76" x14ac:dyDescent="0.25">
      <c r="BV1904"/>
      <c r="BW1904"/>
      <c r="BX1904"/>
    </row>
    <row r="1905" spans="74:76" x14ac:dyDescent="0.25">
      <c r="BV1905"/>
      <c r="BW1905"/>
      <c r="BX1905"/>
    </row>
    <row r="1906" spans="74:76" x14ac:dyDescent="0.25">
      <c r="BV1906"/>
      <c r="BW1906"/>
      <c r="BX1906"/>
    </row>
    <row r="1907" spans="74:76" x14ac:dyDescent="0.25">
      <c r="BV1907"/>
      <c r="BW1907"/>
      <c r="BX1907"/>
    </row>
    <row r="1908" spans="74:76" x14ac:dyDescent="0.25">
      <c r="BV1908"/>
      <c r="BW1908"/>
      <c r="BX1908"/>
    </row>
    <row r="1909" spans="74:76" x14ac:dyDescent="0.25">
      <c r="BV1909"/>
      <c r="BW1909"/>
      <c r="BX1909"/>
    </row>
    <row r="1910" spans="74:76" x14ac:dyDescent="0.25">
      <c r="BV1910"/>
      <c r="BW1910"/>
      <c r="BX1910"/>
    </row>
    <row r="1911" spans="74:76" x14ac:dyDescent="0.25">
      <c r="BV1911"/>
      <c r="BW1911"/>
      <c r="BX1911"/>
    </row>
    <row r="1912" spans="74:76" x14ac:dyDescent="0.25">
      <c r="BV1912"/>
      <c r="BW1912"/>
      <c r="BX1912"/>
    </row>
    <row r="1913" spans="74:76" x14ac:dyDescent="0.25">
      <c r="BV1913"/>
      <c r="BW1913"/>
      <c r="BX1913"/>
    </row>
    <row r="1914" spans="74:76" x14ac:dyDescent="0.25">
      <c r="BV1914"/>
      <c r="BW1914"/>
      <c r="BX1914"/>
    </row>
    <row r="1915" spans="74:76" x14ac:dyDescent="0.25">
      <c r="BV1915"/>
      <c r="BW1915"/>
      <c r="BX1915"/>
    </row>
    <row r="1916" spans="74:76" x14ac:dyDescent="0.25">
      <c r="BV1916"/>
      <c r="BW1916"/>
      <c r="BX1916"/>
    </row>
    <row r="1917" spans="74:76" x14ac:dyDescent="0.25">
      <c r="BV1917"/>
      <c r="BW1917"/>
      <c r="BX1917"/>
    </row>
    <row r="1918" spans="74:76" x14ac:dyDescent="0.25">
      <c r="BV1918"/>
      <c r="BW1918"/>
      <c r="BX1918"/>
    </row>
    <row r="1919" spans="74:76" x14ac:dyDescent="0.25">
      <c r="BV1919"/>
      <c r="BW1919"/>
      <c r="BX1919"/>
    </row>
    <row r="1920" spans="74:76" x14ac:dyDescent="0.25">
      <c r="BV1920"/>
      <c r="BW1920"/>
      <c r="BX1920"/>
    </row>
    <row r="1921" spans="74:76" x14ac:dyDescent="0.25">
      <c r="BV1921"/>
      <c r="BW1921"/>
      <c r="BX1921"/>
    </row>
    <row r="1922" spans="74:76" x14ac:dyDescent="0.25">
      <c r="BV1922"/>
      <c r="BW1922"/>
      <c r="BX1922"/>
    </row>
    <row r="1923" spans="74:76" x14ac:dyDescent="0.25">
      <c r="BV1923"/>
      <c r="BW1923"/>
      <c r="BX1923"/>
    </row>
    <row r="1924" spans="74:76" x14ac:dyDescent="0.25">
      <c r="BV1924"/>
      <c r="BW1924"/>
      <c r="BX1924"/>
    </row>
    <row r="1925" spans="74:76" x14ac:dyDescent="0.25">
      <c r="BV1925"/>
      <c r="BW1925"/>
      <c r="BX1925"/>
    </row>
    <row r="1926" spans="74:76" x14ac:dyDescent="0.25">
      <c r="BV1926"/>
      <c r="BW1926"/>
      <c r="BX1926"/>
    </row>
    <row r="1927" spans="74:76" x14ac:dyDescent="0.25">
      <c r="BV1927"/>
      <c r="BW1927"/>
      <c r="BX1927"/>
    </row>
    <row r="1928" spans="74:76" x14ac:dyDescent="0.25">
      <c r="BV1928"/>
      <c r="BW1928"/>
      <c r="BX1928"/>
    </row>
    <row r="1929" spans="74:76" x14ac:dyDescent="0.25">
      <c r="BV1929"/>
      <c r="BW1929"/>
      <c r="BX1929"/>
    </row>
    <row r="1930" spans="74:76" x14ac:dyDescent="0.25">
      <c r="BV1930"/>
      <c r="BW1930"/>
      <c r="BX1930"/>
    </row>
    <row r="1931" spans="74:76" x14ac:dyDescent="0.25">
      <c r="BV1931"/>
      <c r="BW1931"/>
      <c r="BX1931"/>
    </row>
    <row r="1932" spans="74:76" x14ac:dyDescent="0.25">
      <c r="BV1932"/>
      <c r="BW1932"/>
      <c r="BX1932"/>
    </row>
    <row r="1933" spans="74:76" x14ac:dyDescent="0.25">
      <c r="BV1933"/>
      <c r="BW1933"/>
      <c r="BX1933"/>
    </row>
    <row r="1934" spans="74:76" x14ac:dyDescent="0.25">
      <c r="BV1934"/>
      <c r="BW1934"/>
      <c r="BX1934"/>
    </row>
    <row r="1935" spans="74:76" x14ac:dyDescent="0.25">
      <c r="BV1935"/>
      <c r="BW1935"/>
      <c r="BX1935"/>
    </row>
    <row r="1936" spans="74:76" x14ac:dyDescent="0.25">
      <c r="BV1936"/>
      <c r="BW1936"/>
      <c r="BX1936"/>
    </row>
    <row r="1937" spans="74:76" x14ac:dyDescent="0.25">
      <c r="BV1937"/>
      <c r="BW1937"/>
      <c r="BX1937"/>
    </row>
    <row r="1938" spans="74:76" x14ac:dyDescent="0.25">
      <c r="BV1938"/>
      <c r="BW1938"/>
      <c r="BX1938"/>
    </row>
    <row r="1939" spans="74:76" x14ac:dyDescent="0.25">
      <c r="BV1939"/>
      <c r="BW1939"/>
      <c r="BX1939"/>
    </row>
    <row r="1940" spans="74:76" x14ac:dyDescent="0.25">
      <c r="BV1940"/>
      <c r="BW1940"/>
      <c r="BX1940"/>
    </row>
    <row r="1941" spans="74:76" x14ac:dyDescent="0.25">
      <c r="BV1941"/>
      <c r="BW1941"/>
      <c r="BX1941"/>
    </row>
    <row r="1942" spans="74:76" x14ac:dyDescent="0.25">
      <c r="BV1942"/>
      <c r="BW1942"/>
      <c r="BX1942"/>
    </row>
    <row r="1943" spans="74:76" x14ac:dyDescent="0.25">
      <c r="BV1943"/>
      <c r="BW1943"/>
      <c r="BX1943"/>
    </row>
    <row r="1944" spans="74:76" x14ac:dyDescent="0.25">
      <c r="BV1944"/>
      <c r="BW1944"/>
      <c r="BX1944"/>
    </row>
    <row r="1945" spans="74:76" x14ac:dyDescent="0.25">
      <c r="BV1945"/>
      <c r="BW1945"/>
      <c r="BX1945"/>
    </row>
    <row r="1946" spans="74:76" x14ac:dyDescent="0.25">
      <c r="BV1946"/>
      <c r="BW1946"/>
      <c r="BX1946"/>
    </row>
    <row r="1947" spans="74:76" x14ac:dyDescent="0.25">
      <c r="BV1947"/>
      <c r="BW1947"/>
      <c r="BX1947"/>
    </row>
    <row r="1948" spans="74:76" x14ac:dyDescent="0.25">
      <c r="BV1948"/>
      <c r="BW1948"/>
      <c r="BX1948"/>
    </row>
    <row r="1949" spans="74:76" x14ac:dyDescent="0.25">
      <c r="BV1949"/>
      <c r="BW1949"/>
      <c r="BX1949"/>
    </row>
    <row r="1950" spans="74:76" x14ac:dyDescent="0.25">
      <c r="BV1950"/>
      <c r="BW1950"/>
      <c r="BX1950"/>
    </row>
    <row r="1951" spans="74:76" x14ac:dyDescent="0.25">
      <c r="BV1951"/>
      <c r="BW1951"/>
      <c r="BX1951"/>
    </row>
    <row r="1952" spans="74:76" x14ac:dyDescent="0.25">
      <c r="BV1952"/>
      <c r="BW1952"/>
      <c r="BX1952"/>
    </row>
    <row r="1953" spans="74:76" x14ac:dyDescent="0.25">
      <c r="BV1953"/>
      <c r="BW1953"/>
      <c r="BX1953"/>
    </row>
    <row r="1954" spans="74:76" x14ac:dyDescent="0.25">
      <c r="BV1954"/>
      <c r="BW1954"/>
      <c r="BX1954"/>
    </row>
    <row r="1955" spans="74:76" x14ac:dyDescent="0.25">
      <c r="BV1955"/>
      <c r="BW1955"/>
      <c r="BX1955"/>
    </row>
    <row r="1956" spans="74:76" x14ac:dyDescent="0.25">
      <c r="BV1956"/>
      <c r="BW1956"/>
      <c r="BX1956"/>
    </row>
    <row r="1957" spans="74:76" x14ac:dyDescent="0.25">
      <c r="BV1957"/>
      <c r="BW1957"/>
      <c r="BX1957"/>
    </row>
    <row r="1958" spans="74:76" x14ac:dyDescent="0.25">
      <c r="BV1958"/>
      <c r="BW1958"/>
      <c r="BX1958"/>
    </row>
    <row r="1959" spans="74:76" x14ac:dyDescent="0.25">
      <c r="BV1959"/>
      <c r="BW1959"/>
      <c r="BX1959"/>
    </row>
    <row r="1960" spans="74:76" x14ac:dyDescent="0.25">
      <c r="BV1960"/>
      <c r="BW1960"/>
      <c r="BX1960"/>
    </row>
    <row r="1961" spans="74:76" x14ac:dyDescent="0.25">
      <c r="BV1961"/>
      <c r="BW1961"/>
      <c r="BX1961"/>
    </row>
    <row r="1962" spans="74:76" x14ac:dyDescent="0.25">
      <c r="BV1962"/>
      <c r="BW1962"/>
      <c r="BX1962"/>
    </row>
    <row r="1963" spans="74:76" x14ac:dyDescent="0.25">
      <c r="BV1963"/>
      <c r="BW1963"/>
      <c r="BX1963"/>
    </row>
    <row r="1964" spans="74:76" x14ac:dyDescent="0.25">
      <c r="BV1964"/>
      <c r="BW1964"/>
      <c r="BX1964"/>
    </row>
    <row r="1965" spans="74:76" x14ac:dyDescent="0.25">
      <c r="BV1965"/>
      <c r="BW1965"/>
      <c r="BX1965"/>
    </row>
    <row r="1966" spans="74:76" x14ac:dyDescent="0.25">
      <c r="BV1966"/>
      <c r="BW1966"/>
      <c r="BX1966"/>
    </row>
    <row r="1967" spans="74:76" x14ac:dyDescent="0.25">
      <c r="BV1967"/>
      <c r="BW1967"/>
      <c r="BX1967"/>
    </row>
    <row r="1968" spans="74:76" x14ac:dyDescent="0.25">
      <c r="BV1968"/>
      <c r="BW1968"/>
      <c r="BX1968"/>
    </row>
    <row r="1969" spans="74:76" x14ac:dyDescent="0.25">
      <c r="BV1969"/>
      <c r="BW1969"/>
      <c r="BX1969"/>
    </row>
    <row r="1970" spans="74:76" x14ac:dyDescent="0.25">
      <c r="BV1970"/>
      <c r="BW1970"/>
      <c r="BX1970"/>
    </row>
    <row r="1971" spans="74:76" x14ac:dyDescent="0.25">
      <c r="BV1971"/>
      <c r="BW1971"/>
      <c r="BX1971"/>
    </row>
    <row r="1972" spans="74:76" x14ac:dyDescent="0.25">
      <c r="BV1972"/>
      <c r="BW1972"/>
      <c r="BX1972"/>
    </row>
    <row r="1973" spans="74:76" x14ac:dyDescent="0.25">
      <c r="BV1973"/>
      <c r="BW1973"/>
      <c r="BX1973"/>
    </row>
    <row r="1974" spans="74:76" x14ac:dyDescent="0.25">
      <c r="BV1974"/>
      <c r="BW1974"/>
      <c r="BX1974"/>
    </row>
    <row r="1975" spans="74:76" x14ac:dyDescent="0.25">
      <c r="BV1975"/>
      <c r="BW1975"/>
      <c r="BX1975"/>
    </row>
    <row r="1976" spans="74:76" x14ac:dyDescent="0.25">
      <c r="BV1976"/>
      <c r="BW1976"/>
      <c r="BX1976"/>
    </row>
    <row r="1977" spans="74:76" x14ac:dyDescent="0.25">
      <c r="BV1977"/>
      <c r="BW1977"/>
      <c r="BX1977"/>
    </row>
    <row r="1978" spans="74:76" x14ac:dyDescent="0.25">
      <c r="BV1978"/>
      <c r="BW1978"/>
      <c r="BX1978"/>
    </row>
    <row r="1979" spans="74:76" x14ac:dyDescent="0.25">
      <c r="BV1979"/>
      <c r="BW1979"/>
      <c r="BX1979"/>
    </row>
    <row r="1980" spans="74:76" x14ac:dyDescent="0.25">
      <c r="BV1980"/>
      <c r="BW1980"/>
      <c r="BX1980"/>
    </row>
    <row r="1981" spans="74:76" x14ac:dyDescent="0.25">
      <c r="BV1981"/>
      <c r="BW1981"/>
      <c r="BX1981"/>
    </row>
    <row r="1982" spans="74:76" x14ac:dyDescent="0.25">
      <c r="BV1982"/>
      <c r="BW1982"/>
      <c r="BX1982"/>
    </row>
    <row r="1983" spans="74:76" x14ac:dyDescent="0.25">
      <c r="BV1983"/>
      <c r="BW1983"/>
      <c r="BX1983"/>
    </row>
    <row r="1984" spans="74:76" x14ac:dyDescent="0.25">
      <c r="BV1984"/>
      <c r="BW1984"/>
      <c r="BX1984"/>
    </row>
    <row r="1985" spans="74:76" x14ac:dyDescent="0.25">
      <c r="BV1985"/>
      <c r="BW1985"/>
      <c r="BX1985"/>
    </row>
    <row r="1986" spans="74:76" x14ac:dyDescent="0.25">
      <c r="BV1986"/>
      <c r="BW1986"/>
      <c r="BX1986"/>
    </row>
    <row r="1987" spans="74:76" x14ac:dyDescent="0.25">
      <c r="BV1987"/>
      <c r="BW1987"/>
      <c r="BX1987"/>
    </row>
    <row r="1988" spans="74:76" x14ac:dyDescent="0.25">
      <c r="BV1988"/>
      <c r="BW1988"/>
      <c r="BX1988"/>
    </row>
    <row r="1989" spans="74:76" x14ac:dyDescent="0.25">
      <c r="BV1989"/>
      <c r="BW1989"/>
      <c r="BX1989"/>
    </row>
    <row r="1990" spans="74:76" x14ac:dyDescent="0.25">
      <c r="BV1990"/>
      <c r="BW1990"/>
      <c r="BX1990"/>
    </row>
    <row r="1991" spans="74:76" x14ac:dyDescent="0.25">
      <c r="BV1991"/>
      <c r="BW1991"/>
      <c r="BX1991"/>
    </row>
    <row r="1992" spans="74:76" x14ac:dyDescent="0.25">
      <c r="BV1992"/>
      <c r="BW1992"/>
      <c r="BX1992"/>
    </row>
    <row r="1993" spans="74:76" x14ac:dyDescent="0.25">
      <c r="BV1993"/>
      <c r="BW1993"/>
      <c r="BX1993"/>
    </row>
    <row r="1994" spans="74:76" x14ac:dyDescent="0.25">
      <c r="BV1994"/>
      <c r="BW1994"/>
      <c r="BX1994"/>
    </row>
    <row r="1995" spans="74:76" x14ac:dyDescent="0.25">
      <c r="BV1995"/>
      <c r="BW1995"/>
      <c r="BX1995"/>
    </row>
    <row r="1996" spans="74:76" x14ac:dyDescent="0.25">
      <c r="BV1996"/>
      <c r="BW1996"/>
      <c r="BX1996"/>
    </row>
    <row r="1997" spans="74:76" x14ac:dyDescent="0.25">
      <c r="BV1997"/>
      <c r="BW1997"/>
      <c r="BX1997"/>
    </row>
    <row r="1998" spans="74:76" x14ac:dyDescent="0.25">
      <c r="BV1998"/>
      <c r="BW1998"/>
      <c r="BX1998"/>
    </row>
    <row r="1999" spans="74:76" x14ac:dyDescent="0.25">
      <c r="BV1999"/>
      <c r="BW1999"/>
      <c r="BX1999"/>
    </row>
    <row r="2000" spans="74:76" x14ac:dyDescent="0.25">
      <c r="BV2000"/>
      <c r="BW2000"/>
      <c r="BX2000"/>
    </row>
    <row r="2001" spans="74:76" x14ac:dyDescent="0.25">
      <c r="BV2001"/>
      <c r="BW2001"/>
      <c r="BX2001"/>
    </row>
    <row r="2002" spans="74:76" x14ac:dyDescent="0.25">
      <c r="BV2002"/>
      <c r="BW2002"/>
      <c r="BX2002"/>
    </row>
    <row r="2003" spans="74:76" x14ac:dyDescent="0.25">
      <c r="BV2003"/>
      <c r="BW2003"/>
      <c r="BX2003"/>
    </row>
    <row r="2004" spans="74:76" x14ac:dyDescent="0.25">
      <c r="BV2004"/>
      <c r="BW2004"/>
      <c r="BX2004"/>
    </row>
    <row r="2005" spans="74:76" x14ac:dyDescent="0.25">
      <c r="BV2005"/>
      <c r="BW2005"/>
      <c r="BX2005"/>
    </row>
    <row r="2006" spans="74:76" x14ac:dyDescent="0.25">
      <c r="BV2006"/>
      <c r="BW2006"/>
      <c r="BX2006"/>
    </row>
    <row r="2007" spans="74:76" x14ac:dyDescent="0.25">
      <c r="BV2007"/>
      <c r="BW2007"/>
      <c r="BX2007"/>
    </row>
    <row r="2008" spans="74:76" x14ac:dyDescent="0.25">
      <c r="BV2008"/>
      <c r="BW2008"/>
      <c r="BX2008"/>
    </row>
    <row r="2009" spans="74:76" x14ac:dyDescent="0.25">
      <c r="BV2009"/>
      <c r="BW2009"/>
      <c r="BX2009"/>
    </row>
    <row r="2010" spans="74:76" x14ac:dyDescent="0.25">
      <c r="BV2010"/>
      <c r="BW2010"/>
      <c r="BX2010"/>
    </row>
    <row r="2011" spans="74:76" x14ac:dyDescent="0.25">
      <c r="BV2011"/>
      <c r="BW2011"/>
      <c r="BX2011"/>
    </row>
    <row r="2012" spans="74:76" x14ac:dyDescent="0.25">
      <c r="BV2012"/>
      <c r="BW2012"/>
      <c r="BX2012"/>
    </row>
    <row r="2013" spans="74:76" x14ac:dyDescent="0.25">
      <c r="BV2013"/>
      <c r="BW2013"/>
      <c r="BX2013"/>
    </row>
    <row r="2014" spans="74:76" x14ac:dyDescent="0.25">
      <c r="BV2014"/>
      <c r="BW2014"/>
      <c r="BX2014"/>
    </row>
    <row r="2015" spans="74:76" x14ac:dyDescent="0.25">
      <c r="BV2015"/>
      <c r="BW2015"/>
      <c r="BX2015"/>
    </row>
    <row r="2016" spans="74:76" x14ac:dyDescent="0.25">
      <c r="BV2016"/>
      <c r="BW2016"/>
      <c r="BX2016"/>
    </row>
    <row r="2017" spans="74:76" x14ac:dyDescent="0.25">
      <c r="BV2017"/>
      <c r="BW2017"/>
      <c r="BX2017"/>
    </row>
    <row r="2018" spans="74:76" x14ac:dyDescent="0.25">
      <c r="BV2018"/>
      <c r="BW2018"/>
      <c r="BX2018"/>
    </row>
    <row r="2019" spans="74:76" x14ac:dyDescent="0.25">
      <c r="BV2019"/>
      <c r="BW2019"/>
      <c r="BX2019"/>
    </row>
    <row r="2020" spans="74:76" x14ac:dyDescent="0.25">
      <c r="BV2020"/>
      <c r="BW2020"/>
      <c r="BX2020"/>
    </row>
    <row r="2021" spans="74:76" x14ac:dyDescent="0.25">
      <c r="BV2021"/>
      <c r="BW2021"/>
      <c r="BX2021"/>
    </row>
    <row r="2022" spans="74:76" x14ac:dyDescent="0.25">
      <c r="BV2022"/>
      <c r="BW2022"/>
      <c r="BX2022"/>
    </row>
    <row r="2023" spans="74:76" x14ac:dyDescent="0.25">
      <c r="BV2023"/>
      <c r="BW2023"/>
      <c r="BX2023"/>
    </row>
    <row r="2024" spans="74:76" x14ac:dyDescent="0.25">
      <c r="BV2024"/>
      <c r="BW2024"/>
      <c r="BX2024"/>
    </row>
    <row r="2025" spans="74:76" x14ac:dyDescent="0.25">
      <c r="BV2025"/>
      <c r="BW2025"/>
      <c r="BX2025"/>
    </row>
    <row r="2026" spans="74:76" x14ac:dyDescent="0.25">
      <c r="BV2026"/>
      <c r="BW2026"/>
      <c r="BX2026"/>
    </row>
    <row r="2027" spans="74:76" x14ac:dyDescent="0.25">
      <c r="BV2027"/>
      <c r="BW2027"/>
      <c r="BX2027"/>
    </row>
    <row r="2028" spans="74:76" x14ac:dyDescent="0.25">
      <c r="BV2028"/>
      <c r="BW2028"/>
      <c r="BX2028"/>
    </row>
    <row r="2029" spans="74:76" x14ac:dyDescent="0.25">
      <c r="BV2029"/>
      <c r="BW2029"/>
      <c r="BX2029"/>
    </row>
    <row r="2030" spans="74:76" x14ac:dyDescent="0.25">
      <c r="BV2030"/>
      <c r="BW2030"/>
      <c r="BX2030"/>
    </row>
    <row r="2031" spans="74:76" x14ac:dyDescent="0.25">
      <c r="BV2031"/>
      <c r="BW2031"/>
      <c r="BX2031"/>
    </row>
    <row r="2032" spans="74:76" x14ac:dyDescent="0.25">
      <c r="BV2032"/>
      <c r="BW2032"/>
      <c r="BX2032"/>
    </row>
    <row r="2033" spans="74:76" x14ac:dyDescent="0.25">
      <c r="BV2033"/>
      <c r="BW2033"/>
      <c r="BX2033"/>
    </row>
    <row r="2034" spans="74:76" x14ac:dyDescent="0.25">
      <c r="BV2034"/>
      <c r="BW2034"/>
      <c r="BX2034"/>
    </row>
    <row r="2035" spans="74:76" x14ac:dyDescent="0.25">
      <c r="BV2035"/>
      <c r="BW2035"/>
      <c r="BX2035"/>
    </row>
    <row r="2036" spans="74:76" x14ac:dyDescent="0.25">
      <c r="BV2036"/>
      <c r="BW2036"/>
      <c r="BX2036"/>
    </row>
    <row r="2037" spans="74:76" x14ac:dyDescent="0.25">
      <c r="BV2037"/>
      <c r="BW2037"/>
      <c r="BX2037"/>
    </row>
    <row r="2038" spans="74:76" x14ac:dyDescent="0.25">
      <c r="BV2038"/>
      <c r="BW2038"/>
      <c r="BX2038"/>
    </row>
    <row r="2039" spans="74:76" x14ac:dyDescent="0.25">
      <c r="BV2039"/>
      <c r="BW2039"/>
      <c r="BX2039"/>
    </row>
    <row r="2040" spans="74:76" x14ac:dyDescent="0.25">
      <c r="BV2040"/>
      <c r="BW2040"/>
      <c r="BX2040"/>
    </row>
    <row r="2041" spans="74:76" x14ac:dyDescent="0.25">
      <c r="BV2041"/>
      <c r="BW2041"/>
      <c r="BX2041"/>
    </row>
    <row r="2042" spans="74:76" x14ac:dyDescent="0.25">
      <c r="BV2042"/>
      <c r="BW2042"/>
      <c r="BX2042"/>
    </row>
    <row r="2043" spans="74:76" x14ac:dyDescent="0.25">
      <c r="BV2043"/>
      <c r="BW2043"/>
      <c r="BX2043"/>
    </row>
    <row r="2044" spans="74:76" x14ac:dyDescent="0.25">
      <c r="BV2044"/>
      <c r="BW2044"/>
      <c r="BX2044"/>
    </row>
    <row r="2045" spans="74:76" x14ac:dyDescent="0.25">
      <c r="BV2045"/>
      <c r="BW2045"/>
      <c r="BX2045"/>
    </row>
    <row r="2046" spans="74:76" x14ac:dyDescent="0.25">
      <c r="BV2046"/>
      <c r="BW2046"/>
      <c r="BX2046"/>
    </row>
    <row r="2047" spans="74:76" x14ac:dyDescent="0.25">
      <c r="BV2047"/>
      <c r="BW2047"/>
      <c r="BX2047"/>
    </row>
    <row r="2048" spans="74:76" x14ac:dyDescent="0.25">
      <c r="BV2048"/>
      <c r="BW2048"/>
      <c r="BX2048"/>
    </row>
    <row r="2049" spans="74:76" x14ac:dyDescent="0.25">
      <c r="BV2049"/>
      <c r="BW2049"/>
      <c r="BX2049"/>
    </row>
    <row r="2050" spans="74:76" x14ac:dyDescent="0.25">
      <c r="BV2050"/>
      <c r="BW2050"/>
      <c r="BX2050"/>
    </row>
    <row r="2051" spans="74:76" x14ac:dyDescent="0.25">
      <c r="BV2051"/>
      <c r="BW2051"/>
      <c r="BX2051"/>
    </row>
    <row r="2052" spans="74:76" x14ac:dyDescent="0.25">
      <c r="BV2052"/>
      <c r="BW2052"/>
      <c r="BX2052"/>
    </row>
    <row r="2053" spans="74:76" x14ac:dyDescent="0.25">
      <c r="BV2053"/>
      <c r="BW2053"/>
      <c r="BX2053"/>
    </row>
    <row r="2054" spans="74:76" x14ac:dyDescent="0.25">
      <c r="BV2054"/>
      <c r="BW2054"/>
      <c r="BX2054"/>
    </row>
    <row r="2055" spans="74:76" x14ac:dyDescent="0.25">
      <c r="BV2055"/>
      <c r="BW2055"/>
      <c r="BX2055"/>
    </row>
    <row r="2056" spans="74:76" x14ac:dyDescent="0.25">
      <c r="BV2056"/>
      <c r="BW2056"/>
      <c r="BX2056"/>
    </row>
    <row r="2057" spans="74:76" x14ac:dyDescent="0.25">
      <c r="BV2057"/>
      <c r="BW2057"/>
      <c r="BX2057"/>
    </row>
    <row r="2058" spans="74:76" x14ac:dyDescent="0.25">
      <c r="BV2058"/>
      <c r="BW2058"/>
      <c r="BX2058"/>
    </row>
    <row r="2059" spans="74:76" x14ac:dyDescent="0.25">
      <c r="BV2059"/>
      <c r="BW2059"/>
      <c r="BX2059"/>
    </row>
    <row r="2060" spans="74:76" x14ac:dyDescent="0.25">
      <c r="BV2060"/>
      <c r="BW2060"/>
      <c r="BX2060"/>
    </row>
    <row r="2061" spans="74:76" x14ac:dyDescent="0.25">
      <c r="BV2061"/>
      <c r="BW2061"/>
      <c r="BX2061"/>
    </row>
    <row r="2062" spans="74:76" x14ac:dyDescent="0.25">
      <c r="BV2062"/>
      <c r="BW2062"/>
      <c r="BX2062"/>
    </row>
    <row r="2063" spans="74:76" x14ac:dyDescent="0.25">
      <c r="BV2063"/>
      <c r="BW2063"/>
      <c r="BX2063"/>
    </row>
    <row r="2064" spans="74:76" x14ac:dyDescent="0.25">
      <c r="BV2064"/>
      <c r="BW2064"/>
      <c r="BX2064"/>
    </row>
    <row r="2065" spans="74:76" x14ac:dyDescent="0.25">
      <c r="BV2065"/>
      <c r="BW2065"/>
      <c r="BX2065"/>
    </row>
    <row r="2066" spans="74:76" x14ac:dyDescent="0.25">
      <c r="BV2066"/>
      <c r="BW2066"/>
      <c r="BX2066"/>
    </row>
    <row r="2067" spans="74:76" x14ac:dyDescent="0.25">
      <c r="BV2067"/>
      <c r="BW2067"/>
      <c r="BX2067"/>
    </row>
    <row r="2068" spans="74:76" x14ac:dyDescent="0.25">
      <c r="BV2068"/>
      <c r="BW2068"/>
      <c r="BX2068"/>
    </row>
    <row r="2069" spans="74:76" x14ac:dyDescent="0.25">
      <c r="BV2069"/>
      <c r="BW2069"/>
      <c r="BX2069"/>
    </row>
    <row r="2070" spans="74:76" x14ac:dyDescent="0.25">
      <c r="BV2070"/>
      <c r="BW2070"/>
      <c r="BX2070"/>
    </row>
    <row r="2071" spans="74:76" x14ac:dyDescent="0.25">
      <c r="BV2071"/>
      <c r="BW2071"/>
      <c r="BX2071"/>
    </row>
    <row r="2072" spans="74:76" x14ac:dyDescent="0.25">
      <c r="BV2072"/>
      <c r="BW2072"/>
      <c r="BX2072"/>
    </row>
    <row r="2073" spans="74:76" x14ac:dyDescent="0.25">
      <c r="BV2073"/>
      <c r="BW2073"/>
      <c r="BX2073"/>
    </row>
    <row r="2074" spans="74:76" x14ac:dyDescent="0.25">
      <c r="BV2074"/>
      <c r="BW2074"/>
      <c r="BX2074"/>
    </row>
    <row r="2075" spans="74:76" x14ac:dyDescent="0.25">
      <c r="BV2075"/>
      <c r="BW2075"/>
      <c r="BX2075"/>
    </row>
    <row r="2076" spans="74:76" x14ac:dyDescent="0.25">
      <c r="BV2076"/>
      <c r="BW2076"/>
      <c r="BX2076"/>
    </row>
    <row r="2077" spans="74:76" x14ac:dyDescent="0.25">
      <c r="BV2077"/>
      <c r="BW2077"/>
      <c r="BX2077"/>
    </row>
    <row r="2078" spans="74:76" x14ac:dyDescent="0.25">
      <c r="BV2078"/>
      <c r="BW2078"/>
      <c r="BX2078"/>
    </row>
    <row r="2079" spans="74:76" x14ac:dyDescent="0.25">
      <c r="BV2079"/>
      <c r="BW2079"/>
      <c r="BX2079"/>
    </row>
    <row r="2080" spans="74:76" x14ac:dyDescent="0.25">
      <c r="BV2080"/>
      <c r="BW2080"/>
      <c r="BX2080"/>
    </row>
    <row r="2081" spans="74:76" x14ac:dyDescent="0.25">
      <c r="BV2081"/>
      <c r="BW2081"/>
      <c r="BX2081"/>
    </row>
    <row r="2082" spans="74:76" x14ac:dyDescent="0.25">
      <c r="BV2082"/>
      <c r="BW2082"/>
      <c r="BX2082"/>
    </row>
    <row r="2083" spans="74:76" x14ac:dyDescent="0.25">
      <c r="BV2083"/>
      <c r="BW2083"/>
      <c r="BX2083"/>
    </row>
    <row r="2084" spans="74:76" x14ac:dyDescent="0.25">
      <c r="BV2084"/>
      <c r="BW2084"/>
      <c r="BX2084"/>
    </row>
    <row r="2085" spans="74:76" x14ac:dyDescent="0.25">
      <c r="BV2085"/>
      <c r="BW2085"/>
      <c r="BX2085"/>
    </row>
    <row r="2086" spans="74:76" x14ac:dyDescent="0.25">
      <c r="BV2086"/>
      <c r="BW2086"/>
      <c r="BX2086"/>
    </row>
    <row r="2087" spans="74:76" x14ac:dyDescent="0.25">
      <c r="BV2087"/>
      <c r="BW2087"/>
      <c r="BX2087"/>
    </row>
    <row r="2088" spans="74:76" x14ac:dyDescent="0.25">
      <c r="BV2088"/>
      <c r="BW2088"/>
      <c r="BX2088"/>
    </row>
    <row r="2089" spans="74:76" x14ac:dyDescent="0.25">
      <c r="BV2089"/>
      <c r="BW2089"/>
      <c r="BX2089"/>
    </row>
    <row r="2090" spans="74:76" x14ac:dyDescent="0.25">
      <c r="BV2090"/>
      <c r="BW2090"/>
      <c r="BX2090"/>
    </row>
    <row r="2091" spans="74:76" x14ac:dyDescent="0.25">
      <c r="BV2091"/>
      <c r="BW2091"/>
      <c r="BX2091"/>
    </row>
    <row r="2092" spans="74:76" x14ac:dyDescent="0.25">
      <c r="BV2092"/>
      <c r="BW2092"/>
      <c r="BX2092"/>
    </row>
    <row r="2093" spans="74:76" x14ac:dyDescent="0.25">
      <c r="BV2093"/>
      <c r="BW2093"/>
      <c r="BX2093"/>
    </row>
    <row r="2094" spans="74:76" x14ac:dyDescent="0.25">
      <c r="BV2094"/>
      <c r="BW2094"/>
      <c r="BX2094"/>
    </row>
    <row r="2095" spans="74:76" x14ac:dyDescent="0.25">
      <c r="BV2095"/>
      <c r="BW2095"/>
      <c r="BX2095"/>
    </row>
    <row r="2096" spans="74:76" x14ac:dyDescent="0.25">
      <c r="BV2096"/>
      <c r="BW2096"/>
      <c r="BX2096"/>
    </row>
    <row r="2097" spans="74:76" x14ac:dyDescent="0.25">
      <c r="BV2097"/>
      <c r="BW2097"/>
      <c r="BX2097"/>
    </row>
    <row r="2098" spans="74:76" x14ac:dyDescent="0.25">
      <c r="BV2098"/>
      <c r="BW2098"/>
      <c r="BX2098"/>
    </row>
    <row r="2099" spans="74:76" x14ac:dyDescent="0.25">
      <c r="BV2099"/>
      <c r="BW2099"/>
      <c r="BX2099"/>
    </row>
    <row r="2100" spans="74:76" x14ac:dyDescent="0.25">
      <c r="BV2100"/>
      <c r="BW2100"/>
      <c r="BX2100"/>
    </row>
    <row r="2101" spans="74:76" x14ac:dyDescent="0.25">
      <c r="BV2101"/>
      <c r="BW2101"/>
      <c r="BX2101"/>
    </row>
    <row r="2102" spans="74:76" x14ac:dyDescent="0.25">
      <c r="BV2102"/>
      <c r="BW2102"/>
      <c r="BX2102"/>
    </row>
    <row r="2103" spans="74:76" x14ac:dyDescent="0.25">
      <c r="BV2103"/>
      <c r="BW2103"/>
      <c r="BX2103"/>
    </row>
    <row r="2104" spans="74:76" x14ac:dyDescent="0.25">
      <c r="BV2104"/>
      <c r="BW2104"/>
      <c r="BX2104"/>
    </row>
    <row r="2105" spans="74:76" x14ac:dyDescent="0.25">
      <c r="BV2105"/>
      <c r="BW2105"/>
      <c r="BX2105"/>
    </row>
    <row r="2106" spans="74:76" x14ac:dyDescent="0.25">
      <c r="BV2106"/>
      <c r="BW2106"/>
      <c r="BX2106"/>
    </row>
    <row r="2107" spans="74:76" x14ac:dyDescent="0.25">
      <c r="BV2107"/>
      <c r="BW2107"/>
      <c r="BX2107"/>
    </row>
    <row r="2108" spans="74:76" x14ac:dyDescent="0.25">
      <c r="BV2108"/>
      <c r="BW2108"/>
      <c r="BX2108"/>
    </row>
    <row r="2109" spans="74:76" x14ac:dyDescent="0.25">
      <c r="BV2109"/>
      <c r="BW2109"/>
      <c r="BX2109"/>
    </row>
    <row r="2110" spans="74:76" x14ac:dyDescent="0.25">
      <c r="BV2110"/>
      <c r="BW2110"/>
      <c r="BX2110"/>
    </row>
    <row r="2111" spans="74:76" x14ac:dyDescent="0.25">
      <c r="BV2111"/>
      <c r="BW2111"/>
      <c r="BX2111"/>
    </row>
    <row r="2112" spans="74:76" x14ac:dyDescent="0.25">
      <c r="BV2112"/>
      <c r="BW2112"/>
      <c r="BX2112"/>
    </row>
    <row r="2113" spans="74:76" x14ac:dyDescent="0.25">
      <c r="BV2113"/>
      <c r="BW2113"/>
      <c r="BX2113"/>
    </row>
    <row r="2114" spans="74:76" x14ac:dyDescent="0.25">
      <c r="BV2114"/>
      <c r="BW2114"/>
      <c r="BX2114"/>
    </row>
    <row r="2115" spans="74:76" x14ac:dyDescent="0.25">
      <c r="BV2115"/>
      <c r="BW2115"/>
      <c r="BX2115"/>
    </row>
    <row r="2116" spans="74:76" x14ac:dyDescent="0.25">
      <c r="BV2116"/>
      <c r="BW2116"/>
      <c r="BX2116"/>
    </row>
    <row r="2117" spans="74:76" x14ac:dyDescent="0.25">
      <c r="BV2117"/>
      <c r="BW2117"/>
      <c r="BX2117"/>
    </row>
    <row r="2118" spans="74:76" x14ac:dyDescent="0.25">
      <c r="BV2118"/>
      <c r="BW2118"/>
      <c r="BX2118"/>
    </row>
    <row r="2119" spans="74:76" x14ac:dyDescent="0.25">
      <c r="BV2119"/>
      <c r="BW2119"/>
      <c r="BX2119"/>
    </row>
    <row r="2120" spans="74:76" x14ac:dyDescent="0.25">
      <c r="BV2120"/>
      <c r="BW2120"/>
      <c r="BX2120"/>
    </row>
    <row r="2121" spans="74:76" x14ac:dyDescent="0.25">
      <c r="BV2121"/>
      <c r="BW2121"/>
      <c r="BX2121"/>
    </row>
    <row r="2122" spans="74:76" x14ac:dyDescent="0.25">
      <c r="BV2122"/>
      <c r="BW2122"/>
      <c r="BX2122"/>
    </row>
    <row r="2123" spans="74:76" x14ac:dyDescent="0.25">
      <c r="BV2123"/>
      <c r="BW2123"/>
      <c r="BX2123"/>
    </row>
    <row r="2124" spans="74:76" x14ac:dyDescent="0.25">
      <c r="BV2124"/>
      <c r="BW2124"/>
      <c r="BX2124"/>
    </row>
    <row r="2125" spans="74:76" x14ac:dyDescent="0.25">
      <c r="BV2125"/>
      <c r="BW2125"/>
      <c r="BX2125"/>
    </row>
    <row r="2126" spans="74:76" x14ac:dyDescent="0.25">
      <c r="BV2126"/>
      <c r="BW2126"/>
      <c r="BX2126"/>
    </row>
    <row r="2127" spans="74:76" x14ac:dyDescent="0.25">
      <c r="BV2127"/>
      <c r="BW2127"/>
      <c r="BX2127"/>
    </row>
    <row r="2128" spans="74:76" x14ac:dyDescent="0.25">
      <c r="BV2128"/>
      <c r="BW2128"/>
      <c r="BX2128"/>
    </row>
    <row r="2129" spans="74:76" x14ac:dyDescent="0.25">
      <c r="BV2129"/>
      <c r="BW2129"/>
      <c r="BX2129"/>
    </row>
    <row r="2130" spans="74:76" x14ac:dyDescent="0.25">
      <c r="BV2130"/>
      <c r="BW2130"/>
      <c r="BX2130"/>
    </row>
    <row r="2131" spans="74:76" x14ac:dyDescent="0.25">
      <c r="BV2131"/>
      <c r="BW2131"/>
      <c r="BX2131"/>
    </row>
    <row r="2132" spans="74:76" x14ac:dyDescent="0.25">
      <c r="BV2132"/>
      <c r="BW2132"/>
      <c r="BX2132"/>
    </row>
    <row r="2133" spans="74:76" x14ac:dyDescent="0.25">
      <c r="BV2133"/>
      <c r="BW2133"/>
      <c r="BX2133"/>
    </row>
    <row r="2134" spans="74:76" x14ac:dyDescent="0.25">
      <c r="BV2134"/>
      <c r="BW2134"/>
      <c r="BX2134"/>
    </row>
    <row r="2135" spans="74:76" x14ac:dyDescent="0.25">
      <c r="BV2135"/>
      <c r="BW2135"/>
      <c r="BX2135"/>
    </row>
    <row r="2136" spans="74:76" x14ac:dyDescent="0.25">
      <c r="BV2136"/>
      <c r="BW2136"/>
      <c r="BX2136"/>
    </row>
    <row r="2137" spans="74:76" x14ac:dyDescent="0.25">
      <c r="BV2137"/>
      <c r="BW2137"/>
      <c r="BX2137"/>
    </row>
    <row r="2138" spans="74:76" x14ac:dyDescent="0.25">
      <c r="BV2138"/>
      <c r="BW2138"/>
      <c r="BX2138"/>
    </row>
    <row r="2139" spans="74:76" x14ac:dyDescent="0.25">
      <c r="BV2139"/>
      <c r="BW2139"/>
      <c r="BX2139"/>
    </row>
    <row r="2140" spans="74:76" x14ac:dyDescent="0.25">
      <c r="BV2140"/>
      <c r="BW2140"/>
      <c r="BX2140"/>
    </row>
    <row r="2141" spans="74:76" x14ac:dyDescent="0.25">
      <c r="BV2141"/>
      <c r="BW2141"/>
      <c r="BX2141"/>
    </row>
    <row r="2142" spans="74:76" x14ac:dyDescent="0.25">
      <c r="BV2142"/>
      <c r="BW2142"/>
      <c r="BX2142"/>
    </row>
    <row r="2143" spans="74:76" x14ac:dyDescent="0.25">
      <c r="BV2143"/>
      <c r="BW2143"/>
      <c r="BX2143"/>
    </row>
    <row r="2144" spans="74:76" x14ac:dyDescent="0.25">
      <c r="BV2144"/>
      <c r="BW2144"/>
      <c r="BX2144"/>
    </row>
    <row r="2145" spans="74:76" x14ac:dyDescent="0.25">
      <c r="BV2145"/>
      <c r="BW2145"/>
      <c r="BX2145"/>
    </row>
    <row r="2146" spans="74:76" x14ac:dyDescent="0.25">
      <c r="BV2146"/>
      <c r="BW2146"/>
      <c r="BX2146"/>
    </row>
    <row r="2147" spans="74:76" x14ac:dyDescent="0.25">
      <c r="BV2147"/>
      <c r="BW2147"/>
      <c r="BX2147"/>
    </row>
    <row r="2148" spans="74:76" x14ac:dyDescent="0.25">
      <c r="BV2148"/>
      <c r="BW2148"/>
      <c r="BX2148"/>
    </row>
    <row r="2149" spans="74:76" x14ac:dyDescent="0.25">
      <c r="BV2149"/>
      <c r="BW2149"/>
      <c r="BX2149"/>
    </row>
    <row r="2150" spans="74:76" x14ac:dyDescent="0.25">
      <c r="BV2150"/>
      <c r="BW2150"/>
      <c r="BX2150"/>
    </row>
    <row r="2151" spans="74:76" x14ac:dyDescent="0.25">
      <c r="BV2151"/>
      <c r="BW2151"/>
      <c r="BX2151"/>
    </row>
    <row r="2152" spans="74:76" x14ac:dyDescent="0.25">
      <c r="BV2152"/>
      <c r="BW2152"/>
      <c r="BX2152"/>
    </row>
    <row r="2153" spans="74:76" x14ac:dyDescent="0.25">
      <c r="BV2153"/>
      <c r="BW2153"/>
      <c r="BX2153"/>
    </row>
    <row r="2154" spans="74:76" x14ac:dyDescent="0.25">
      <c r="BV2154"/>
      <c r="BW2154"/>
      <c r="BX2154"/>
    </row>
    <row r="2155" spans="74:76" x14ac:dyDescent="0.25">
      <c r="BV2155"/>
      <c r="BW2155"/>
      <c r="BX2155"/>
    </row>
    <row r="2156" spans="74:76" x14ac:dyDescent="0.25">
      <c r="BV2156"/>
      <c r="BW2156"/>
      <c r="BX2156"/>
    </row>
    <row r="2157" spans="74:76" x14ac:dyDescent="0.25">
      <c r="BV2157"/>
      <c r="BW2157"/>
      <c r="BX2157"/>
    </row>
    <row r="2158" spans="74:76" x14ac:dyDescent="0.25">
      <c r="BV2158"/>
      <c r="BW2158"/>
      <c r="BX2158"/>
    </row>
    <row r="2159" spans="74:76" x14ac:dyDescent="0.25">
      <c r="BV2159"/>
      <c r="BW2159"/>
      <c r="BX2159"/>
    </row>
    <row r="2160" spans="74:76" x14ac:dyDescent="0.25">
      <c r="BV2160"/>
      <c r="BW2160"/>
      <c r="BX2160"/>
    </row>
    <row r="2161" spans="74:76" x14ac:dyDescent="0.25">
      <c r="BV2161"/>
      <c r="BW2161"/>
      <c r="BX2161"/>
    </row>
    <row r="2162" spans="74:76" x14ac:dyDescent="0.25">
      <c r="BV2162"/>
      <c r="BW2162"/>
      <c r="BX2162"/>
    </row>
    <row r="2163" spans="74:76" x14ac:dyDescent="0.25">
      <c r="BV2163"/>
      <c r="BW2163"/>
      <c r="BX2163"/>
    </row>
    <row r="2164" spans="74:76" x14ac:dyDescent="0.25">
      <c r="BV2164"/>
      <c r="BW2164"/>
      <c r="BX2164"/>
    </row>
    <row r="2165" spans="74:76" x14ac:dyDescent="0.25">
      <c r="BV2165"/>
      <c r="BW2165"/>
      <c r="BX2165"/>
    </row>
    <row r="2166" spans="74:76" x14ac:dyDescent="0.25">
      <c r="BV2166"/>
      <c r="BW2166"/>
      <c r="BX2166"/>
    </row>
    <row r="2167" spans="74:76" x14ac:dyDescent="0.25">
      <c r="BV2167"/>
      <c r="BW2167"/>
      <c r="BX2167"/>
    </row>
    <row r="2168" spans="74:76" x14ac:dyDescent="0.25">
      <c r="BV2168"/>
      <c r="BW2168"/>
      <c r="BX2168"/>
    </row>
    <row r="2169" spans="74:76" x14ac:dyDescent="0.25">
      <c r="BV2169"/>
      <c r="BW2169"/>
      <c r="BX2169"/>
    </row>
    <row r="2170" spans="74:76" x14ac:dyDescent="0.25">
      <c r="BV2170"/>
      <c r="BW2170"/>
      <c r="BX2170"/>
    </row>
    <row r="2171" spans="74:76" x14ac:dyDescent="0.25">
      <c r="BV2171"/>
      <c r="BW2171"/>
      <c r="BX2171"/>
    </row>
    <row r="2172" spans="74:76" x14ac:dyDescent="0.25">
      <c r="BV2172"/>
      <c r="BW2172"/>
      <c r="BX2172"/>
    </row>
    <row r="2173" spans="74:76" x14ac:dyDescent="0.25">
      <c r="BV2173"/>
      <c r="BW2173"/>
      <c r="BX2173"/>
    </row>
    <row r="2174" spans="74:76" x14ac:dyDescent="0.25">
      <c r="BV2174"/>
      <c r="BW2174"/>
      <c r="BX2174"/>
    </row>
    <row r="2175" spans="74:76" x14ac:dyDescent="0.25">
      <c r="BV2175"/>
      <c r="BW2175"/>
      <c r="BX2175"/>
    </row>
    <row r="2176" spans="74:76" x14ac:dyDescent="0.25">
      <c r="BV2176"/>
      <c r="BW2176"/>
      <c r="BX2176"/>
    </row>
    <row r="2177" spans="74:76" x14ac:dyDescent="0.25">
      <c r="BV2177"/>
      <c r="BW2177"/>
      <c r="BX2177"/>
    </row>
    <row r="2178" spans="74:76" x14ac:dyDescent="0.25">
      <c r="BV2178"/>
      <c r="BW2178"/>
      <c r="BX2178"/>
    </row>
    <row r="2179" spans="74:76" x14ac:dyDescent="0.25">
      <c r="BV2179"/>
      <c r="BW2179"/>
      <c r="BX2179"/>
    </row>
    <row r="2180" spans="74:76" x14ac:dyDescent="0.25">
      <c r="BV2180"/>
      <c r="BW2180"/>
      <c r="BX2180"/>
    </row>
    <row r="2181" spans="74:76" x14ac:dyDescent="0.25">
      <c r="BV2181"/>
      <c r="BW2181"/>
      <c r="BX2181"/>
    </row>
    <row r="2182" spans="74:76" x14ac:dyDescent="0.25">
      <c r="BV2182"/>
      <c r="BW2182"/>
      <c r="BX2182"/>
    </row>
    <row r="2183" spans="74:76" x14ac:dyDescent="0.25">
      <c r="BV2183"/>
      <c r="BW2183"/>
      <c r="BX2183"/>
    </row>
    <row r="2184" spans="74:76" x14ac:dyDescent="0.25">
      <c r="BV2184"/>
      <c r="BW2184"/>
      <c r="BX2184"/>
    </row>
    <row r="2185" spans="74:76" x14ac:dyDescent="0.25">
      <c r="BV2185"/>
      <c r="BW2185"/>
      <c r="BX2185"/>
    </row>
    <row r="2186" spans="74:76" x14ac:dyDescent="0.25">
      <c r="BV2186"/>
      <c r="BW2186"/>
      <c r="BX2186"/>
    </row>
    <row r="2187" spans="74:76" x14ac:dyDescent="0.25">
      <c r="BV2187"/>
      <c r="BW2187"/>
      <c r="BX2187"/>
    </row>
    <row r="2188" spans="74:76" x14ac:dyDescent="0.25">
      <c r="BV2188"/>
      <c r="BW2188"/>
      <c r="BX2188"/>
    </row>
    <row r="2189" spans="74:76" x14ac:dyDescent="0.25">
      <c r="BV2189"/>
      <c r="BW2189"/>
      <c r="BX2189"/>
    </row>
    <row r="2190" spans="74:76" x14ac:dyDescent="0.25">
      <c r="BV2190"/>
      <c r="BW2190"/>
      <c r="BX2190"/>
    </row>
    <row r="2191" spans="74:76" x14ac:dyDescent="0.25">
      <c r="BV2191"/>
      <c r="BW2191"/>
      <c r="BX2191"/>
    </row>
    <row r="2192" spans="74:76" x14ac:dyDescent="0.25">
      <c r="BV2192"/>
      <c r="BW2192"/>
      <c r="BX2192"/>
    </row>
    <row r="2193" spans="74:76" x14ac:dyDescent="0.25">
      <c r="BV2193"/>
      <c r="BW2193"/>
      <c r="BX2193"/>
    </row>
    <row r="2194" spans="74:76" x14ac:dyDescent="0.25">
      <c r="BV2194"/>
      <c r="BW2194"/>
      <c r="BX2194"/>
    </row>
    <row r="2195" spans="74:76" x14ac:dyDescent="0.25">
      <c r="BV2195"/>
      <c r="BW2195"/>
      <c r="BX2195"/>
    </row>
    <row r="2196" spans="74:76" x14ac:dyDescent="0.25">
      <c r="BV2196"/>
      <c r="BW2196"/>
      <c r="BX2196"/>
    </row>
    <row r="2197" spans="74:76" x14ac:dyDescent="0.25">
      <c r="BV2197"/>
      <c r="BW2197"/>
      <c r="BX2197"/>
    </row>
    <row r="2198" spans="74:76" x14ac:dyDescent="0.25">
      <c r="BV2198"/>
      <c r="BW2198"/>
      <c r="BX2198"/>
    </row>
    <row r="2199" spans="74:76" x14ac:dyDescent="0.25">
      <c r="BV2199"/>
      <c r="BW2199"/>
      <c r="BX2199"/>
    </row>
    <row r="2200" spans="74:76" x14ac:dyDescent="0.25">
      <c r="BV2200"/>
      <c r="BW2200"/>
      <c r="BX2200"/>
    </row>
    <row r="2201" spans="74:76" x14ac:dyDescent="0.25">
      <c r="BV2201"/>
      <c r="BW2201"/>
      <c r="BX2201"/>
    </row>
    <row r="2202" spans="74:76" x14ac:dyDescent="0.25">
      <c r="BV2202"/>
      <c r="BW2202"/>
      <c r="BX2202"/>
    </row>
    <row r="2203" spans="74:76" x14ac:dyDescent="0.25">
      <c r="BV2203"/>
      <c r="BW2203"/>
      <c r="BX2203"/>
    </row>
    <row r="2204" spans="74:76" x14ac:dyDescent="0.25">
      <c r="BV2204"/>
      <c r="BW2204"/>
      <c r="BX2204"/>
    </row>
    <row r="2205" spans="74:76" x14ac:dyDescent="0.25">
      <c r="BV2205"/>
      <c r="BW2205"/>
      <c r="BX2205"/>
    </row>
    <row r="2206" spans="74:76" x14ac:dyDescent="0.25">
      <c r="BV2206"/>
      <c r="BW2206"/>
      <c r="BX2206"/>
    </row>
    <row r="2207" spans="74:76" x14ac:dyDescent="0.25">
      <c r="BV2207"/>
      <c r="BW2207"/>
      <c r="BX2207"/>
    </row>
    <row r="2208" spans="74:76" x14ac:dyDescent="0.25">
      <c r="BV2208"/>
      <c r="BW2208"/>
      <c r="BX2208"/>
    </row>
    <row r="2209" spans="74:76" x14ac:dyDescent="0.25">
      <c r="BV2209"/>
      <c r="BW2209"/>
      <c r="BX2209"/>
    </row>
    <row r="2210" spans="74:76" x14ac:dyDescent="0.25">
      <c r="BV2210"/>
      <c r="BW2210"/>
      <c r="BX2210"/>
    </row>
    <row r="2211" spans="74:76" x14ac:dyDescent="0.25">
      <c r="BV2211"/>
      <c r="BW2211"/>
      <c r="BX2211"/>
    </row>
    <row r="2212" spans="74:76" x14ac:dyDescent="0.25">
      <c r="BV2212"/>
      <c r="BW2212"/>
      <c r="BX2212"/>
    </row>
    <row r="2213" spans="74:76" x14ac:dyDescent="0.25">
      <c r="BV2213"/>
      <c r="BW2213"/>
      <c r="BX2213"/>
    </row>
    <row r="2214" spans="74:76" x14ac:dyDescent="0.25">
      <c r="BV2214"/>
      <c r="BW2214"/>
      <c r="BX2214"/>
    </row>
    <row r="2215" spans="74:76" x14ac:dyDescent="0.25">
      <c r="BV2215"/>
      <c r="BW2215"/>
      <c r="BX2215"/>
    </row>
    <row r="2216" spans="74:76" x14ac:dyDescent="0.25">
      <c r="BV2216"/>
      <c r="BW2216"/>
      <c r="BX2216"/>
    </row>
    <row r="2217" spans="74:76" x14ac:dyDescent="0.25">
      <c r="BV2217"/>
      <c r="BW2217"/>
      <c r="BX2217"/>
    </row>
    <row r="2218" spans="74:76" x14ac:dyDescent="0.25">
      <c r="BV2218"/>
      <c r="BW2218"/>
      <c r="BX2218"/>
    </row>
    <row r="2219" spans="74:76" x14ac:dyDescent="0.25">
      <c r="BV2219"/>
      <c r="BW2219"/>
      <c r="BX2219"/>
    </row>
    <row r="2220" spans="74:76" x14ac:dyDescent="0.25">
      <c r="BV2220"/>
      <c r="BW2220"/>
      <c r="BX2220"/>
    </row>
    <row r="2221" spans="74:76" x14ac:dyDescent="0.25">
      <c r="BV2221"/>
      <c r="BW2221"/>
      <c r="BX2221"/>
    </row>
    <row r="2222" spans="74:76" x14ac:dyDescent="0.25">
      <c r="BV2222"/>
      <c r="BW2222"/>
      <c r="BX2222"/>
    </row>
    <row r="2223" spans="74:76" x14ac:dyDescent="0.25">
      <c r="BV2223"/>
      <c r="BW2223"/>
      <c r="BX2223"/>
    </row>
    <row r="2224" spans="74:76" x14ac:dyDescent="0.25">
      <c r="BV2224"/>
      <c r="BW2224"/>
      <c r="BX2224"/>
    </row>
    <row r="2225" spans="74:76" x14ac:dyDescent="0.25">
      <c r="BV2225"/>
      <c r="BW2225"/>
      <c r="BX2225"/>
    </row>
    <row r="2226" spans="74:76" x14ac:dyDescent="0.25">
      <c r="BV2226"/>
      <c r="BW2226"/>
      <c r="BX2226"/>
    </row>
    <row r="2227" spans="74:76" x14ac:dyDescent="0.25">
      <c r="BV2227"/>
      <c r="BW2227"/>
      <c r="BX2227"/>
    </row>
    <row r="2228" spans="74:76" x14ac:dyDescent="0.25">
      <c r="BV2228"/>
      <c r="BW2228"/>
      <c r="BX2228"/>
    </row>
    <row r="2229" spans="74:76" x14ac:dyDescent="0.25">
      <c r="BV2229"/>
      <c r="BW2229"/>
      <c r="BX2229"/>
    </row>
    <row r="2230" spans="74:76" x14ac:dyDescent="0.25">
      <c r="BV2230"/>
      <c r="BW2230"/>
      <c r="BX2230"/>
    </row>
    <row r="2231" spans="74:76" x14ac:dyDescent="0.25">
      <c r="BV2231"/>
      <c r="BW2231"/>
      <c r="BX2231"/>
    </row>
    <row r="2232" spans="74:76" x14ac:dyDescent="0.25">
      <c r="BV2232"/>
      <c r="BW2232"/>
      <c r="BX2232"/>
    </row>
    <row r="2233" spans="74:76" x14ac:dyDescent="0.25">
      <c r="BV2233"/>
      <c r="BW2233"/>
      <c r="BX2233"/>
    </row>
    <row r="2234" spans="74:76" x14ac:dyDescent="0.25">
      <c r="BV2234"/>
      <c r="BW2234"/>
      <c r="BX2234"/>
    </row>
    <row r="2235" spans="74:76" x14ac:dyDescent="0.25">
      <c r="BV2235"/>
      <c r="BW2235"/>
      <c r="BX2235"/>
    </row>
    <row r="2236" spans="74:76" x14ac:dyDescent="0.25">
      <c r="BV2236"/>
      <c r="BW2236"/>
      <c r="BX2236"/>
    </row>
    <row r="2237" spans="74:76" x14ac:dyDescent="0.25">
      <c r="BV2237"/>
      <c r="BW2237"/>
      <c r="BX2237"/>
    </row>
    <row r="2238" spans="74:76" x14ac:dyDescent="0.25">
      <c r="BV2238"/>
      <c r="BW2238"/>
      <c r="BX2238"/>
    </row>
    <row r="2239" spans="74:76" x14ac:dyDescent="0.25">
      <c r="BV2239"/>
      <c r="BW2239"/>
      <c r="BX2239"/>
    </row>
    <row r="2240" spans="74:76" x14ac:dyDescent="0.25">
      <c r="BV2240"/>
      <c r="BW2240"/>
      <c r="BX2240"/>
    </row>
    <row r="2241" spans="74:76" x14ac:dyDescent="0.25">
      <c r="BV2241"/>
      <c r="BW2241"/>
      <c r="BX2241"/>
    </row>
    <row r="2242" spans="74:76" x14ac:dyDescent="0.25">
      <c r="BV2242"/>
      <c r="BW2242"/>
      <c r="BX2242"/>
    </row>
    <row r="2243" spans="74:76" x14ac:dyDescent="0.25">
      <c r="BV2243"/>
      <c r="BW2243"/>
      <c r="BX2243"/>
    </row>
    <row r="2244" spans="74:76" x14ac:dyDescent="0.25">
      <c r="BV2244"/>
      <c r="BW2244"/>
      <c r="BX2244"/>
    </row>
    <row r="2245" spans="74:76" x14ac:dyDescent="0.25">
      <c r="BV2245"/>
      <c r="BW2245"/>
      <c r="BX2245"/>
    </row>
    <row r="2246" spans="74:76" x14ac:dyDescent="0.25">
      <c r="BV2246"/>
      <c r="BW2246"/>
      <c r="BX2246"/>
    </row>
    <row r="2247" spans="74:76" x14ac:dyDescent="0.25">
      <c r="BV2247"/>
      <c r="BW2247"/>
      <c r="BX2247"/>
    </row>
    <row r="2248" spans="74:76" x14ac:dyDescent="0.25">
      <c r="BV2248"/>
      <c r="BW2248"/>
      <c r="BX2248"/>
    </row>
    <row r="2249" spans="74:76" x14ac:dyDescent="0.25">
      <c r="BV2249"/>
      <c r="BW2249"/>
      <c r="BX2249"/>
    </row>
    <row r="2250" spans="74:76" x14ac:dyDescent="0.25">
      <c r="BV2250"/>
      <c r="BW2250"/>
      <c r="BX2250"/>
    </row>
    <row r="2251" spans="74:76" x14ac:dyDescent="0.25">
      <c r="BV2251"/>
      <c r="BW2251"/>
      <c r="BX2251"/>
    </row>
    <row r="2252" spans="74:76" x14ac:dyDescent="0.25">
      <c r="BV2252"/>
      <c r="BW2252"/>
      <c r="BX2252"/>
    </row>
    <row r="2253" spans="74:76" x14ac:dyDescent="0.25">
      <c r="BV2253"/>
      <c r="BW2253"/>
      <c r="BX2253"/>
    </row>
    <row r="2254" spans="74:76" x14ac:dyDescent="0.25">
      <c r="BV2254"/>
      <c r="BW2254"/>
      <c r="BX2254"/>
    </row>
    <row r="2255" spans="74:76" x14ac:dyDescent="0.25">
      <c r="BV2255"/>
      <c r="BW2255"/>
      <c r="BX2255"/>
    </row>
    <row r="2256" spans="74:76" x14ac:dyDescent="0.25">
      <c r="BV2256"/>
      <c r="BW2256"/>
      <c r="BX2256"/>
    </row>
    <row r="2257" spans="74:76" x14ac:dyDescent="0.25">
      <c r="BV2257"/>
      <c r="BW2257"/>
      <c r="BX2257"/>
    </row>
    <row r="2258" spans="74:76" x14ac:dyDescent="0.25">
      <c r="BV2258"/>
      <c r="BW2258"/>
      <c r="BX2258"/>
    </row>
    <row r="2259" spans="74:76" x14ac:dyDescent="0.25">
      <c r="BV2259"/>
      <c r="BW2259"/>
      <c r="BX2259"/>
    </row>
    <row r="2260" spans="74:76" x14ac:dyDescent="0.25">
      <c r="BV2260"/>
      <c r="BW2260"/>
      <c r="BX2260"/>
    </row>
    <row r="2261" spans="74:76" x14ac:dyDescent="0.25">
      <c r="BV2261"/>
      <c r="BW2261"/>
      <c r="BX2261"/>
    </row>
    <row r="2262" spans="74:76" x14ac:dyDescent="0.25">
      <c r="BV2262"/>
      <c r="BW2262"/>
      <c r="BX2262"/>
    </row>
    <row r="2263" spans="74:76" x14ac:dyDescent="0.25">
      <c r="BV2263"/>
      <c r="BW2263"/>
      <c r="BX2263"/>
    </row>
    <row r="2264" spans="74:76" x14ac:dyDescent="0.25">
      <c r="BV2264"/>
      <c r="BW2264"/>
      <c r="BX2264"/>
    </row>
    <row r="2265" spans="74:76" x14ac:dyDescent="0.25">
      <c r="BV2265"/>
      <c r="BW2265"/>
      <c r="BX2265"/>
    </row>
    <row r="2266" spans="74:76" x14ac:dyDescent="0.25">
      <c r="BV2266"/>
      <c r="BW2266"/>
      <c r="BX2266"/>
    </row>
    <row r="2267" spans="74:76" x14ac:dyDescent="0.25">
      <c r="BV2267"/>
      <c r="BW2267"/>
      <c r="BX2267"/>
    </row>
    <row r="2268" spans="74:76" x14ac:dyDescent="0.25">
      <c r="BV2268"/>
      <c r="BW2268"/>
      <c r="BX2268"/>
    </row>
    <row r="2269" spans="74:76" x14ac:dyDescent="0.25">
      <c r="BV2269"/>
      <c r="BW2269"/>
      <c r="BX2269"/>
    </row>
    <row r="2270" spans="74:76" x14ac:dyDescent="0.25">
      <c r="BV2270"/>
      <c r="BW2270"/>
      <c r="BX2270"/>
    </row>
    <row r="2271" spans="74:76" x14ac:dyDescent="0.25">
      <c r="BV2271"/>
      <c r="BW2271"/>
      <c r="BX2271"/>
    </row>
    <row r="2272" spans="74:76" x14ac:dyDescent="0.25">
      <c r="BV2272"/>
      <c r="BW2272"/>
      <c r="BX2272"/>
    </row>
    <row r="2273" spans="74:76" x14ac:dyDescent="0.25">
      <c r="BV2273"/>
      <c r="BW2273"/>
      <c r="BX2273"/>
    </row>
    <row r="2274" spans="74:76" x14ac:dyDescent="0.25">
      <c r="BV2274"/>
      <c r="BW2274"/>
      <c r="BX2274"/>
    </row>
    <row r="2275" spans="74:76" x14ac:dyDescent="0.25">
      <c r="BV2275"/>
      <c r="BW2275"/>
      <c r="BX2275"/>
    </row>
    <row r="2276" spans="74:76" x14ac:dyDescent="0.25">
      <c r="BV2276"/>
      <c r="BW2276"/>
      <c r="BX2276"/>
    </row>
    <row r="2277" spans="74:76" x14ac:dyDescent="0.25">
      <c r="BV2277"/>
      <c r="BW2277"/>
      <c r="BX2277"/>
    </row>
    <row r="2278" spans="74:76" x14ac:dyDescent="0.25">
      <c r="BV2278"/>
      <c r="BW2278"/>
      <c r="BX2278"/>
    </row>
    <row r="2279" spans="74:76" x14ac:dyDescent="0.25">
      <c r="BV2279"/>
      <c r="BW2279"/>
      <c r="BX2279"/>
    </row>
    <row r="2280" spans="74:76" x14ac:dyDescent="0.25">
      <c r="BV2280"/>
      <c r="BW2280"/>
      <c r="BX2280"/>
    </row>
    <row r="2281" spans="74:76" x14ac:dyDescent="0.25">
      <c r="BV2281"/>
      <c r="BW2281"/>
      <c r="BX2281"/>
    </row>
    <row r="2282" spans="74:76" x14ac:dyDescent="0.25">
      <c r="BV2282"/>
      <c r="BW2282"/>
      <c r="BX2282"/>
    </row>
    <row r="2283" spans="74:76" x14ac:dyDescent="0.25">
      <c r="BV2283"/>
      <c r="BW2283"/>
      <c r="BX2283"/>
    </row>
    <row r="2284" spans="74:76" x14ac:dyDescent="0.25">
      <c r="BV2284"/>
      <c r="BW2284"/>
      <c r="BX2284"/>
    </row>
    <row r="2285" spans="74:76" x14ac:dyDescent="0.25">
      <c r="BV2285"/>
      <c r="BW2285"/>
      <c r="BX2285"/>
    </row>
    <row r="2286" spans="74:76" x14ac:dyDescent="0.25">
      <c r="BV2286"/>
      <c r="BW2286"/>
      <c r="BX2286"/>
    </row>
    <row r="2287" spans="74:76" x14ac:dyDescent="0.25">
      <c r="BV2287"/>
      <c r="BW2287"/>
      <c r="BX2287"/>
    </row>
    <row r="2288" spans="74:76" x14ac:dyDescent="0.25">
      <c r="BV2288"/>
      <c r="BW2288"/>
      <c r="BX2288"/>
    </row>
    <row r="2289" spans="74:76" x14ac:dyDescent="0.25">
      <c r="BV2289"/>
      <c r="BW2289"/>
      <c r="BX2289"/>
    </row>
    <row r="2290" spans="74:76" x14ac:dyDescent="0.25">
      <c r="BV2290"/>
      <c r="BW2290"/>
      <c r="BX2290"/>
    </row>
    <row r="2291" spans="74:76" x14ac:dyDescent="0.25">
      <c r="BV2291"/>
      <c r="BW2291"/>
      <c r="BX2291"/>
    </row>
    <row r="2292" spans="74:76" x14ac:dyDescent="0.25">
      <c r="BV2292"/>
      <c r="BW2292"/>
      <c r="BX2292"/>
    </row>
    <row r="2293" spans="74:76" x14ac:dyDescent="0.25">
      <c r="BV2293"/>
      <c r="BW2293"/>
      <c r="BX2293"/>
    </row>
    <row r="2294" spans="74:76" x14ac:dyDescent="0.25">
      <c r="BV2294"/>
      <c r="BW2294"/>
      <c r="BX2294"/>
    </row>
    <row r="2295" spans="74:76" x14ac:dyDescent="0.25">
      <c r="BV2295"/>
      <c r="BW2295"/>
      <c r="BX2295"/>
    </row>
    <row r="2296" spans="74:76" x14ac:dyDescent="0.25">
      <c r="BV2296"/>
      <c r="BW2296"/>
      <c r="BX2296"/>
    </row>
    <row r="2297" spans="74:76" x14ac:dyDescent="0.25">
      <c r="BV2297"/>
      <c r="BW2297"/>
      <c r="BX2297"/>
    </row>
    <row r="2298" spans="74:76" x14ac:dyDescent="0.25">
      <c r="BV2298"/>
      <c r="BW2298"/>
      <c r="BX2298"/>
    </row>
    <row r="2299" spans="74:76" x14ac:dyDescent="0.25">
      <c r="BV2299"/>
      <c r="BW2299"/>
      <c r="BX2299"/>
    </row>
    <row r="2300" spans="74:76" x14ac:dyDescent="0.25">
      <c r="BV2300"/>
      <c r="BW2300"/>
      <c r="BX2300"/>
    </row>
    <row r="2301" spans="74:76" x14ac:dyDescent="0.25">
      <c r="BV2301"/>
      <c r="BW2301"/>
      <c r="BX2301"/>
    </row>
    <row r="2302" spans="74:76" x14ac:dyDescent="0.25">
      <c r="BV2302"/>
      <c r="BW2302"/>
      <c r="BX2302"/>
    </row>
    <row r="2303" spans="74:76" x14ac:dyDescent="0.25">
      <c r="BV2303"/>
      <c r="BW2303"/>
      <c r="BX2303"/>
    </row>
    <row r="2304" spans="74:76" x14ac:dyDescent="0.25">
      <c r="BV2304"/>
      <c r="BW2304"/>
      <c r="BX2304"/>
    </row>
    <row r="2305" spans="74:76" x14ac:dyDescent="0.25">
      <c r="BV2305"/>
      <c r="BW2305"/>
      <c r="BX2305"/>
    </row>
    <row r="2306" spans="74:76" x14ac:dyDescent="0.25">
      <c r="BV2306"/>
      <c r="BW2306"/>
      <c r="BX2306"/>
    </row>
    <row r="2307" spans="74:76" x14ac:dyDescent="0.25">
      <c r="BV2307"/>
      <c r="BW2307"/>
      <c r="BX2307"/>
    </row>
    <row r="2308" spans="74:76" x14ac:dyDescent="0.25">
      <c r="BV2308"/>
      <c r="BW2308"/>
      <c r="BX2308"/>
    </row>
    <row r="2309" spans="74:76" x14ac:dyDescent="0.25">
      <c r="BV2309"/>
      <c r="BW2309"/>
      <c r="BX2309"/>
    </row>
    <row r="2310" spans="74:76" x14ac:dyDescent="0.25">
      <c r="BV2310"/>
      <c r="BW2310"/>
      <c r="BX2310"/>
    </row>
    <row r="2311" spans="74:76" x14ac:dyDescent="0.25">
      <c r="BV2311"/>
      <c r="BW2311"/>
      <c r="BX2311"/>
    </row>
    <row r="2312" spans="74:76" x14ac:dyDescent="0.25">
      <c r="BV2312"/>
      <c r="BW2312"/>
      <c r="BX2312"/>
    </row>
    <row r="2313" spans="74:76" x14ac:dyDescent="0.25">
      <c r="BV2313"/>
      <c r="BW2313"/>
      <c r="BX2313"/>
    </row>
    <row r="2314" spans="74:76" x14ac:dyDescent="0.25">
      <c r="BV2314"/>
      <c r="BW2314"/>
      <c r="BX2314"/>
    </row>
    <row r="2315" spans="74:76" x14ac:dyDescent="0.25">
      <c r="BV2315"/>
      <c r="BW2315"/>
      <c r="BX2315"/>
    </row>
    <row r="2316" spans="74:76" x14ac:dyDescent="0.25">
      <c r="BV2316"/>
      <c r="BW2316"/>
      <c r="BX2316"/>
    </row>
    <row r="2317" spans="74:76" x14ac:dyDescent="0.25">
      <c r="BV2317"/>
      <c r="BW2317"/>
      <c r="BX2317"/>
    </row>
    <row r="2318" spans="74:76" x14ac:dyDescent="0.25">
      <c r="BV2318"/>
      <c r="BW2318"/>
      <c r="BX2318"/>
    </row>
    <row r="2319" spans="74:76" x14ac:dyDescent="0.25">
      <c r="BV2319"/>
      <c r="BW2319"/>
      <c r="BX2319"/>
    </row>
    <row r="2320" spans="74:76" x14ac:dyDescent="0.25">
      <c r="BV2320"/>
      <c r="BW2320"/>
      <c r="BX2320"/>
    </row>
    <row r="2321" spans="74:76" x14ac:dyDescent="0.25">
      <c r="BV2321"/>
      <c r="BW2321"/>
      <c r="BX2321"/>
    </row>
    <row r="2322" spans="74:76" x14ac:dyDescent="0.25">
      <c r="BV2322"/>
      <c r="BW2322"/>
      <c r="BX2322"/>
    </row>
    <row r="2323" spans="74:76" x14ac:dyDescent="0.25">
      <c r="BV2323"/>
      <c r="BW2323"/>
      <c r="BX2323"/>
    </row>
    <row r="2324" spans="74:76" x14ac:dyDescent="0.25">
      <c r="BV2324"/>
      <c r="BW2324"/>
      <c r="BX2324"/>
    </row>
    <row r="2325" spans="74:76" x14ac:dyDescent="0.25">
      <c r="BV2325"/>
      <c r="BW2325"/>
      <c r="BX2325"/>
    </row>
    <row r="2326" spans="74:76" x14ac:dyDescent="0.25">
      <c r="BV2326"/>
      <c r="BW2326"/>
      <c r="BX2326"/>
    </row>
    <row r="2327" spans="74:76" x14ac:dyDescent="0.25">
      <c r="BV2327"/>
      <c r="BW2327"/>
      <c r="BX2327"/>
    </row>
    <row r="2328" spans="74:76" x14ac:dyDescent="0.25">
      <c r="BV2328"/>
      <c r="BW2328"/>
      <c r="BX2328"/>
    </row>
    <row r="2329" spans="74:76" x14ac:dyDescent="0.25">
      <c r="BV2329"/>
      <c r="BW2329"/>
      <c r="BX2329"/>
    </row>
    <row r="2330" spans="74:76" x14ac:dyDescent="0.25">
      <c r="BV2330"/>
      <c r="BW2330"/>
      <c r="BX2330"/>
    </row>
    <row r="2331" spans="74:76" x14ac:dyDescent="0.25">
      <c r="BV2331"/>
      <c r="BW2331"/>
      <c r="BX2331"/>
    </row>
    <row r="2332" spans="74:76" x14ac:dyDescent="0.25">
      <c r="BV2332"/>
      <c r="BW2332"/>
      <c r="BX2332"/>
    </row>
    <row r="2333" spans="74:76" x14ac:dyDescent="0.25">
      <c r="BV2333"/>
      <c r="BW2333"/>
      <c r="BX2333"/>
    </row>
    <row r="2334" spans="74:76" x14ac:dyDescent="0.25">
      <c r="BV2334"/>
      <c r="BW2334"/>
      <c r="BX2334"/>
    </row>
    <row r="2335" spans="74:76" x14ac:dyDescent="0.25">
      <c r="BV2335"/>
      <c r="BW2335"/>
      <c r="BX2335"/>
    </row>
    <row r="2336" spans="74:76" x14ac:dyDescent="0.25">
      <c r="BV2336"/>
      <c r="BW2336"/>
      <c r="BX2336"/>
    </row>
    <row r="2337" spans="74:76" x14ac:dyDescent="0.25">
      <c r="BV2337"/>
      <c r="BW2337"/>
      <c r="BX2337"/>
    </row>
    <row r="2338" spans="74:76" x14ac:dyDescent="0.25">
      <c r="BV2338"/>
      <c r="BW2338"/>
      <c r="BX2338"/>
    </row>
    <row r="2339" spans="74:76" x14ac:dyDescent="0.25">
      <c r="BV2339"/>
      <c r="BW2339"/>
      <c r="BX2339"/>
    </row>
    <row r="2340" spans="74:76" x14ac:dyDescent="0.25">
      <c r="BV2340"/>
      <c r="BW2340"/>
      <c r="BX2340"/>
    </row>
    <row r="2341" spans="74:76" x14ac:dyDescent="0.25">
      <c r="BV2341"/>
      <c r="BW2341"/>
      <c r="BX2341"/>
    </row>
    <row r="2342" spans="74:76" x14ac:dyDescent="0.25">
      <c r="BV2342"/>
      <c r="BW2342"/>
      <c r="BX2342"/>
    </row>
    <row r="2343" spans="74:76" x14ac:dyDescent="0.25">
      <c r="BV2343"/>
      <c r="BW2343"/>
      <c r="BX2343"/>
    </row>
    <row r="2344" spans="74:76" x14ac:dyDescent="0.25">
      <c r="BV2344"/>
      <c r="BW2344"/>
      <c r="BX2344"/>
    </row>
    <row r="2345" spans="74:76" x14ac:dyDescent="0.25">
      <c r="BV2345"/>
      <c r="BW2345"/>
      <c r="BX2345"/>
    </row>
    <row r="2346" spans="74:76" x14ac:dyDescent="0.25">
      <c r="BV2346"/>
      <c r="BW2346"/>
      <c r="BX2346"/>
    </row>
    <row r="2347" spans="74:76" x14ac:dyDescent="0.25">
      <c r="BV2347"/>
      <c r="BW2347"/>
      <c r="BX2347"/>
    </row>
    <row r="2348" spans="74:76" x14ac:dyDescent="0.25">
      <c r="BV2348"/>
      <c r="BW2348"/>
      <c r="BX2348"/>
    </row>
    <row r="2349" spans="74:76" x14ac:dyDescent="0.25">
      <c r="BV2349"/>
      <c r="BW2349"/>
      <c r="BX2349"/>
    </row>
    <row r="2350" spans="74:76" x14ac:dyDescent="0.25">
      <c r="BV2350"/>
      <c r="BW2350"/>
      <c r="BX2350"/>
    </row>
    <row r="2351" spans="74:76" x14ac:dyDescent="0.25">
      <c r="BV2351"/>
      <c r="BW2351"/>
      <c r="BX2351"/>
    </row>
    <row r="2352" spans="74:76" x14ac:dyDescent="0.25">
      <c r="BV2352"/>
      <c r="BW2352"/>
      <c r="BX2352"/>
    </row>
    <row r="2353" spans="74:76" x14ac:dyDescent="0.25">
      <c r="BV2353"/>
      <c r="BW2353"/>
      <c r="BX2353"/>
    </row>
    <row r="2354" spans="74:76" x14ac:dyDescent="0.25">
      <c r="BV2354"/>
      <c r="BW2354"/>
      <c r="BX2354"/>
    </row>
    <row r="2355" spans="74:76" x14ac:dyDescent="0.25">
      <c r="BV2355"/>
      <c r="BW2355"/>
      <c r="BX2355"/>
    </row>
    <row r="2356" spans="74:76" x14ac:dyDescent="0.25">
      <c r="BV2356"/>
      <c r="BW2356"/>
      <c r="BX2356"/>
    </row>
    <row r="2357" spans="74:76" x14ac:dyDescent="0.25">
      <c r="BV2357"/>
      <c r="BW2357"/>
      <c r="BX2357"/>
    </row>
    <row r="2358" spans="74:76" x14ac:dyDescent="0.25">
      <c r="BV2358"/>
      <c r="BW2358"/>
      <c r="BX2358"/>
    </row>
    <row r="2359" spans="74:76" x14ac:dyDescent="0.25">
      <c r="BV2359"/>
      <c r="BW2359"/>
      <c r="BX2359"/>
    </row>
    <row r="2360" spans="74:76" x14ac:dyDescent="0.25">
      <c r="BV2360"/>
      <c r="BW2360"/>
      <c r="BX2360"/>
    </row>
    <row r="2361" spans="74:76" x14ac:dyDescent="0.25">
      <c r="BV2361"/>
      <c r="BW2361"/>
      <c r="BX2361"/>
    </row>
    <row r="2362" spans="74:76" x14ac:dyDescent="0.25">
      <c r="BV2362"/>
      <c r="BW2362"/>
      <c r="BX2362"/>
    </row>
    <row r="2363" spans="74:76" x14ac:dyDescent="0.25">
      <c r="BV2363"/>
      <c r="BW2363"/>
      <c r="BX2363"/>
    </row>
    <row r="2364" spans="74:76" x14ac:dyDescent="0.25">
      <c r="BV2364"/>
      <c r="BW2364"/>
      <c r="BX2364"/>
    </row>
    <row r="2365" spans="74:76" x14ac:dyDescent="0.25">
      <c r="BV2365"/>
      <c r="BW2365"/>
      <c r="BX2365"/>
    </row>
    <row r="2366" spans="74:76" x14ac:dyDescent="0.25">
      <c r="BV2366"/>
      <c r="BW2366"/>
      <c r="BX2366"/>
    </row>
    <row r="2367" spans="74:76" x14ac:dyDescent="0.25">
      <c r="BV2367"/>
      <c r="BW2367"/>
      <c r="BX2367"/>
    </row>
    <row r="2368" spans="74:76" x14ac:dyDescent="0.25">
      <c r="BV2368"/>
      <c r="BW2368"/>
      <c r="BX2368"/>
    </row>
    <row r="2369" spans="74:76" x14ac:dyDescent="0.25">
      <c r="BV2369"/>
      <c r="BW2369"/>
      <c r="BX2369"/>
    </row>
    <row r="2370" spans="74:76" x14ac:dyDescent="0.25">
      <c r="BV2370"/>
      <c r="BW2370"/>
      <c r="BX2370"/>
    </row>
    <row r="2371" spans="74:76" x14ac:dyDescent="0.25">
      <c r="BV2371"/>
      <c r="BW2371"/>
      <c r="BX2371"/>
    </row>
    <row r="2372" spans="74:76" x14ac:dyDescent="0.25">
      <c r="BV2372"/>
      <c r="BW2372"/>
      <c r="BX2372"/>
    </row>
    <row r="2373" spans="74:76" x14ac:dyDescent="0.25">
      <c r="BV2373"/>
      <c r="BW2373"/>
      <c r="BX2373"/>
    </row>
    <row r="2374" spans="74:76" x14ac:dyDescent="0.25">
      <c r="BV2374"/>
      <c r="BW2374"/>
      <c r="BX2374"/>
    </row>
    <row r="2375" spans="74:76" x14ac:dyDescent="0.25">
      <c r="BV2375"/>
      <c r="BW2375"/>
      <c r="BX2375"/>
    </row>
    <row r="2376" spans="74:76" x14ac:dyDescent="0.25">
      <c r="BV2376"/>
      <c r="BW2376"/>
      <c r="BX2376"/>
    </row>
    <row r="2377" spans="74:76" x14ac:dyDescent="0.25">
      <c r="BV2377"/>
      <c r="BW2377"/>
      <c r="BX2377"/>
    </row>
    <row r="2378" spans="74:76" x14ac:dyDescent="0.25">
      <c r="BV2378"/>
      <c r="BW2378"/>
      <c r="BX2378"/>
    </row>
    <row r="2379" spans="74:76" x14ac:dyDescent="0.25">
      <c r="BV2379"/>
      <c r="BW2379"/>
      <c r="BX2379"/>
    </row>
    <row r="2380" spans="74:76" x14ac:dyDescent="0.25">
      <c r="BV2380"/>
      <c r="BW2380"/>
      <c r="BX2380"/>
    </row>
    <row r="2381" spans="74:76" x14ac:dyDescent="0.25">
      <c r="BV2381"/>
      <c r="BW2381"/>
      <c r="BX2381"/>
    </row>
    <row r="2382" spans="74:76" x14ac:dyDescent="0.25">
      <c r="BV2382"/>
      <c r="BW2382"/>
      <c r="BX2382"/>
    </row>
    <row r="2383" spans="74:76" x14ac:dyDescent="0.25">
      <c r="BV2383"/>
      <c r="BW2383"/>
      <c r="BX2383"/>
    </row>
    <row r="2384" spans="74:76" x14ac:dyDescent="0.25">
      <c r="BV2384"/>
      <c r="BW2384"/>
      <c r="BX2384"/>
    </row>
    <row r="2385" spans="74:76" x14ac:dyDescent="0.25">
      <c r="BV2385"/>
      <c r="BW2385"/>
      <c r="BX2385"/>
    </row>
    <row r="2386" spans="74:76" x14ac:dyDescent="0.25">
      <c r="BV2386"/>
      <c r="BW2386"/>
      <c r="BX2386"/>
    </row>
    <row r="2387" spans="74:76" x14ac:dyDescent="0.25">
      <c r="BV2387"/>
      <c r="BW2387"/>
      <c r="BX2387"/>
    </row>
    <row r="2388" spans="74:76" x14ac:dyDescent="0.25">
      <c r="BV2388"/>
      <c r="BW2388"/>
      <c r="BX2388"/>
    </row>
    <row r="2389" spans="74:76" x14ac:dyDescent="0.25">
      <c r="BV2389"/>
      <c r="BW2389"/>
      <c r="BX2389"/>
    </row>
    <row r="2390" spans="74:76" x14ac:dyDescent="0.25">
      <c r="BV2390"/>
      <c r="BW2390"/>
      <c r="BX2390"/>
    </row>
    <row r="2391" spans="74:76" x14ac:dyDescent="0.25">
      <c r="BV2391"/>
      <c r="BW2391"/>
      <c r="BX2391"/>
    </row>
    <row r="2392" spans="74:76" x14ac:dyDescent="0.25">
      <c r="BV2392"/>
      <c r="BW2392"/>
      <c r="BX2392"/>
    </row>
    <row r="2393" spans="74:76" x14ac:dyDescent="0.25">
      <c r="BV2393"/>
      <c r="BW2393"/>
      <c r="BX2393"/>
    </row>
    <row r="2394" spans="74:76" x14ac:dyDescent="0.25">
      <c r="BV2394"/>
      <c r="BW2394"/>
      <c r="BX2394"/>
    </row>
    <row r="2395" spans="74:76" x14ac:dyDescent="0.25">
      <c r="BV2395"/>
      <c r="BW2395"/>
      <c r="BX2395"/>
    </row>
    <row r="2396" spans="74:76" x14ac:dyDescent="0.25">
      <c r="BV2396"/>
      <c r="BW2396"/>
      <c r="BX2396"/>
    </row>
    <row r="2397" spans="74:76" x14ac:dyDescent="0.25">
      <c r="BV2397"/>
      <c r="BW2397"/>
      <c r="BX2397"/>
    </row>
    <row r="2398" spans="74:76" x14ac:dyDescent="0.25">
      <c r="BV2398"/>
      <c r="BW2398"/>
      <c r="BX2398"/>
    </row>
    <row r="2399" spans="74:76" x14ac:dyDescent="0.25">
      <c r="BV2399"/>
      <c r="BW2399"/>
      <c r="BX2399"/>
    </row>
    <row r="2400" spans="74:76" x14ac:dyDescent="0.25">
      <c r="BV2400"/>
      <c r="BW2400"/>
      <c r="BX2400"/>
    </row>
    <row r="2401" spans="74:76" x14ac:dyDescent="0.25">
      <c r="BV2401"/>
      <c r="BW2401"/>
      <c r="BX2401"/>
    </row>
    <row r="2402" spans="74:76" x14ac:dyDescent="0.25">
      <c r="BV2402"/>
      <c r="BW2402"/>
      <c r="BX2402"/>
    </row>
    <row r="2403" spans="74:76" x14ac:dyDescent="0.25">
      <c r="BV2403"/>
      <c r="BW2403"/>
      <c r="BX2403"/>
    </row>
    <row r="2404" spans="74:76" x14ac:dyDescent="0.25">
      <c r="BV2404"/>
      <c r="BW2404"/>
      <c r="BX2404"/>
    </row>
    <row r="2405" spans="74:76" x14ac:dyDescent="0.25">
      <c r="BV2405"/>
      <c r="BW2405"/>
      <c r="BX2405"/>
    </row>
    <row r="2406" spans="74:76" x14ac:dyDescent="0.25">
      <c r="BV2406"/>
      <c r="BW2406"/>
      <c r="BX2406"/>
    </row>
    <row r="2407" spans="74:76" x14ac:dyDescent="0.25">
      <c r="BV2407"/>
      <c r="BW2407"/>
      <c r="BX2407"/>
    </row>
    <row r="2408" spans="74:76" x14ac:dyDescent="0.25">
      <c r="BV2408"/>
      <c r="BW2408"/>
      <c r="BX2408"/>
    </row>
    <row r="2409" spans="74:76" x14ac:dyDescent="0.25">
      <c r="BV2409"/>
      <c r="BW2409"/>
      <c r="BX2409"/>
    </row>
    <row r="2410" spans="74:76" x14ac:dyDescent="0.25">
      <c r="BV2410"/>
      <c r="BW2410"/>
      <c r="BX2410"/>
    </row>
    <row r="2411" spans="74:76" x14ac:dyDescent="0.25">
      <c r="BV2411"/>
      <c r="BW2411"/>
      <c r="BX2411"/>
    </row>
    <row r="2412" spans="74:76" x14ac:dyDescent="0.25">
      <c r="BV2412"/>
      <c r="BW2412"/>
      <c r="BX2412"/>
    </row>
    <row r="2413" spans="74:76" x14ac:dyDescent="0.25">
      <c r="BV2413"/>
      <c r="BW2413"/>
      <c r="BX2413"/>
    </row>
    <row r="2414" spans="74:76" x14ac:dyDescent="0.25">
      <c r="BV2414"/>
      <c r="BW2414"/>
      <c r="BX2414"/>
    </row>
    <row r="2415" spans="74:76" x14ac:dyDescent="0.25">
      <c r="BV2415"/>
      <c r="BW2415"/>
      <c r="BX2415"/>
    </row>
    <row r="2416" spans="74:76" x14ac:dyDescent="0.25">
      <c r="BV2416"/>
      <c r="BW2416"/>
      <c r="BX2416"/>
    </row>
    <row r="2417" spans="74:76" x14ac:dyDescent="0.25">
      <c r="BV2417"/>
      <c r="BW2417"/>
      <c r="BX2417"/>
    </row>
    <row r="2418" spans="74:76" x14ac:dyDescent="0.25">
      <c r="BV2418"/>
      <c r="BW2418"/>
      <c r="BX2418"/>
    </row>
    <row r="2419" spans="74:76" x14ac:dyDescent="0.25">
      <c r="BV2419"/>
      <c r="BW2419"/>
      <c r="BX2419"/>
    </row>
    <row r="2420" spans="74:76" x14ac:dyDescent="0.25">
      <c r="BV2420"/>
      <c r="BW2420"/>
      <c r="BX2420"/>
    </row>
    <row r="2421" spans="74:76" x14ac:dyDescent="0.25">
      <c r="BV2421"/>
      <c r="BW2421"/>
      <c r="BX2421"/>
    </row>
    <row r="2422" spans="74:76" x14ac:dyDescent="0.25">
      <c r="BV2422"/>
      <c r="BW2422"/>
      <c r="BX2422"/>
    </row>
    <row r="2423" spans="74:76" x14ac:dyDescent="0.25">
      <c r="BV2423"/>
      <c r="BW2423"/>
      <c r="BX2423"/>
    </row>
    <row r="2424" spans="74:76" x14ac:dyDescent="0.25">
      <c r="BV2424"/>
      <c r="BW2424"/>
      <c r="BX2424"/>
    </row>
    <row r="2425" spans="74:76" x14ac:dyDescent="0.25">
      <c r="BV2425"/>
      <c r="BW2425"/>
      <c r="BX2425"/>
    </row>
    <row r="2426" spans="74:76" x14ac:dyDescent="0.25">
      <c r="BV2426"/>
      <c r="BW2426"/>
      <c r="BX2426"/>
    </row>
    <row r="2427" spans="74:76" x14ac:dyDescent="0.25">
      <c r="BV2427"/>
      <c r="BW2427"/>
      <c r="BX2427"/>
    </row>
    <row r="2428" spans="74:76" x14ac:dyDescent="0.25">
      <c r="BV2428"/>
      <c r="BW2428"/>
      <c r="BX2428"/>
    </row>
    <row r="2429" spans="74:76" x14ac:dyDescent="0.25">
      <c r="BV2429"/>
      <c r="BW2429"/>
      <c r="BX2429"/>
    </row>
    <row r="2430" spans="74:76" x14ac:dyDescent="0.25">
      <c r="BV2430"/>
      <c r="BW2430"/>
      <c r="BX2430"/>
    </row>
    <row r="2431" spans="74:76" x14ac:dyDescent="0.25">
      <c r="BV2431"/>
      <c r="BW2431"/>
      <c r="BX2431"/>
    </row>
    <row r="2432" spans="74:76" x14ac:dyDescent="0.25">
      <c r="BV2432"/>
      <c r="BW2432"/>
      <c r="BX2432"/>
    </row>
    <row r="2433" spans="74:76" x14ac:dyDescent="0.25">
      <c r="BV2433"/>
      <c r="BW2433"/>
      <c r="BX2433"/>
    </row>
    <row r="2434" spans="74:76" x14ac:dyDescent="0.25">
      <c r="BV2434"/>
      <c r="BW2434"/>
      <c r="BX2434"/>
    </row>
    <row r="2435" spans="74:76" x14ac:dyDescent="0.25">
      <c r="BV2435"/>
      <c r="BW2435"/>
      <c r="BX2435"/>
    </row>
    <row r="2436" spans="74:76" x14ac:dyDescent="0.25">
      <c r="BV2436"/>
      <c r="BW2436"/>
      <c r="BX2436"/>
    </row>
    <row r="2437" spans="74:76" x14ac:dyDescent="0.25">
      <c r="BV2437"/>
      <c r="BW2437"/>
      <c r="BX2437"/>
    </row>
    <row r="2438" spans="74:76" x14ac:dyDescent="0.25">
      <c r="BV2438"/>
      <c r="BW2438"/>
      <c r="BX2438"/>
    </row>
    <row r="2439" spans="74:76" x14ac:dyDescent="0.25">
      <c r="BV2439"/>
      <c r="BW2439"/>
      <c r="BX2439"/>
    </row>
    <row r="2440" spans="74:76" x14ac:dyDescent="0.25">
      <c r="BV2440"/>
      <c r="BW2440"/>
      <c r="BX2440"/>
    </row>
    <row r="2441" spans="74:76" x14ac:dyDescent="0.25">
      <c r="BV2441"/>
      <c r="BW2441"/>
      <c r="BX2441"/>
    </row>
    <row r="2442" spans="74:76" x14ac:dyDescent="0.25">
      <c r="BV2442"/>
      <c r="BW2442"/>
      <c r="BX2442"/>
    </row>
    <row r="2443" spans="74:76" x14ac:dyDescent="0.25">
      <c r="BV2443"/>
      <c r="BW2443"/>
      <c r="BX2443"/>
    </row>
    <row r="2444" spans="74:76" x14ac:dyDescent="0.25">
      <c r="BV2444"/>
      <c r="BW2444"/>
      <c r="BX2444"/>
    </row>
    <row r="2445" spans="74:76" x14ac:dyDescent="0.25">
      <c r="BV2445"/>
      <c r="BW2445"/>
      <c r="BX2445"/>
    </row>
    <row r="2446" spans="74:76" x14ac:dyDescent="0.25">
      <c r="BV2446"/>
      <c r="BW2446"/>
      <c r="BX2446"/>
    </row>
    <row r="2447" spans="74:76" x14ac:dyDescent="0.25">
      <c r="BV2447"/>
      <c r="BW2447"/>
      <c r="BX2447"/>
    </row>
    <row r="2448" spans="74:76" x14ac:dyDescent="0.25">
      <c r="BV2448"/>
      <c r="BW2448"/>
      <c r="BX2448"/>
    </row>
    <row r="2449" spans="74:76" x14ac:dyDescent="0.25">
      <c r="BV2449"/>
      <c r="BW2449"/>
      <c r="BX2449"/>
    </row>
    <row r="2450" spans="74:76" x14ac:dyDescent="0.25">
      <c r="BV2450"/>
      <c r="BW2450"/>
      <c r="BX2450"/>
    </row>
    <row r="2451" spans="74:76" x14ac:dyDescent="0.25">
      <c r="BV2451"/>
      <c r="BW2451"/>
      <c r="BX2451"/>
    </row>
    <row r="2452" spans="74:76" x14ac:dyDescent="0.25">
      <c r="BV2452"/>
      <c r="BW2452"/>
      <c r="BX2452"/>
    </row>
    <row r="2453" spans="74:76" x14ac:dyDescent="0.25">
      <c r="BV2453"/>
      <c r="BW2453"/>
      <c r="BX2453"/>
    </row>
    <row r="2454" spans="74:76" x14ac:dyDescent="0.25">
      <c r="BV2454"/>
      <c r="BW2454"/>
      <c r="BX2454"/>
    </row>
    <row r="2455" spans="74:76" x14ac:dyDescent="0.25">
      <c r="BV2455"/>
      <c r="BW2455"/>
      <c r="BX2455"/>
    </row>
    <row r="2456" spans="74:76" x14ac:dyDescent="0.25">
      <c r="BV2456"/>
      <c r="BW2456"/>
      <c r="BX2456"/>
    </row>
    <row r="2457" spans="74:76" x14ac:dyDescent="0.25">
      <c r="BV2457"/>
      <c r="BW2457"/>
      <c r="BX2457"/>
    </row>
    <row r="2458" spans="74:76" x14ac:dyDescent="0.25">
      <c r="BV2458"/>
      <c r="BW2458"/>
      <c r="BX2458"/>
    </row>
    <row r="2459" spans="74:76" x14ac:dyDescent="0.25">
      <c r="BV2459"/>
      <c r="BW2459"/>
      <c r="BX2459"/>
    </row>
    <row r="2460" spans="74:76" x14ac:dyDescent="0.25">
      <c r="BV2460"/>
      <c r="BW2460"/>
      <c r="BX2460"/>
    </row>
    <row r="2461" spans="74:76" x14ac:dyDescent="0.25">
      <c r="BV2461"/>
      <c r="BW2461"/>
      <c r="BX2461"/>
    </row>
    <row r="2462" spans="74:76" x14ac:dyDescent="0.25">
      <c r="BV2462"/>
      <c r="BW2462"/>
      <c r="BX2462"/>
    </row>
    <row r="2463" spans="74:76" x14ac:dyDescent="0.25">
      <c r="BV2463"/>
      <c r="BW2463"/>
      <c r="BX2463"/>
    </row>
    <row r="2464" spans="74:76" x14ac:dyDescent="0.25">
      <c r="BV2464"/>
      <c r="BW2464"/>
      <c r="BX2464"/>
    </row>
    <row r="2465" spans="74:76" x14ac:dyDescent="0.25">
      <c r="BV2465"/>
      <c r="BW2465"/>
      <c r="BX2465"/>
    </row>
    <row r="2466" spans="74:76" x14ac:dyDescent="0.25">
      <c r="BV2466"/>
      <c r="BW2466"/>
      <c r="BX2466"/>
    </row>
    <row r="2467" spans="74:76" x14ac:dyDescent="0.25">
      <c r="BV2467"/>
      <c r="BW2467"/>
      <c r="BX2467"/>
    </row>
    <row r="2468" spans="74:76" x14ac:dyDescent="0.25">
      <c r="BV2468"/>
      <c r="BW2468"/>
      <c r="BX2468"/>
    </row>
  </sheetData>
  <conditionalFormatting sqref="B3:B1048576 C1:C2">
    <cfRule type="duplicateValues" dxfId="33" priority="19"/>
  </conditionalFormatting>
  <conditionalFormatting sqref="C1:C1048576">
    <cfRule type="duplicateValues" dxfId="32" priority="5"/>
  </conditionalFormatting>
  <conditionalFormatting sqref="F3:F1048576 C1:C2">
    <cfRule type="duplicateValues" dxfId="31" priority="4"/>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021FE-2F45-45E0-AC93-B0E80864DF71}">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B2:E195"/>
  <sheetViews>
    <sheetView topLeftCell="A174" workbookViewId="0">
      <selection activeCell="E2" sqref="E2:E195"/>
    </sheetView>
  </sheetViews>
  <sheetFormatPr defaultRowHeight="15" x14ac:dyDescent="0.25"/>
  <cols>
    <col min="2" max="2" width="11.140625" bestFit="1" customWidth="1"/>
    <col min="5" max="5" width="18.28515625" bestFit="1" customWidth="1"/>
  </cols>
  <sheetData>
    <row r="2" spans="2:5" x14ac:dyDescent="0.25">
      <c r="B2" t="s">
        <v>344</v>
      </c>
      <c r="C2" t="s">
        <v>345</v>
      </c>
      <c r="E2" t="s">
        <v>840</v>
      </c>
    </row>
    <row r="3" spans="2:5" x14ac:dyDescent="0.25">
      <c r="B3" t="s">
        <v>346</v>
      </c>
      <c r="C3">
        <v>3.85</v>
      </c>
      <c r="E3">
        <v>1</v>
      </c>
    </row>
    <row r="4" spans="2:5" x14ac:dyDescent="0.25">
      <c r="B4">
        <v>600</v>
      </c>
      <c r="C4">
        <v>0.36</v>
      </c>
      <c r="E4">
        <v>1</v>
      </c>
    </row>
    <row r="5" spans="2:5" x14ac:dyDescent="0.25">
      <c r="B5">
        <v>900</v>
      </c>
      <c r="C5">
        <v>0.8</v>
      </c>
      <c r="E5">
        <v>1</v>
      </c>
    </row>
    <row r="6" spans="2:5" x14ac:dyDescent="0.25">
      <c r="B6">
        <v>1200</v>
      </c>
      <c r="C6">
        <v>1.43</v>
      </c>
      <c r="E6">
        <v>1</v>
      </c>
    </row>
    <row r="7" spans="2:5" x14ac:dyDescent="0.25">
      <c r="E7">
        <v>1</v>
      </c>
    </row>
    <row r="8" spans="2:5" x14ac:dyDescent="0.25">
      <c r="E8">
        <v>1</v>
      </c>
    </row>
    <row r="9" spans="2:5" x14ac:dyDescent="0.25">
      <c r="E9">
        <v>1</v>
      </c>
    </row>
    <row r="10" spans="2:5" x14ac:dyDescent="0.25">
      <c r="E10">
        <v>1</v>
      </c>
    </row>
    <row r="11" spans="2:5" x14ac:dyDescent="0.25">
      <c r="E11">
        <v>1</v>
      </c>
    </row>
    <row r="12" spans="2:5" x14ac:dyDescent="0.25">
      <c r="E12">
        <v>1</v>
      </c>
    </row>
    <row r="13" spans="2:5" x14ac:dyDescent="0.25">
      <c r="E13">
        <v>1</v>
      </c>
    </row>
    <row r="14" spans="2:5" x14ac:dyDescent="0.25">
      <c r="E14">
        <v>1</v>
      </c>
    </row>
    <row r="15" spans="2:5" x14ac:dyDescent="0.25">
      <c r="E15">
        <v>1</v>
      </c>
    </row>
    <row r="16" spans="2:5" x14ac:dyDescent="0.25">
      <c r="E16">
        <v>1</v>
      </c>
    </row>
    <row r="17" spans="5:5" x14ac:dyDescent="0.25">
      <c r="E17">
        <v>1</v>
      </c>
    </row>
    <row r="18" spans="5:5" x14ac:dyDescent="0.25">
      <c r="E18">
        <v>1</v>
      </c>
    </row>
    <row r="19" spans="5:5" x14ac:dyDescent="0.25">
      <c r="E19">
        <v>1</v>
      </c>
    </row>
    <row r="20" spans="5:5" x14ac:dyDescent="0.25">
      <c r="E20">
        <v>2</v>
      </c>
    </row>
    <row r="21" spans="5:5" x14ac:dyDescent="0.25">
      <c r="E21">
        <v>1</v>
      </c>
    </row>
    <row r="22" spans="5:5" x14ac:dyDescent="0.25">
      <c r="E22">
        <v>1</v>
      </c>
    </row>
    <row r="23" spans="5:5" x14ac:dyDescent="0.25">
      <c r="E23">
        <v>3</v>
      </c>
    </row>
    <row r="24" spans="5:5" x14ac:dyDescent="0.25">
      <c r="E24">
        <v>1</v>
      </c>
    </row>
    <row r="25" spans="5:5" x14ac:dyDescent="0.25">
      <c r="E25">
        <v>2</v>
      </c>
    </row>
    <row r="26" spans="5:5" x14ac:dyDescent="0.25">
      <c r="E26">
        <v>3</v>
      </c>
    </row>
    <row r="27" spans="5:5" x14ac:dyDescent="0.25">
      <c r="E27">
        <v>3</v>
      </c>
    </row>
    <row r="28" spans="5:5" x14ac:dyDescent="0.25">
      <c r="E28">
        <v>3</v>
      </c>
    </row>
    <row r="29" spans="5:5" x14ac:dyDescent="0.25">
      <c r="E29">
        <v>1</v>
      </c>
    </row>
    <row r="30" spans="5:5" x14ac:dyDescent="0.25">
      <c r="E30">
        <v>3</v>
      </c>
    </row>
    <row r="31" spans="5:5" x14ac:dyDescent="0.25">
      <c r="E31">
        <v>2</v>
      </c>
    </row>
    <row r="32" spans="5:5" x14ac:dyDescent="0.25">
      <c r="E32">
        <v>1</v>
      </c>
    </row>
    <row r="33" spans="5:5" x14ac:dyDescent="0.25">
      <c r="E33">
        <v>3</v>
      </c>
    </row>
    <row r="34" spans="5:5" x14ac:dyDescent="0.25">
      <c r="E34">
        <v>2</v>
      </c>
    </row>
    <row r="35" spans="5:5" x14ac:dyDescent="0.25">
      <c r="E35">
        <v>2</v>
      </c>
    </row>
    <row r="36" spans="5:5" x14ac:dyDescent="0.25">
      <c r="E36">
        <v>2</v>
      </c>
    </row>
    <row r="37" spans="5:5" x14ac:dyDescent="0.25">
      <c r="E37">
        <v>4</v>
      </c>
    </row>
    <row r="38" spans="5:5" x14ac:dyDescent="0.25">
      <c r="E38">
        <v>3</v>
      </c>
    </row>
    <row r="39" spans="5:5" x14ac:dyDescent="0.25">
      <c r="E39">
        <v>3</v>
      </c>
    </row>
    <row r="40" spans="5:5" x14ac:dyDescent="0.25">
      <c r="E40">
        <v>2</v>
      </c>
    </row>
    <row r="41" spans="5:5" x14ac:dyDescent="0.25">
      <c r="E41">
        <v>3</v>
      </c>
    </row>
    <row r="42" spans="5:5" x14ac:dyDescent="0.25">
      <c r="E42">
        <v>1</v>
      </c>
    </row>
    <row r="43" spans="5:5" x14ac:dyDescent="0.25">
      <c r="E43">
        <v>1</v>
      </c>
    </row>
    <row r="44" spans="5:5" x14ac:dyDescent="0.25">
      <c r="E44">
        <v>1</v>
      </c>
    </row>
    <row r="45" spans="5:5" x14ac:dyDescent="0.25">
      <c r="E45">
        <v>1</v>
      </c>
    </row>
    <row r="46" spans="5:5" x14ac:dyDescent="0.25">
      <c r="E46">
        <v>3</v>
      </c>
    </row>
    <row r="47" spans="5:5" x14ac:dyDescent="0.25">
      <c r="E47">
        <v>2</v>
      </c>
    </row>
    <row r="48" spans="5:5" x14ac:dyDescent="0.25">
      <c r="E48">
        <v>2</v>
      </c>
    </row>
    <row r="49" spans="5:5" x14ac:dyDescent="0.25">
      <c r="E49">
        <v>3</v>
      </c>
    </row>
    <row r="50" spans="5:5" x14ac:dyDescent="0.25">
      <c r="E50">
        <v>1</v>
      </c>
    </row>
    <row r="51" spans="5:5" x14ac:dyDescent="0.25">
      <c r="E51">
        <v>1</v>
      </c>
    </row>
    <row r="52" spans="5:5" x14ac:dyDescent="0.25">
      <c r="E52">
        <v>2</v>
      </c>
    </row>
    <row r="53" spans="5:5" x14ac:dyDescent="0.25">
      <c r="E53">
        <v>1</v>
      </c>
    </row>
    <row r="54" spans="5:5" x14ac:dyDescent="0.25">
      <c r="E54">
        <v>1</v>
      </c>
    </row>
    <row r="55" spans="5:5" x14ac:dyDescent="0.25">
      <c r="E55">
        <v>2</v>
      </c>
    </row>
    <row r="56" spans="5:5" x14ac:dyDescent="0.25">
      <c r="E56">
        <v>1</v>
      </c>
    </row>
    <row r="57" spans="5:5" x14ac:dyDescent="0.25">
      <c r="E57">
        <v>2</v>
      </c>
    </row>
    <row r="58" spans="5:5" x14ac:dyDescent="0.25">
      <c r="E58">
        <v>1</v>
      </c>
    </row>
    <row r="59" spans="5:5" x14ac:dyDescent="0.25">
      <c r="E59">
        <v>3</v>
      </c>
    </row>
    <row r="60" spans="5:5" x14ac:dyDescent="0.25">
      <c r="E60">
        <v>1</v>
      </c>
    </row>
    <row r="61" spans="5:5" x14ac:dyDescent="0.25">
      <c r="E61">
        <v>2</v>
      </c>
    </row>
    <row r="62" spans="5:5" x14ac:dyDescent="0.25">
      <c r="E62">
        <v>2</v>
      </c>
    </row>
    <row r="63" spans="5:5" x14ac:dyDescent="0.25">
      <c r="E63">
        <v>1</v>
      </c>
    </row>
    <row r="64" spans="5:5" x14ac:dyDescent="0.25">
      <c r="E64">
        <v>2</v>
      </c>
    </row>
    <row r="65" spans="5:5" x14ac:dyDescent="0.25">
      <c r="E65">
        <v>2</v>
      </c>
    </row>
    <row r="66" spans="5:5" x14ac:dyDescent="0.25">
      <c r="E66">
        <v>1</v>
      </c>
    </row>
    <row r="67" spans="5:5" x14ac:dyDescent="0.25">
      <c r="E67">
        <v>1</v>
      </c>
    </row>
    <row r="68" spans="5:5" x14ac:dyDescent="0.25">
      <c r="E68">
        <v>1</v>
      </c>
    </row>
    <row r="69" spans="5:5" x14ac:dyDescent="0.25">
      <c r="E69">
        <v>1</v>
      </c>
    </row>
    <row r="70" spans="5:5" x14ac:dyDescent="0.25">
      <c r="E70">
        <v>2</v>
      </c>
    </row>
    <row r="71" spans="5:5" x14ac:dyDescent="0.25">
      <c r="E71">
        <v>1</v>
      </c>
    </row>
    <row r="72" spans="5:5" x14ac:dyDescent="0.25">
      <c r="E72">
        <v>2</v>
      </c>
    </row>
    <row r="73" spans="5:5" x14ac:dyDescent="0.25">
      <c r="E73">
        <v>1</v>
      </c>
    </row>
    <row r="74" spans="5:5" x14ac:dyDescent="0.25">
      <c r="E74">
        <v>2</v>
      </c>
    </row>
    <row r="75" spans="5:5" x14ac:dyDescent="0.25">
      <c r="E75">
        <v>1</v>
      </c>
    </row>
    <row r="76" spans="5:5" x14ac:dyDescent="0.25">
      <c r="E76">
        <v>1</v>
      </c>
    </row>
    <row r="77" spans="5:5" x14ac:dyDescent="0.25">
      <c r="E77">
        <v>1</v>
      </c>
    </row>
    <row r="78" spans="5:5" x14ac:dyDescent="0.25">
      <c r="E78">
        <v>1</v>
      </c>
    </row>
    <row r="79" spans="5:5" x14ac:dyDescent="0.25">
      <c r="E79">
        <v>1</v>
      </c>
    </row>
    <row r="80" spans="5:5" x14ac:dyDescent="0.25">
      <c r="E80">
        <v>3</v>
      </c>
    </row>
    <row r="81" spans="5:5" x14ac:dyDescent="0.25">
      <c r="E81">
        <v>2</v>
      </c>
    </row>
    <row r="82" spans="5:5" x14ac:dyDescent="0.25">
      <c r="E82">
        <v>1</v>
      </c>
    </row>
    <row r="83" spans="5:5" x14ac:dyDescent="0.25">
      <c r="E83">
        <v>1</v>
      </c>
    </row>
    <row r="84" spans="5:5" x14ac:dyDescent="0.25">
      <c r="E84">
        <v>3</v>
      </c>
    </row>
    <row r="85" spans="5:5" x14ac:dyDescent="0.25">
      <c r="E85">
        <v>1</v>
      </c>
    </row>
    <row r="86" spans="5:5" x14ac:dyDescent="0.25">
      <c r="E86">
        <v>3</v>
      </c>
    </row>
    <row r="87" spans="5:5" x14ac:dyDescent="0.25">
      <c r="E87">
        <v>2</v>
      </c>
    </row>
    <row r="88" spans="5:5" x14ac:dyDescent="0.25">
      <c r="E88">
        <v>2</v>
      </c>
    </row>
    <row r="89" spans="5:5" x14ac:dyDescent="0.25">
      <c r="E89">
        <v>2</v>
      </c>
    </row>
    <row r="90" spans="5:5" x14ac:dyDescent="0.25">
      <c r="E90">
        <v>3</v>
      </c>
    </row>
    <row r="91" spans="5:5" x14ac:dyDescent="0.25">
      <c r="E91">
        <v>1</v>
      </c>
    </row>
    <row r="92" spans="5:5" x14ac:dyDescent="0.25">
      <c r="E92">
        <v>1</v>
      </c>
    </row>
    <row r="93" spans="5:5" x14ac:dyDescent="0.25">
      <c r="E93">
        <v>1</v>
      </c>
    </row>
    <row r="94" spans="5:5" x14ac:dyDescent="0.25">
      <c r="E94">
        <v>2</v>
      </c>
    </row>
    <row r="95" spans="5:5" x14ac:dyDescent="0.25">
      <c r="E95">
        <v>1</v>
      </c>
    </row>
    <row r="96" spans="5:5" x14ac:dyDescent="0.25">
      <c r="E96">
        <v>1</v>
      </c>
    </row>
    <row r="97" spans="5:5" x14ac:dyDescent="0.25">
      <c r="E97">
        <v>1</v>
      </c>
    </row>
    <row r="98" spans="5:5" x14ac:dyDescent="0.25">
      <c r="E98">
        <v>1</v>
      </c>
    </row>
    <row r="99" spans="5:5" x14ac:dyDescent="0.25">
      <c r="E99">
        <v>1</v>
      </c>
    </row>
    <row r="100" spans="5:5" x14ac:dyDescent="0.25">
      <c r="E100">
        <v>1</v>
      </c>
    </row>
    <row r="101" spans="5:5" x14ac:dyDescent="0.25">
      <c r="E101">
        <v>1</v>
      </c>
    </row>
    <row r="102" spans="5:5" x14ac:dyDescent="0.25">
      <c r="E102">
        <v>1</v>
      </c>
    </row>
    <row r="103" spans="5:5" x14ac:dyDescent="0.25">
      <c r="E103">
        <v>3</v>
      </c>
    </row>
    <row r="104" spans="5:5" x14ac:dyDescent="0.25">
      <c r="E104">
        <v>1</v>
      </c>
    </row>
    <row r="105" spans="5:5" x14ac:dyDescent="0.25">
      <c r="E105">
        <v>3</v>
      </c>
    </row>
    <row r="106" spans="5:5" x14ac:dyDescent="0.25">
      <c r="E106">
        <v>2</v>
      </c>
    </row>
    <row r="107" spans="5:5" x14ac:dyDescent="0.25">
      <c r="E107">
        <v>2</v>
      </c>
    </row>
    <row r="108" spans="5:5" x14ac:dyDescent="0.25">
      <c r="E108">
        <v>1</v>
      </c>
    </row>
    <row r="109" spans="5:5" x14ac:dyDescent="0.25">
      <c r="E109">
        <v>1</v>
      </c>
    </row>
    <row r="110" spans="5:5" x14ac:dyDescent="0.25">
      <c r="E110">
        <v>1</v>
      </c>
    </row>
    <row r="111" spans="5:5" x14ac:dyDescent="0.25">
      <c r="E111">
        <v>1</v>
      </c>
    </row>
    <row r="112" spans="5:5" x14ac:dyDescent="0.25">
      <c r="E112">
        <v>2</v>
      </c>
    </row>
    <row r="113" spans="5:5" x14ac:dyDescent="0.25">
      <c r="E113">
        <v>2</v>
      </c>
    </row>
    <row r="114" spans="5:5" x14ac:dyDescent="0.25">
      <c r="E114">
        <v>1</v>
      </c>
    </row>
    <row r="115" spans="5:5" x14ac:dyDescent="0.25">
      <c r="E115">
        <v>1</v>
      </c>
    </row>
    <row r="116" spans="5:5" x14ac:dyDescent="0.25">
      <c r="E116">
        <v>2</v>
      </c>
    </row>
    <row r="117" spans="5:5" x14ac:dyDescent="0.25">
      <c r="E117">
        <v>2</v>
      </c>
    </row>
    <row r="118" spans="5:5" x14ac:dyDescent="0.25">
      <c r="E118">
        <v>2</v>
      </c>
    </row>
    <row r="119" spans="5:5" x14ac:dyDescent="0.25">
      <c r="E119">
        <v>2</v>
      </c>
    </row>
    <row r="120" spans="5:5" x14ac:dyDescent="0.25">
      <c r="E120">
        <v>1</v>
      </c>
    </row>
    <row r="121" spans="5:5" x14ac:dyDescent="0.25">
      <c r="E121">
        <v>1</v>
      </c>
    </row>
    <row r="122" spans="5:5" x14ac:dyDescent="0.25">
      <c r="E122">
        <v>3</v>
      </c>
    </row>
    <row r="123" spans="5:5" x14ac:dyDescent="0.25">
      <c r="E123">
        <v>1</v>
      </c>
    </row>
    <row r="124" spans="5:5" x14ac:dyDescent="0.25">
      <c r="E124">
        <v>1</v>
      </c>
    </row>
    <row r="125" spans="5:5" x14ac:dyDescent="0.25">
      <c r="E125">
        <v>2</v>
      </c>
    </row>
    <row r="126" spans="5:5" x14ac:dyDescent="0.25">
      <c r="E126">
        <v>2</v>
      </c>
    </row>
    <row r="127" spans="5:5" x14ac:dyDescent="0.25">
      <c r="E127">
        <v>3</v>
      </c>
    </row>
    <row r="128" spans="5:5" x14ac:dyDescent="0.25">
      <c r="E128">
        <v>1</v>
      </c>
    </row>
    <row r="129" spans="5:5" x14ac:dyDescent="0.25">
      <c r="E129">
        <v>2</v>
      </c>
    </row>
    <row r="130" spans="5:5" x14ac:dyDescent="0.25">
      <c r="E130">
        <v>1</v>
      </c>
    </row>
    <row r="131" spans="5:5" x14ac:dyDescent="0.25">
      <c r="E131">
        <v>2</v>
      </c>
    </row>
    <row r="132" spans="5:5" x14ac:dyDescent="0.25">
      <c r="E132">
        <v>2</v>
      </c>
    </row>
    <row r="133" spans="5:5" x14ac:dyDescent="0.25">
      <c r="E133">
        <v>3</v>
      </c>
    </row>
    <row r="134" spans="5:5" x14ac:dyDescent="0.25">
      <c r="E134">
        <v>2</v>
      </c>
    </row>
    <row r="135" spans="5:5" x14ac:dyDescent="0.25">
      <c r="E135">
        <v>2</v>
      </c>
    </row>
    <row r="136" spans="5:5" x14ac:dyDescent="0.25">
      <c r="E136">
        <v>3</v>
      </c>
    </row>
    <row r="137" spans="5:5" x14ac:dyDescent="0.25">
      <c r="E137">
        <v>2</v>
      </c>
    </row>
    <row r="138" spans="5:5" x14ac:dyDescent="0.25">
      <c r="E138">
        <v>2</v>
      </c>
    </row>
    <row r="139" spans="5:5" x14ac:dyDescent="0.25">
      <c r="E139">
        <v>2</v>
      </c>
    </row>
    <row r="140" spans="5:5" x14ac:dyDescent="0.25">
      <c r="E140">
        <v>3</v>
      </c>
    </row>
    <row r="141" spans="5:5" x14ac:dyDescent="0.25">
      <c r="E141">
        <v>1</v>
      </c>
    </row>
    <row r="142" spans="5:5" x14ac:dyDescent="0.25">
      <c r="E142">
        <v>1</v>
      </c>
    </row>
    <row r="143" spans="5:5" x14ac:dyDescent="0.25">
      <c r="E143">
        <v>1</v>
      </c>
    </row>
    <row r="144" spans="5:5" x14ac:dyDescent="0.25">
      <c r="E144">
        <v>1</v>
      </c>
    </row>
    <row r="145" spans="5:5" x14ac:dyDescent="0.25">
      <c r="E145">
        <v>3</v>
      </c>
    </row>
    <row r="146" spans="5:5" x14ac:dyDescent="0.25">
      <c r="E146">
        <v>2</v>
      </c>
    </row>
    <row r="147" spans="5:5" x14ac:dyDescent="0.25">
      <c r="E147">
        <v>2</v>
      </c>
    </row>
    <row r="148" spans="5:5" x14ac:dyDescent="0.25">
      <c r="E148">
        <v>2</v>
      </c>
    </row>
    <row r="149" spans="5:5" x14ac:dyDescent="0.25">
      <c r="E149">
        <v>2</v>
      </c>
    </row>
    <row r="150" spans="5:5" x14ac:dyDescent="0.25">
      <c r="E150">
        <v>3</v>
      </c>
    </row>
    <row r="151" spans="5:5" x14ac:dyDescent="0.25">
      <c r="E151">
        <v>1</v>
      </c>
    </row>
    <row r="152" spans="5:5" x14ac:dyDescent="0.25">
      <c r="E152">
        <v>2</v>
      </c>
    </row>
    <row r="153" spans="5:5" x14ac:dyDescent="0.25">
      <c r="E153">
        <v>3</v>
      </c>
    </row>
    <row r="154" spans="5:5" x14ac:dyDescent="0.25">
      <c r="E154">
        <v>2</v>
      </c>
    </row>
    <row r="155" spans="5:5" x14ac:dyDescent="0.25">
      <c r="E155">
        <v>1</v>
      </c>
    </row>
    <row r="156" spans="5:5" x14ac:dyDescent="0.25">
      <c r="E156">
        <v>2</v>
      </c>
    </row>
    <row r="157" spans="5:5" x14ac:dyDescent="0.25">
      <c r="E157">
        <v>3</v>
      </c>
    </row>
    <row r="158" spans="5:5" x14ac:dyDescent="0.25">
      <c r="E158">
        <v>3</v>
      </c>
    </row>
    <row r="159" spans="5:5" x14ac:dyDescent="0.25">
      <c r="E159">
        <v>2</v>
      </c>
    </row>
    <row r="160" spans="5:5" x14ac:dyDescent="0.25">
      <c r="E160">
        <v>2</v>
      </c>
    </row>
    <row r="161" spans="5:5" x14ac:dyDescent="0.25">
      <c r="E161">
        <v>3</v>
      </c>
    </row>
    <row r="162" spans="5:5" x14ac:dyDescent="0.25">
      <c r="E162">
        <v>3</v>
      </c>
    </row>
    <row r="163" spans="5:5" x14ac:dyDescent="0.25">
      <c r="E163">
        <v>2</v>
      </c>
    </row>
    <row r="164" spans="5:5" x14ac:dyDescent="0.25">
      <c r="E164">
        <v>3</v>
      </c>
    </row>
    <row r="165" spans="5:5" x14ac:dyDescent="0.25">
      <c r="E165">
        <v>1</v>
      </c>
    </row>
    <row r="166" spans="5:5" x14ac:dyDescent="0.25">
      <c r="E166">
        <v>2</v>
      </c>
    </row>
    <row r="167" spans="5:5" x14ac:dyDescent="0.25">
      <c r="E167">
        <v>1</v>
      </c>
    </row>
    <row r="168" spans="5:5" x14ac:dyDescent="0.25">
      <c r="E168">
        <v>2</v>
      </c>
    </row>
    <row r="169" spans="5:5" x14ac:dyDescent="0.25">
      <c r="E169">
        <v>1</v>
      </c>
    </row>
    <row r="170" spans="5:5" x14ac:dyDescent="0.25">
      <c r="E170">
        <v>2</v>
      </c>
    </row>
    <row r="171" spans="5:5" x14ac:dyDescent="0.25">
      <c r="E171">
        <v>2</v>
      </c>
    </row>
    <row r="172" spans="5:5" x14ac:dyDescent="0.25">
      <c r="E172">
        <v>1</v>
      </c>
    </row>
    <row r="173" spans="5:5" x14ac:dyDescent="0.25">
      <c r="E173">
        <v>3</v>
      </c>
    </row>
    <row r="174" spans="5:5" x14ac:dyDescent="0.25">
      <c r="E174">
        <v>2</v>
      </c>
    </row>
    <row r="175" spans="5:5" x14ac:dyDescent="0.25">
      <c r="E175">
        <v>3</v>
      </c>
    </row>
    <row r="176" spans="5:5" x14ac:dyDescent="0.25">
      <c r="E176">
        <v>2</v>
      </c>
    </row>
    <row r="177" spans="5:5" x14ac:dyDescent="0.25">
      <c r="E177">
        <v>1</v>
      </c>
    </row>
    <row r="178" spans="5:5" x14ac:dyDescent="0.25">
      <c r="E178">
        <v>1</v>
      </c>
    </row>
    <row r="179" spans="5:5" x14ac:dyDescent="0.25">
      <c r="E179">
        <v>1</v>
      </c>
    </row>
    <row r="180" spans="5:5" x14ac:dyDescent="0.25">
      <c r="E180">
        <v>1</v>
      </c>
    </row>
    <row r="181" spans="5:5" x14ac:dyDescent="0.25">
      <c r="E181">
        <v>1</v>
      </c>
    </row>
    <row r="182" spans="5:5" x14ac:dyDescent="0.25">
      <c r="E182">
        <v>2</v>
      </c>
    </row>
    <row r="183" spans="5:5" x14ac:dyDescent="0.25">
      <c r="E183">
        <v>2</v>
      </c>
    </row>
    <row r="184" spans="5:5" x14ac:dyDescent="0.25">
      <c r="E184">
        <v>1</v>
      </c>
    </row>
    <row r="185" spans="5:5" x14ac:dyDescent="0.25">
      <c r="E185">
        <v>1</v>
      </c>
    </row>
    <row r="186" spans="5:5" x14ac:dyDescent="0.25">
      <c r="E186">
        <v>1</v>
      </c>
    </row>
    <row r="187" spans="5:5" x14ac:dyDescent="0.25">
      <c r="E187">
        <v>1</v>
      </c>
    </row>
    <row r="188" spans="5:5" x14ac:dyDescent="0.25">
      <c r="E188">
        <v>1</v>
      </c>
    </row>
    <row r="189" spans="5:5" x14ac:dyDescent="0.25">
      <c r="E189">
        <v>1</v>
      </c>
    </row>
    <row r="190" spans="5:5" x14ac:dyDescent="0.25">
      <c r="E190">
        <v>3</v>
      </c>
    </row>
    <row r="191" spans="5:5" x14ac:dyDescent="0.25">
      <c r="E191">
        <v>2</v>
      </c>
    </row>
    <row r="192" spans="5:5" x14ac:dyDescent="0.25">
      <c r="E192">
        <v>2</v>
      </c>
    </row>
    <row r="193" spans="5:5" x14ac:dyDescent="0.25">
      <c r="E193">
        <v>2</v>
      </c>
    </row>
    <row r="194" spans="5:5" x14ac:dyDescent="0.25">
      <c r="E194">
        <v>2</v>
      </c>
    </row>
    <row r="195" spans="5:5" x14ac:dyDescent="0.25">
      <c r="E195">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62800C4-BD24-49DF-8E62-8371EDA6BD5C}">
  <ds:schemaRefs>
    <ds:schemaRef ds:uri="http://www.w3.org/2001/XMLSchema"/>
  </ds:schemaRefs>
</ds:datastoreItem>
</file>

<file path=customXml/itemProps2.xml><?xml version="1.0" encoding="utf-8"?>
<ds:datastoreItem xmlns:ds="http://schemas.openxmlformats.org/officeDocument/2006/customXml" ds:itemID="{4DC766AB-392A-4174-93C3-1EB228EAC868}">
  <ds:schemaRefs>
    <ds:schemaRef ds:uri="http://www.w3.org/2001/XMLSchema"/>
  </ds:schemaRefs>
</ds:datastoreItem>
</file>

<file path=customXml/itemProps3.xml><?xml version="1.0" encoding="utf-8"?>
<ds:datastoreItem xmlns:ds="http://schemas.openxmlformats.org/officeDocument/2006/customXml" ds:itemID="{08C67358-F202-4809-93B8-2636DE5E5C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Form</vt:lpstr>
      <vt:lpstr>MySQL</vt:lpstr>
      <vt:lpstr>Sheet1</vt:lpstr>
      <vt:lpstr>EPA Calculation</vt:lpstr>
      <vt:lpstr>Form!_ftn1</vt:lpstr>
      <vt:lpstr>Form!_ftnref1</vt:lpstr>
      <vt:lpstr>AdditionalEPA</vt:lpstr>
      <vt:lpstr>AdditionalGround</vt:lpstr>
      <vt:lpstr>ApolloID</vt:lpstr>
      <vt:lpstr>AppFolder</vt:lpstr>
      <vt:lpstr>AppHyperlink</vt:lpstr>
      <vt:lpstr>AppName</vt:lpstr>
      <vt:lpstr>CountPrint</vt:lpstr>
      <vt:lpstr>DataTest</vt:lpstr>
      <vt:lpstr>IDMax</vt:lpstr>
      <vt:lpstr>IsPrinting</vt:lpstr>
      <vt:lpstr>Form!OLE_LINK1</vt:lpstr>
      <vt:lpstr>Form!Print_Area</vt:lpstr>
      <vt:lpstr>PrintID</vt:lpstr>
      <vt:lpstr>RevNo</vt:lpstr>
      <vt:lpstr>TotalEpa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dc:creator>
  <cp:lastModifiedBy>Charles</cp:lastModifiedBy>
  <cp:lastPrinted>2018-03-29T09:47:00Z</cp:lastPrinted>
  <dcterms:created xsi:type="dcterms:W3CDTF">2017-10-10T08:11:12Z</dcterms:created>
  <dcterms:modified xsi:type="dcterms:W3CDTF">2018-05-11T03:20:48Z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5cfa5f5d-540c-4de9-8204-b31cf752bbab</vt:lpwstr>
  </property>
  <property fmtid="{D5CDD505-2E9C-101B-9397-08002B2CF9AE}" pid="3" name="ConnectionInfosStorage">
    <vt:lpwstr>WorkbookXmlParts</vt:lpwstr>
  </property>
  <property fmtid="{D5CDD505-2E9C-101B-9397-08002B2CF9AE}" pid="4" name="ImportConnectionInfosXmlPartId">
    <vt:lpwstr>{487C525F-FAFE-4A51-880C-DCE7D95AD29B}</vt:lpwstr>
  </property>
  <property fmtid="{D5CDD505-2E9C-101B-9397-08002B2CF9AE}" pid="5" name="EditConnectionInfosXmlPartId">
    <vt:lpwstr>{2866E6D8-6621-43EF-BF4D-396794D061CB}</vt:lpwstr>
  </property>
</Properties>
</file>